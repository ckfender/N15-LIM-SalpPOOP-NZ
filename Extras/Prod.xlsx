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A00E0E40-A887-4688-88D8-F013C6ECF7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an" sheetId="2" r:id="rId1"/>
    <sheet name="LCI" sheetId="3" r:id="rId2"/>
    <sheet name="UCI" sheetId="4" r:id="rId3"/>
    <sheet name="St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P9" i="2"/>
  <c r="G10" i="2"/>
  <c r="L9" i="2"/>
  <c r="P10" i="2"/>
  <c r="N10" i="2"/>
  <c r="N9" i="2"/>
  <c r="K9" i="2"/>
  <c r="Q9" i="2" l="1"/>
  <c r="Q10" i="2"/>
  <c r="O9" i="2"/>
  <c r="L11" i="2"/>
  <c r="O10" i="2"/>
  <c r="H9" i="2"/>
  <c r="H10" i="2"/>
</calcChain>
</file>

<file path=xl/sharedStrings.xml><?xml version="1.0" encoding="utf-8"?>
<sst xmlns="http://schemas.openxmlformats.org/spreadsheetml/2006/main" count="64" uniqueCount="16">
  <si>
    <t>Pico</t>
  </si>
  <si>
    <t>Dtm</t>
  </si>
  <si>
    <t>Flag</t>
  </si>
  <si>
    <t>Bac</t>
  </si>
  <si>
    <t>HNF</t>
  </si>
  <si>
    <t>Mic</t>
  </si>
  <si>
    <t>Meso</t>
  </si>
  <si>
    <t>VMMeso</t>
  </si>
  <si>
    <t>Macro</t>
  </si>
  <si>
    <t>VMMacro</t>
  </si>
  <si>
    <t>Gel</t>
  </si>
  <si>
    <t>Salp</t>
  </si>
  <si>
    <t>Amph</t>
  </si>
  <si>
    <t>Pisciv</t>
  </si>
  <si>
    <t>Gelativ</t>
  </si>
  <si>
    <t>Myct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</si>
</sst>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"/>
  <sheetViews>
    <sheetView tabSelected="1" topLeftCell="C1" workbookViewId="0">
      <selection activeCell="Q2" sqref="Q2:Q6"/>
    </sheetView>
  </sheetViews>
  <sheetFormatPr defaultRowHeight="14.5" x14ac:dyDescent="0.35"/>
  <cols>
    <col min="1" max="1" width="11.453125" customWidth="1"/>
    <col min="2" max="4" width="12.453125" customWidth="1"/>
    <col min="5" max="5" width="11.453125" customWidth="1"/>
    <col min="6" max="8" width="12.453125" customWidth="1"/>
    <col min="9" max="10" width="13.453125" customWidth="1"/>
    <col min="11" max="11" width="14.453125" customWidth="1"/>
    <col min="12" max="12" width="13.453125" customWidth="1"/>
    <col min="13" max="13" width="15.453125" customWidth="1"/>
    <col min="14" max="14" width="14.453125" customWidth="1"/>
    <col min="15" max="15" width="15.453125" customWidth="1"/>
    <col min="16" max="16" width="13.4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35">
      <c r="A2">
        <v>3.195127824699922</v>
      </c>
      <c r="B2">
        <v>5.0298100985261271</v>
      </c>
      <c r="C2">
        <v>2.7577145083380357</v>
      </c>
      <c r="D2">
        <v>0.88777961774424008</v>
      </c>
      <c r="E2">
        <v>1.0605644433471155</v>
      </c>
      <c r="F2">
        <v>0.82979989095182716</v>
      </c>
      <c r="G2">
        <v>1.780867513658114</v>
      </c>
      <c r="I2">
        <v>2.4816308682662137E-2</v>
      </c>
      <c r="J2">
        <v>7.5323697025013403E-2</v>
      </c>
      <c r="K2">
        <v>1.479476940379874E-2</v>
      </c>
      <c r="L2">
        <v>0.87148390769969131</v>
      </c>
      <c r="M2">
        <v>3.9385779794208773E-3</v>
      </c>
      <c r="N2">
        <v>2.868761268488079E-3</v>
      </c>
      <c r="O2">
        <v>1.726316806965748E-2</v>
      </c>
      <c r="P2">
        <v>4.6797085089053662E-2</v>
      </c>
    </row>
    <row r="3" spans="1:17" x14ac:dyDescent="0.35">
      <c r="A3">
        <v>4.1754080853876188</v>
      </c>
      <c r="B3">
        <v>1.048675546495621</v>
      </c>
      <c r="C3">
        <v>1.8284393530168881</v>
      </c>
      <c r="D3">
        <v>0.82896341034755183</v>
      </c>
      <c r="E3">
        <v>1.794608742224522</v>
      </c>
      <c r="F3">
        <v>0.19323575707256058</v>
      </c>
      <c r="G3">
        <v>0.61349957694460833</v>
      </c>
      <c r="H3">
        <v>0.9333041580658944</v>
      </c>
      <c r="I3">
        <v>8.6182561337374244E-2</v>
      </c>
      <c r="J3">
        <v>0.1389548757499405</v>
      </c>
      <c r="K3">
        <v>4.2307143920960744E-2</v>
      </c>
      <c r="L3">
        <v>0.33387354631957505</v>
      </c>
      <c r="M3">
        <v>1.6899729743637424E-4</v>
      </c>
      <c r="N3">
        <v>2.7926101162505383E-3</v>
      </c>
      <c r="O3">
        <v>9.8975337403960466E-3</v>
      </c>
      <c r="P3">
        <v>4.3434253671525626E-2</v>
      </c>
    </row>
    <row r="4" spans="1:17" x14ac:dyDescent="0.35">
      <c r="A4">
        <v>8.5512444470445104</v>
      </c>
      <c r="B4">
        <v>0.76114073846769392</v>
      </c>
      <c r="C4">
        <v>0.54490505709648485</v>
      </c>
      <c r="D4">
        <v>0.91745715246002302</v>
      </c>
      <c r="E4">
        <v>4.2572634471493283</v>
      </c>
      <c r="F4">
        <v>0.30498035575693538</v>
      </c>
      <c r="G4">
        <v>1.3300908110418941</v>
      </c>
      <c r="H4">
        <v>1.4673994472990592</v>
      </c>
      <c r="I4">
        <v>1.5613392346724948E-2</v>
      </c>
      <c r="J4">
        <v>3.3286261172751609E-2</v>
      </c>
      <c r="K4">
        <v>2.8537659858768705E-3</v>
      </c>
      <c r="L4">
        <v>1.7096581613238654E-2</v>
      </c>
      <c r="M4">
        <v>6.1978341891690174E-6</v>
      </c>
      <c r="N4">
        <v>2.2858656942436198E-3</v>
      </c>
      <c r="O4">
        <v>1.6058774545978601E-4</v>
      </c>
      <c r="P4">
        <v>3.5341339494329022E-2</v>
      </c>
    </row>
    <row r="5" spans="1:17" x14ac:dyDescent="0.35">
      <c r="A5">
        <v>2.3621658749649335</v>
      </c>
      <c r="B5">
        <v>0.45195044947093493</v>
      </c>
      <c r="C5">
        <v>5.2803325874838061</v>
      </c>
      <c r="D5">
        <v>0.98051825764506539</v>
      </c>
      <c r="E5">
        <v>1.0093102331718151</v>
      </c>
      <c r="F5">
        <v>2.0555199621175633</v>
      </c>
      <c r="G5">
        <v>0.85001239513671611</v>
      </c>
      <c r="H5">
        <v>0.8314082939814611</v>
      </c>
      <c r="I5">
        <v>1.9113673077209233E-2</v>
      </c>
      <c r="J5">
        <v>3.1053578941063881E-2</v>
      </c>
      <c r="K5">
        <v>6.4265673501224573E-3</v>
      </c>
      <c r="L5">
        <v>0.40374704545533002</v>
      </c>
      <c r="M5">
        <v>7.1541682668236478E-4</v>
      </c>
      <c r="N5">
        <v>2.0698570753213473E-3</v>
      </c>
      <c r="O5">
        <v>1.1632143592271023E-2</v>
      </c>
      <c r="P5">
        <v>3.3152352214352636E-2</v>
      </c>
    </row>
    <row r="6" spans="1:17" x14ac:dyDescent="0.35">
      <c r="A6">
        <v>2.7653676854550238</v>
      </c>
      <c r="B6">
        <v>0.52183839838612367</v>
      </c>
      <c r="C6">
        <v>0.82853318425322475</v>
      </c>
      <c r="D6">
        <v>0.5375525861314544</v>
      </c>
      <c r="E6">
        <v>1.1654917444430091</v>
      </c>
      <c r="F6">
        <v>0.4864547397925833</v>
      </c>
      <c r="G6">
        <v>0.49340196168501149</v>
      </c>
      <c r="H6">
        <v>0.78929204580282541</v>
      </c>
      <c r="I6">
        <v>8.8317047123206066E-2</v>
      </c>
      <c r="J6">
        <v>1.4198987331019586E-3</v>
      </c>
      <c r="K6">
        <v>2.475853870652947E-2</v>
      </c>
      <c r="L6">
        <v>3.1750586562315167E-3</v>
      </c>
      <c r="M6">
        <v>4.1841665439620443E-3</v>
      </c>
      <c r="N6">
        <v>9.0202733041328713E-4</v>
      </c>
      <c r="O6">
        <v>8.7007228127277243E-5</v>
      </c>
      <c r="P6">
        <v>1.766094787023003E-2</v>
      </c>
    </row>
    <row r="9" spans="1:17" x14ac:dyDescent="0.35">
      <c r="G9">
        <f>AVERAGE(SUM(G2:L2),SUM(G3:L3),SUM(G5:L5))</f>
        <v>2.3523898709165123</v>
      </c>
      <c r="H9">
        <f>G9/G10</f>
        <v>1.102672894225716</v>
      </c>
      <c r="K9">
        <f>AVERAGE(K2:K3,K5)</f>
        <v>2.1176160224960647E-2</v>
      </c>
      <c r="L9">
        <f>AVERAGE(L2:L3,L5)</f>
        <v>0.53636816649153218</v>
      </c>
      <c r="N9">
        <f>AVERAGE(N2:N3,N5)</f>
        <v>2.577076153353322E-3</v>
      </c>
      <c r="O9">
        <f>N9/N10</f>
        <v>1.6167896058122444</v>
      </c>
      <c r="P9">
        <f>AVERAGE(P2:P3,P5)</f>
        <v>4.1127896991643979E-2</v>
      </c>
      <c r="Q9">
        <f>P9/P10</f>
        <v>1.5519291350110638</v>
      </c>
    </row>
    <row r="10" spans="1:17" x14ac:dyDescent="0.35">
      <c r="G10">
        <f>AVERAGE(SUM(G4:L4),SUM(G6:L6))</f>
        <v>2.1333524050832255</v>
      </c>
      <c r="H10">
        <f>(G9-G10)/G10</f>
        <v>0.10267289422571596</v>
      </c>
      <c r="N10">
        <f>AVERAGE(N4,N6)</f>
        <v>1.5939465123284535E-3</v>
      </c>
      <c r="O10">
        <f>(N9-N10)/N10</f>
        <v>0.6167896058122444</v>
      </c>
      <c r="P10">
        <f>AVERAGE(P4,P6)</f>
        <v>2.6501143682279526E-2</v>
      </c>
      <c r="Q10">
        <f>(P9-P10)/P10</f>
        <v>0.55192913501106367</v>
      </c>
    </row>
    <row r="11" spans="1:17" x14ac:dyDescent="0.35">
      <c r="L11">
        <f>L9/K9</f>
        <v>25.328867971980458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"/>
  <sheetViews>
    <sheetView workbookViewId="0"/>
  </sheetViews>
  <sheetFormatPr defaultRowHeight="14.5" x14ac:dyDescent="0.35"/>
  <cols>
    <col min="1" max="1" width="11.453125" customWidth="1"/>
    <col min="2" max="8" width="12.453125" customWidth="1"/>
    <col min="9" max="9" width="14.453125" customWidth="1"/>
    <col min="10" max="10" width="13.453125" customWidth="1"/>
    <col min="11" max="12" width="14.453125" customWidth="1"/>
    <col min="13" max="14" width="15.453125" customWidth="1"/>
    <col min="15" max="15" width="15.08984375" customWidth="1"/>
    <col min="16" max="16" width="13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2.1957546180789591</v>
      </c>
      <c r="B2">
        <v>3.1930155654130821</v>
      </c>
      <c r="C2">
        <v>1.6171256723477385</v>
      </c>
      <c r="D2">
        <v>0.59836791426663294</v>
      </c>
      <c r="E2">
        <v>0.48814613154245878</v>
      </c>
      <c r="F2">
        <v>0.4483472435924058</v>
      </c>
      <c r="G2">
        <v>0.49565106899847045</v>
      </c>
      <c r="I2">
        <v>1.2281057387749717E-2</v>
      </c>
      <c r="J2">
        <v>4.9087702348122514E-2</v>
      </c>
      <c r="K2">
        <v>8.8710536163617362E-3</v>
      </c>
      <c r="L2">
        <v>0.5219576738179188</v>
      </c>
      <c r="M2">
        <v>2.6486069748829803E-3</v>
      </c>
      <c r="N2">
        <v>8.1716607565742285E-4</v>
      </c>
      <c r="O2">
        <v>4.7017849606201386E-3</v>
      </c>
      <c r="P2">
        <v>1.7090320462443055E-2</v>
      </c>
    </row>
    <row r="3" spans="1:16" x14ac:dyDescent="0.35">
      <c r="A3">
        <v>3.3476260284787811</v>
      </c>
      <c r="B3">
        <v>0.67834530450161212</v>
      </c>
      <c r="C3">
        <v>1.1611473705548889</v>
      </c>
      <c r="D3">
        <v>0.51900041372348937</v>
      </c>
      <c r="E3">
        <v>1.1517042420616366</v>
      </c>
      <c r="F3">
        <v>0.11107837342672208</v>
      </c>
      <c r="G3">
        <v>0.30775748502314676</v>
      </c>
      <c r="H3">
        <v>0.44236004256695055</v>
      </c>
      <c r="I3">
        <v>3.8870407536375662E-2</v>
      </c>
      <c r="J3">
        <v>6.7145864606063713E-2</v>
      </c>
      <c r="K3">
        <v>3.935279419872674E-2</v>
      </c>
      <c r="L3">
        <v>0.2085045224578381</v>
      </c>
      <c r="M3">
        <v>1.136240077949392E-4</v>
      </c>
      <c r="N3">
        <v>7.7457377936902903E-4</v>
      </c>
      <c r="O3">
        <v>2.8322445370015672E-3</v>
      </c>
      <c r="P3">
        <v>1.6015202278621361E-2</v>
      </c>
    </row>
    <row r="4" spans="1:16" x14ac:dyDescent="0.35">
      <c r="A4">
        <v>7.1373152303955143</v>
      </c>
      <c r="B4">
        <v>0.4623040948798125</v>
      </c>
      <c r="C4">
        <v>0.21865824151776794</v>
      </c>
      <c r="D4">
        <v>0.57241687396944396</v>
      </c>
      <c r="E4">
        <v>3.3305651259509723</v>
      </c>
      <c r="F4">
        <v>0.17837995227941117</v>
      </c>
      <c r="G4">
        <v>0.53382924343462534</v>
      </c>
      <c r="H4">
        <v>0.70146162087184871</v>
      </c>
      <c r="I4">
        <v>9.3234423559846371E-3</v>
      </c>
      <c r="J4">
        <v>2.3441572779491025E-2</v>
      </c>
      <c r="K4">
        <v>2.8323228485056281E-3</v>
      </c>
      <c r="L4">
        <v>7.5558474574647042E-3</v>
      </c>
      <c r="M4">
        <v>5.1182806603322931E-6</v>
      </c>
      <c r="N4">
        <v>6.4298247529724682E-4</v>
      </c>
      <c r="O4">
        <v>5.1921480868427671E-5</v>
      </c>
      <c r="P4">
        <v>1.3480967818792836E-2</v>
      </c>
    </row>
    <row r="5" spans="1:16" x14ac:dyDescent="0.35">
      <c r="A5">
        <v>1.8226360730534312</v>
      </c>
      <c r="B5">
        <v>0.27884357926790621</v>
      </c>
      <c r="C5">
        <v>4.1710398893635388</v>
      </c>
      <c r="D5">
        <v>0.63260254243842584</v>
      </c>
      <c r="E5">
        <v>0.46412100270716056</v>
      </c>
      <c r="F5">
        <v>1.2284801633779698</v>
      </c>
      <c r="G5">
        <v>0.35050114949140249</v>
      </c>
      <c r="H5">
        <v>0.31989093946131164</v>
      </c>
      <c r="I5">
        <v>1.0085278091821538E-2</v>
      </c>
      <c r="J5">
        <v>1.908464663630409E-2</v>
      </c>
      <c r="K5">
        <v>5.8938042662241156E-3</v>
      </c>
      <c r="L5">
        <v>0.26850358751769704</v>
      </c>
      <c r="M5">
        <v>5.9633091132230045E-4</v>
      </c>
      <c r="N5">
        <v>5.7249366626835481E-4</v>
      </c>
      <c r="O5">
        <v>3.2066587353775278E-3</v>
      </c>
      <c r="P5">
        <v>1.2624379489266348E-2</v>
      </c>
    </row>
    <row r="6" spans="1:16" x14ac:dyDescent="0.35">
      <c r="A6">
        <v>1.9861795653299132</v>
      </c>
      <c r="B6">
        <v>0.27989566005140293</v>
      </c>
      <c r="C6">
        <v>0.33094098816745604</v>
      </c>
      <c r="D6">
        <v>0.34514917705704401</v>
      </c>
      <c r="E6">
        <v>0.69152577921109049</v>
      </c>
      <c r="F6">
        <v>0.25781606600516338</v>
      </c>
      <c r="G6">
        <v>0.22208793124936968</v>
      </c>
      <c r="H6">
        <v>0.37353988102539226</v>
      </c>
      <c r="I6">
        <v>4.4786549153110936E-2</v>
      </c>
      <c r="J6">
        <v>7.2939594191835915E-4</v>
      </c>
      <c r="K6">
        <v>1.74483849868118E-2</v>
      </c>
      <c r="L6">
        <v>1.6352400713215995E-3</v>
      </c>
      <c r="M6">
        <v>3.0046087814293077E-3</v>
      </c>
      <c r="N6">
        <v>2.5141437135093664E-4</v>
      </c>
      <c r="O6">
        <v>2.5445231235379251E-5</v>
      </c>
      <c r="P6">
        <v>6.1746071096338197E-3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"/>
  <sheetViews>
    <sheetView workbookViewId="0"/>
  </sheetViews>
  <sheetFormatPr defaultRowHeight="14.5" x14ac:dyDescent="0.35"/>
  <cols>
    <col min="1" max="1" width="11.453125" customWidth="1"/>
    <col min="2" max="3" width="12.453125" customWidth="1"/>
    <col min="4" max="5" width="11.453125" customWidth="1"/>
    <col min="6" max="6" width="12.453125" customWidth="1"/>
    <col min="7" max="8" width="11.453125" customWidth="1"/>
    <col min="9" max="10" width="13.453125" customWidth="1"/>
    <col min="11" max="11" width="14.453125" customWidth="1"/>
    <col min="12" max="12" width="13.453125" customWidth="1"/>
    <col min="13" max="13" width="15.453125" customWidth="1"/>
    <col min="14" max="14" width="14.453125" customWidth="1"/>
    <col min="15" max="15" width="15.453125" customWidth="1"/>
    <col min="16" max="16" width="13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4.212056102531907</v>
      </c>
      <c r="B2">
        <v>7.1779915125794655</v>
      </c>
      <c r="C2">
        <v>3.9503428887480734</v>
      </c>
      <c r="D2">
        <v>1.1790057779306646</v>
      </c>
      <c r="E2">
        <v>1.6955822988038332</v>
      </c>
      <c r="F2">
        <v>1.1732620653737771</v>
      </c>
      <c r="G2">
        <v>4.0684165129307965</v>
      </c>
      <c r="I2">
        <v>4.1800538480758251E-2</v>
      </c>
      <c r="J2">
        <v>0.1028594765757025</v>
      </c>
      <c r="K2">
        <v>2.3628432339643016E-2</v>
      </c>
      <c r="L2">
        <v>1.5534960592728508</v>
      </c>
      <c r="M2">
        <v>5.4319087936607821E-3</v>
      </c>
      <c r="N2">
        <v>6.3856220284897632E-3</v>
      </c>
      <c r="O2">
        <v>3.8786679934458015E-2</v>
      </c>
      <c r="P2">
        <v>9.8834257148265992E-2</v>
      </c>
    </row>
    <row r="3" spans="1:16" x14ac:dyDescent="0.35">
      <c r="A3">
        <v>4.9795806910157578</v>
      </c>
      <c r="B3">
        <v>1.4258750273118999</v>
      </c>
      <c r="C3">
        <v>2.5062661383647464</v>
      </c>
      <c r="D3">
        <v>1.1395513363462706</v>
      </c>
      <c r="E3">
        <v>2.3484612692273141</v>
      </c>
      <c r="F3">
        <v>0.24665975515327918</v>
      </c>
      <c r="G3">
        <v>1.0202195361484281</v>
      </c>
      <c r="H3">
        <v>1.5601965223001459</v>
      </c>
      <c r="I3">
        <v>0.15267950008975539</v>
      </c>
      <c r="J3">
        <v>0.22083500872316647</v>
      </c>
      <c r="K3">
        <v>4.6646750093535076E-2</v>
      </c>
      <c r="L3">
        <v>0.54070304716526518</v>
      </c>
      <c r="M3">
        <v>2.3224852666763087E-4</v>
      </c>
      <c r="N3">
        <v>6.2468432609293408E-3</v>
      </c>
      <c r="O3">
        <v>2.1874902958501526E-2</v>
      </c>
      <c r="P3">
        <v>8.9017872592752068E-2</v>
      </c>
    </row>
    <row r="4" spans="1:16" x14ac:dyDescent="0.35">
      <c r="A4">
        <v>9.36066073089785</v>
      </c>
      <c r="B4">
        <v>0.96721295831213405</v>
      </c>
      <c r="C4">
        <v>0.95186323753661473</v>
      </c>
      <c r="D4">
        <v>1.2620345371647925</v>
      </c>
      <c r="E4">
        <v>5.1360998091537979</v>
      </c>
      <c r="F4">
        <v>0.41020289560854983</v>
      </c>
      <c r="G4">
        <v>2.4192756378183367</v>
      </c>
      <c r="H4">
        <v>2.4606157819045729</v>
      </c>
      <c r="I4">
        <v>2.1463424093293351E-2</v>
      </c>
      <c r="J4">
        <v>4.4415183714596504E-2</v>
      </c>
      <c r="K4">
        <v>2.8887923459494473E-3</v>
      </c>
      <c r="L4">
        <v>3.1879830288155435E-2</v>
      </c>
      <c r="M4">
        <v>7.5858412412342074E-6</v>
      </c>
      <c r="N4">
        <v>5.110898401101246E-3</v>
      </c>
      <c r="O4">
        <v>3.2616160494137645E-4</v>
      </c>
      <c r="P4">
        <v>7.7620516452428859E-2</v>
      </c>
    </row>
    <row r="5" spans="1:16" x14ac:dyDescent="0.35">
      <c r="A5">
        <v>2.6832676663539528</v>
      </c>
      <c r="B5">
        <v>0.61598329552778575</v>
      </c>
      <c r="C5">
        <v>6.443435512679752</v>
      </c>
      <c r="D5">
        <v>1.3327206219246888</v>
      </c>
      <c r="E5">
        <v>1.6457396369122876</v>
      </c>
      <c r="F5">
        <v>2.7268794693805738</v>
      </c>
      <c r="G5">
        <v>1.7255660964803787</v>
      </c>
      <c r="H5">
        <v>1.6036103068892407</v>
      </c>
      <c r="I5">
        <v>2.9901283164211759E-2</v>
      </c>
      <c r="J5">
        <v>4.3694199805532172E-2</v>
      </c>
      <c r="K5">
        <v>7.1924811702750021E-3</v>
      </c>
      <c r="L5">
        <v>0.64923738765566963</v>
      </c>
      <c r="M5">
        <v>8.4359401840467907E-4</v>
      </c>
      <c r="N5">
        <v>4.6158140327967594E-3</v>
      </c>
      <c r="O5">
        <v>2.6161688996880029E-2</v>
      </c>
      <c r="P5">
        <v>7.0260002950798428E-2</v>
      </c>
    </row>
    <row r="6" spans="1:16" x14ac:dyDescent="0.35">
      <c r="A6">
        <v>3.5228415982844257</v>
      </c>
      <c r="B6">
        <v>0.75505988507959265</v>
      </c>
      <c r="C6">
        <v>1.4331264006120215</v>
      </c>
      <c r="D6">
        <v>0.72838066590341566</v>
      </c>
      <c r="E6">
        <v>1.6607523972021137</v>
      </c>
      <c r="F6">
        <v>0.66104060784704588</v>
      </c>
      <c r="G6">
        <v>0.75341637741747536</v>
      </c>
      <c r="H6">
        <v>1.280119605033706</v>
      </c>
      <c r="I6">
        <v>0.14088750756217289</v>
      </c>
      <c r="J6">
        <v>2.2189653771220795E-3</v>
      </c>
      <c r="K6">
        <v>3.307641436287647E-2</v>
      </c>
      <c r="L6">
        <v>4.7716770498698732E-3</v>
      </c>
      <c r="M6">
        <v>5.5214272912351E-3</v>
      </c>
      <c r="N6">
        <v>2.0302486504532587E-3</v>
      </c>
      <c r="O6">
        <v>1.8996288413710498E-4</v>
      </c>
      <c r="P6">
        <v>3.8423660815842683E-2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6"/>
  <sheetViews>
    <sheetView workbookViewId="0"/>
  </sheetViews>
  <sheetFormatPr defaultRowHeight="14.5" x14ac:dyDescent="0.35"/>
  <cols>
    <col min="1" max="1" width="12.453125" customWidth="1"/>
    <col min="2" max="2" width="13.453125" customWidth="1"/>
    <col min="3" max="5" width="12.453125" customWidth="1"/>
    <col min="6" max="6" width="13.453125" customWidth="1"/>
    <col min="7" max="8" width="12.453125" customWidth="1"/>
    <col min="9" max="10" width="14.453125" customWidth="1"/>
    <col min="11" max="11" width="15.453125" customWidth="1"/>
    <col min="12" max="12" width="14.453125" customWidth="1"/>
    <col min="13" max="13" width="15.453125" customWidth="1"/>
    <col min="14" max="15" width="14.453125" customWidth="1"/>
    <col min="16" max="16" width="13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0.50953414860715851</v>
      </c>
      <c r="B2">
        <v>1.0172647674062538</v>
      </c>
      <c r="C2">
        <v>0.59525787966768762</v>
      </c>
      <c r="D2">
        <v>0.14864268588238597</v>
      </c>
      <c r="E2">
        <v>0.31638388544105944</v>
      </c>
      <c r="F2">
        <v>0.20309251638730227</v>
      </c>
      <c r="G2">
        <v>0.94054535324428046</v>
      </c>
      <c r="I2">
        <v>7.7276465050697208E-3</v>
      </c>
      <c r="J2">
        <v>1.3846092828565098E-2</v>
      </c>
      <c r="K2">
        <v>3.981792931804555E-3</v>
      </c>
      <c r="L2">
        <v>0.26669007351265805</v>
      </c>
      <c r="M2">
        <v>7.1175352517791404E-4</v>
      </c>
      <c r="N2">
        <v>1.517427725099287E-3</v>
      </c>
      <c r="O2">
        <v>9.2742197396248859E-3</v>
      </c>
      <c r="P2">
        <v>2.2509495074080128E-2</v>
      </c>
    </row>
    <row r="3" spans="1:16" x14ac:dyDescent="0.35">
      <c r="A3">
        <v>0.41911417650431604</v>
      </c>
      <c r="B3">
        <v>0.19126610789166715</v>
      </c>
      <c r="C3">
        <v>0.34214459779639816</v>
      </c>
      <c r="D3">
        <v>0.15831658098215459</v>
      </c>
      <c r="E3">
        <v>0.3108780005483941</v>
      </c>
      <c r="F3">
        <v>3.6109668506928511E-2</v>
      </c>
      <c r="G3">
        <v>0.18436491477284569</v>
      </c>
      <c r="H3">
        <v>0.29441905378223815</v>
      </c>
      <c r="I3">
        <v>2.9539915527102733E-2</v>
      </c>
      <c r="J3">
        <v>4.0243462165240128E-2</v>
      </c>
      <c r="K3">
        <v>1.8998657726836592E-3</v>
      </c>
      <c r="L3">
        <v>8.5371810266324635E-2</v>
      </c>
      <c r="M3">
        <v>3.040843187446867E-5</v>
      </c>
      <c r="N3">
        <v>1.4841841247211513E-3</v>
      </c>
      <c r="O3">
        <v>5.1936496741553078E-3</v>
      </c>
      <c r="P3">
        <v>2.000255311560525E-2</v>
      </c>
    </row>
    <row r="4" spans="1:16" x14ac:dyDescent="0.35">
      <c r="A4">
        <v>0.58811204479624812</v>
      </c>
      <c r="B4">
        <v>0.13317766175062065</v>
      </c>
      <c r="C4">
        <v>0.19122746676813437</v>
      </c>
      <c r="D4">
        <v>0.17657793039637332</v>
      </c>
      <c r="E4">
        <v>0.46952951828482126</v>
      </c>
      <c r="F4">
        <v>6.1523719401272721E-2</v>
      </c>
      <c r="G4">
        <v>0.50529852724236524</v>
      </c>
      <c r="H4">
        <v>0.47642382130540212</v>
      </c>
      <c r="I4">
        <v>3.1708147832374004E-3</v>
      </c>
      <c r="J4">
        <v>5.3719301404582332E-3</v>
      </c>
      <c r="K4">
        <v>1.4599766110158079E-5</v>
      </c>
      <c r="L4">
        <v>6.52362652922502E-3</v>
      </c>
      <c r="M4">
        <v>6.4114659635776981E-7</v>
      </c>
      <c r="N4">
        <v>1.2123888068365947E-3</v>
      </c>
      <c r="O4">
        <v>7.6789024103128374E-5</v>
      </c>
      <c r="P4">
        <v>1.7388397483934847E-2</v>
      </c>
    </row>
    <row r="5" spans="1:16" x14ac:dyDescent="0.35">
      <c r="A5">
        <v>0.22883852955685702</v>
      </c>
      <c r="B5">
        <v>8.5387493673873133E-2</v>
      </c>
      <c r="C5">
        <v>0.57313383585814148</v>
      </c>
      <c r="D5">
        <v>0.17824719995305977</v>
      </c>
      <c r="E5">
        <v>0.30623376932332574</v>
      </c>
      <c r="F5">
        <v>0.39171863284066499</v>
      </c>
      <c r="G5">
        <v>0.35137661616620969</v>
      </c>
      <c r="H5">
        <v>0.33832326056124001</v>
      </c>
      <c r="I5">
        <v>5.116840929680364E-3</v>
      </c>
      <c r="J5">
        <v>6.3409022672441927E-3</v>
      </c>
      <c r="K5">
        <v>3.3601791578026405E-4</v>
      </c>
      <c r="L5">
        <v>9.6712155810311354E-2</v>
      </c>
      <c r="M5">
        <v>6.3323963100968107E-5</v>
      </c>
      <c r="N5">
        <v>1.1062571127019678E-3</v>
      </c>
      <c r="O5">
        <v>6.2453240511297064E-3</v>
      </c>
      <c r="P5">
        <v>1.5730880915314206E-2</v>
      </c>
    </row>
    <row r="6" spans="1:16" x14ac:dyDescent="0.35">
      <c r="A6">
        <v>0.39276298778592433</v>
      </c>
      <c r="B6">
        <v>0.1214930858988356</v>
      </c>
      <c r="C6">
        <v>0.28668227274799707</v>
      </c>
      <c r="D6">
        <v>9.7662820993472399E-2</v>
      </c>
      <c r="E6">
        <v>0.24721041727926174</v>
      </c>
      <c r="F6">
        <v>0.11048556488556978</v>
      </c>
      <c r="G6">
        <v>0.14066743160924047</v>
      </c>
      <c r="H6">
        <v>0.23638983646694536</v>
      </c>
      <c r="I6">
        <v>2.4908025273253667E-2</v>
      </c>
      <c r="J6">
        <v>4.0584036747964088E-4</v>
      </c>
      <c r="K6">
        <v>3.9203735733283037E-3</v>
      </c>
      <c r="L6">
        <v>8.6491290685026471E-4</v>
      </c>
      <c r="M6">
        <v>6.4004513590599783E-4</v>
      </c>
      <c r="N6">
        <v>4.8332815951928281E-4</v>
      </c>
      <c r="O6">
        <v>4.5219110412208614E-5</v>
      </c>
      <c r="P6">
        <v>8.8177920894513435E-3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LCI</vt:lpstr>
      <vt:lpstr>UCI</vt:lpstr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2025-04-30T19:54:46Z</dcterms:modified>
</cp:coreProperties>
</file>