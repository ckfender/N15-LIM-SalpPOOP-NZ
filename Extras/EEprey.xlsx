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50F35008-2433-4189-A693-63FFFF14CB12}" xr6:coauthVersionLast="47" xr6:coauthVersionMax="47" xr10:uidLastSave="{00000000-0000-0000-0000-000000000000}"/>
  <bookViews>
    <workbookView xWindow="-110" yWindow="-110" windowWidth="19420" windowHeight="10420"/>
  </bookViews>
  <sheets>
    <sheet name="Mean" sheetId="2" r:id="rId1"/>
    <sheet name="LCI" sheetId="3" r:id="rId2"/>
    <sheet name="UCI" sheetId="4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<sst xmlns="http://schemas.openxmlformats.org/spreadsheetml/2006/main" xmlns:r="http://schemas.openxmlformats.org/officeDocument/2006/relationships" xmlns:xdr="http://schemas.openxmlformats.org/drawingml/2006/spreadsheetDrawing" count="45" uniqueCount="5">
  <si>
    <t>Myct</t>
  </si>
  <si>
    <t>Pisciv</t>
  </si>
  <si>
    <t>Gelativ</t>
  </si>
  <si>
    <t>Terminal</t>
  </si>
  <si>
    <t>Salp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</si>
</sst>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1"/>
  <sheetViews>
    <sheetView tabSelected="true" workbookViewId="0">
      <selection activeCell="G3" sqref="G3"/>
    </sheetView>
  </sheetViews>
  <sheetFormatPr xmlns:x14ac="http://schemas.microsoft.com/office/spreadsheetml/2009/9/ac" defaultRowHeight="14.5" x14ac:dyDescent="0.35"/>
  <cols>
    <col min="1" max="1" width="12.453125" customWidth="true"/>
    <col min="2" max="2" width="14.453125" customWidth="true"/>
    <col min="4" max="4" width="12.453125" customWidth="true"/>
    <col min="5" max="5" width="14.453125" customWidth="true"/>
    <col min="3" max="3" width="14.453125" customWidth="true"/>
  </cols>
  <sheetData>
    <row xmlns:x14ac="http://schemas.microsoft.com/office/spreadsheetml/2009/9/ac" r="1" x14ac:dyDescent="0.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xmlns:x14ac="http://schemas.microsoft.com/office/spreadsheetml/2009/9/ac" r="2" x14ac:dyDescent="0.35">
      <c r="A2" s="0">
        <v>0.25081786172934611</v>
      </c>
      <c r="B2" s="0">
        <v>0.011588221657223346</v>
      </c>
      <c r="C2" s="0">
        <v>0.081006038290333551</v>
      </c>
      <c r="D2" s="0">
        <v>0.2551195220664178</v>
      </c>
      <c r="E2" s="0">
        <v>0.07964531343136369</v>
      </c>
    </row>
    <row xmlns:x14ac="http://schemas.microsoft.com/office/spreadsheetml/2009/9/ac" r="3" x14ac:dyDescent="0.35">
      <c r="A3" s="0">
        <v>0.30492044243421706</v>
      </c>
      <c r="B3" s="0">
        <v>0.02593617942561743</v>
      </c>
      <c r="C3" s="0">
        <v>0.053361589962935087</v>
      </c>
      <c r="D3" s="0">
        <v>0.31109477279121778</v>
      </c>
      <c r="E3" s="0">
        <v>0.047344088051014449</v>
      </c>
    </row>
    <row xmlns:x14ac="http://schemas.microsoft.com/office/spreadsheetml/2009/9/ac" r="4" x14ac:dyDescent="0.35">
      <c r="A4" s="0">
        <v>0.2904639105477218</v>
      </c>
      <c r="B4" s="0">
        <v>0.0069902336329078739</v>
      </c>
      <c r="C4" s="0">
        <v>0.0020309901276062974</v>
      </c>
      <c r="D4" s="0">
        <v>0.29406255698043637</v>
      </c>
      <c r="E4" s="0">
        <v>0.0017402772626823393</v>
      </c>
    </row>
    <row xmlns:x14ac="http://schemas.microsoft.com/office/spreadsheetml/2009/9/ac" r="5" x14ac:dyDescent="0.35">
      <c r="A5" s="0">
        <v>0.264794035440511</v>
      </c>
      <c r="B5" s="0">
        <v>0.0080576537032259078</v>
      </c>
      <c r="C5" s="0">
        <v>0.050711442889283101</v>
      </c>
      <c r="D5" s="0">
        <v>0.26890806951979107</v>
      </c>
      <c r="E5" s="0">
        <v>0.049913414002064171</v>
      </c>
    </row>
    <row xmlns:x14ac="http://schemas.microsoft.com/office/spreadsheetml/2009/9/ac" r="6" x14ac:dyDescent="0.35">
      <c r="A6" s="0">
        <v>0.34224307092858974</v>
      </c>
      <c r="B6" s="0">
        <v>0.0056782654840002774</v>
      </c>
      <c r="C6" s="0">
        <v>0.0068184492930222235</v>
      </c>
      <c r="D6" s="0">
        <v>0.34655320139132068</v>
      </c>
      <c r="E6" s="0">
        <v>0.00077525541221480838</v>
      </c>
    </row>
    <row xmlns:x14ac="http://schemas.microsoft.com/office/spreadsheetml/2009/9/ac" r="8" x14ac:dyDescent="0.35">
      <c r="A8">
        <f>AVERAGE(A2:A3,A5)</f>
        <v>0.271837909278901</v>
      </c>
      <c r="B8">
        <f t="shared" ref="B8:D8" si="0">AVERAGE(B2:B3,B5)</f>
        <v>1.5135850073460818E-2</v>
      </c>
      <c r="C8">
        <f t="shared" si="0"/>
        <v>6.0691761738159343E-2</v>
      </c>
      <c r="D8">
        <f t="shared" si="0"/>
        <v>0.27668844691623679</v>
      </c>
      <c r="E8">
        <f>AVERAGE(E2:E3,E5)</f>
        <v>5.7979833815710979E-2</v>
      </c>
    </row>
    <row xmlns:x14ac="http://schemas.microsoft.com/office/spreadsheetml/2009/9/ac" r="9" x14ac:dyDescent="0.35">
      <c r="A9">
        <f>AVERAGE(A4,A6)</f>
        <v>0.2881805812389252</v>
      </c>
      <c r="B9">
        <f t="shared" ref="B9:D9" si="1">AVERAGE(B4,B6)</f>
        <v>6.4274045734007274E-3</v>
      </c>
      <c r="C9">
        <f t="shared" si="1"/>
        <v>4.2845311004636542E-3</v>
      </c>
      <c r="D9">
        <f t="shared" si="1"/>
        <v>0.29219584411972593</v>
      </c>
      <c r="E9">
        <f>AVERAGE(E4,E6)</f>
        <v>1.1196508462668912E-3</v>
      </c>
    </row>
    <row xmlns:x14ac="http://schemas.microsoft.com/office/spreadsheetml/2009/9/ac" r="11" x14ac:dyDescent="0.35">
      <c r="A11">
        <f>(A8-A9)/A9*100</f>
        <v>-5.6709830654671327</v>
      </c>
      <c r="B11">
        <f t="shared" ref="B11:E11" si="2">(B8-B9)/B9*100</f>
        <v>135.48930055063374</v>
      </c>
      <c r="C11">
        <f t="shared" si="2"/>
        <v>1316.53217855255</v>
      </c>
      <c r="D11">
        <f t="shared" si="2"/>
        <v>-5.3071929377390674</v>
      </c>
      <c r="E11">
        <f t="shared" si="2"/>
        <v>5078.3852090163409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"/>
  <sheetViews>
    <sheetView workbookViewId="0"/>
  </sheetViews>
  <sheetFormatPr xmlns:x14ac="http://schemas.microsoft.com/office/spreadsheetml/2009/9/ac" defaultRowHeight="14.5" x14ac:dyDescent="0.35"/>
  <cols>
    <col min="1" max="1" width="12.453125" customWidth="true"/>
    <col min="2" max="2" width="14.453125" customWidth="true"/>
    <col min="3" max="3" width="14.453125" customWidth="true"/>
    <col min="4" max="4" width="12.453125" customWidth="true"/>
    <col min="5" max="5" width="15.453125" customWidth="true"/>
  </cols>
  <sheetData>
    <row xmlns:x14ac="http://schemas.microsoft.com/office/spreadsheetml/2009/9/ac" r="1" x14ac:dyDescent="0.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xmlns:x14ac="http://schemas.microsoft.com/office/spreadsheetml/2009/9/ac" r="2" x14ac:dyDescent="0.35">
      <c r="A2" s="0">
        <v>0.13023113196080754</v>
      </c>
      <c r="B2" s="0">
        <v>0.0072174724032538313</v>
      </c>
      <c r="C2" s="0">
        <v>0.049200400491516687</v>
      </c>
      <c r="D2" s="0">
        <v>0.13436846792027402</v>
      </c>
      <c r="E2" s="0">
        <v>0.047910955525896776</v>
      </c>
    </row>
    <row xmlns:x14ac="http://schemas.microsoft.com/office/spreadsheetml/2009/9/ac" r="3" x14ac:dyDescent="0.35">
      <c r="A3" s="0">
        <v>0.21428453161823674</v>
      </c>
      <c r="B3" s="0">
        <v>0.014454635411178925</v>
      </c>
      <c r="C3" s="0">
        <v>0.035730014231170393</v>
      </c>
      <c r="D3" s="0">
        <v>0.22027122873151156</v>
      </c>
      <c r="E3" s="0">
        <v>0.029793935877416872</v>
      </c>
    </row>
    <row xmlns:x14ac="http://schemas.microsoft.com/office/spreadsheetml/2009/9/ac" r="4" x14ac:dyDescent="0.35">
      <c r="A4" s="0">
        <v>0.16932259850170506</v>
      </c>
      <c r="B4" s="0">
        <v>0.0042760344599664223</v>
      </c>
      <c r="C4" s="0">
        <v>0.0010510188378357987</v>
      </c>
      <c r="D4" s="0">
        <v>0.17266772172061962</v>
      </c>
      <c r="E4" s="0">
        <v>0.00076696399656370857</v>
      </c>
    </row>
    <row xmlns:x14ac="http://schemas.microsoft.com/office/spreadsheetml/2009/9/ac" r="5" x14ac:dyDescent="0.35">
      <c r="A5" s="0">
        <v>0.16503233129065134</v>
      </c>
      <c r="B5" s="0">
        <v>0.004747916129759157</v>
      </c>
      <c r="C5" s="0">
        <v>0.034345160181833791</v>
      </c>
      <c r="D5" s="0">
        <v>0.1692408713186527</v>
      </c>
      <c r="E5" s="0">
        <v>0.033558505402406624</v>
      </c>
    </row>
    <row xmlns:x14ac="http://schemas.microsoft.com/office/spreadsheetml/2009/9/ac" r="6" x14ac:dyDescent="0.35">
      <c r="A6" s="0">
        <v>0.21308089951516523</v>
      </c>
      <c r="B6" s="0">
        <v>0.0027712720455866503</v>
      </c>
      <c r="C6" s="0">
        <v>0.0048878127198280245</v>
      </c>
      <c r="D6" s="0">
        <v>0.21716058209233888</v>
      </c>
      <c r="E6" s="0">
        <v>0.00039135997524267631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6"/>
  <sheetViews>
    <sheetView workbookViewId="0"/>
  </sheetViews>
  <sheetFormatPr xmlns:x14ac="http://schemas.microsoft.com/office/spreadsheetml/2009/9/ac" defaultRowHeight="14.5" x14ac:dyDescent="0.35"/>
  <cols>
    <col min="1" max="1" width="12.453125" customWidth="true"/>
    <col min="2" max="2" width="13.453125" customWidth="true"/>
    <col min="3" max="3" width="14.453125" customWidth="true"/>
    <col min="4" max="4" width="12.453125" customWidth="true"/>
    <col min="5" max="5" width="14.453125" customWidth="true"/>
  </cols>
  <sheetData>
    <row xmlns:x14ac="http://schemas.microsoft.com/office/spreadsheetml/2009/9/ac" r="1" x14ac:dyDescent="0.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xmlns:x14ac="http://schemas.microsoft.com/office/spreadsheetml/2009/9/ac" r="2" x14ac:dyDescent="0.35">
      <c r="A2" s="0">
        <v>0.42677255833881195</v>
      </c>
      <c r="B2" s="0">
        <v>0.017730066613056733</v>
      </c>
      <c r="C2" s="0">
        <v>0.14143545103610053</v>
      </c>
      <c r="D2" s="0">
        <v>0.4312224049487014</v>
      </c>
      <c r="E2" s="0">
        <v>0.13995989621047775</v>
      </c>
    </row>
    <row xmlns:x14ac="http://schemas.microsoft.com/office/spreadsheetml/2009/9/ac" r="3" x14ac:dyDescent="0.35">
      <c r="A3" s="0">
        <v>0.41043217286871431</v>
      </c>
      <c r="B3" s="0">
        <v>0.039301562508552615</v>
      </c>
      <c r="C3" s="0">
        <v>0.081784618944354459</v>
      </c>
      <c r="D3" s="0">
        <v>0.41695243628382983</v>
      </c>
      <c r="E3" s="0">
        <v>0.075729000316257733</v>
      </c>
    </row>
    <row xmlns:x14ac="http://schemas.microsoft.com/office/spreadsheetml/2009/9/ac" r="4" x14ac:dyDescent="0.35">
      <c r="A4" s="0">
        <v>0.44153438957408681</v>
      </c>
      <c r="B4" s="0">
        <v>0.011576753284441032</v>
      </c>
      <c r="C4" s="0">
        <v>0.0035800468711553526</v>
      </c>
      <c r="D4" s="0">
        <v>0.44522172512180724</v>
      </c>
      <c r="E4" s="0">
        <v>0.0032829588227691314</v>
      </c>
    </row>
    <row xmlns:x14ac="http://schemas.microsoft.com/office/spreadsheetml/2009/9/ac" r="5" x14ac:dyDescent="0.35">
      <c r="A5" s="0">
        <v>0.38877509767698293</v>
      </c>
      <c r="B5" s="0">
        <v>0.013158746295566313</v>
      </c>
      <c r="C5" s="0">
        <v>0.079777925828361657</v>
      </c>
      <c r="D5" s="0">
        <v>0.39294699443624936</v>
      </c>
      <c r="E5" s="0">
        <v>0.078968002460792233</v>
      </c>
    </row>
    <row xmlns:x14ac="http://schemas.microsoft.com/office/spreadsheetml/2009/9/ac" r="6" x14ac:dyDescent="0.35">
      <c r="A6" s="0">
        <v>0.48526295578473666</v>
      </c>
      <c r="B6" s="0">
        <v>0.010854049562522623</v>
      </c>
      <c r="C6" s="0">
        <v>0.0091248699607182869</v>
      </c>
      <c r="D6" s="0">
        <v>0.48948410382136043</v>
      </c>
      <c r="E6" s="0">
        <v>0.0011942244712269895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LCI</vt:lpstr>
      <vt:lpstr>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Fender</cp:lastModifiedBy>
  <dcterms:modified xsi:type="dcterms:W3CDTF">2025-01-13T18:06:55Z</dcterms:modified>
</cp:coreProperties>
</file>