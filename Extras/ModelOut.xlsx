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ropbox\SalpLIM\N15-LIM-SalpPOOP-main\"/>
    </mc:Choice>
  </mc:AlternateContent>
  <xr:revisionPtr revIDLastSave="0" documentId="13_ncr:1_{9311D24E-9FF6-48A7-8C2A-D51F77330965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Sheet1" sheetId="1" r:id="rId1"/>
    <sheet name="Sheet1 (2)" sheetId="2" r:id="rId2"/>
    <sheet name="Sheet1 (3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4" i="2" l="1"/>
  <c r="G104" i="2"/>
  <c r="E104" i="3" s="1"/>
  <c r="J117" i="2"/>
  <c r="H120" i="2"/>
  <c r="G120" i="2"/>
  <c r="H119" i="2"/>
  <c r="G119" i="2"/>
  <c r="H118" i="2"/>
  <c r="E118" i="3" s="1"/>
  <c r="G118" i="2"/>
  <c r="H117" i="2"/>
  <c r="G117" i="2"/>
  <c r="F117" i="2"/>
  <c r="E117" i="2"/>
  <c r="H116" i="2"/>
  <c r="G116" i="2"/>
  <c r="E116" i="3" s="1"/>
  <c r="F116" i="2"/>
  <c r="F115" i="2"/>
  <c r="G115" i="2"/>
  <c r="H115" i="2"/>
  <c r="E115" i="2"/>
  <c r="D115" i="3" s="1"/>
  <c r="I115" i="2"/>
  <c r="J115" i="2"/>
  <c r="L128" i="2"/>
  <c r="L126" i="2"/>
  <c r="L84" i="2"/>
  <c r="D93" i="2"/>
  <c r="D92" i="2"/>
  <c r="H96" i="2"/>
  <c r="H95" i="2"/>
  <c r="H94" i="2"/>
  <c r="H93" i="2"/>
  <c r="H90" i="2"/>
  <c r="G90" i="2"/>
  <c r="K89" i="2"/>
  <c r="G89" i="3" s="1"/>
  <c r="K88" i="2"/>
  <c r="G88" i="3" s="1"/>
  <c r="L81" i="2"/>
  <c r="K81" i="2"/>
  <c r="J25" i="2"/>
  <c r="H25" i="2"/>
  <c r="I25" i="2"/>
  <c r="G25" i="2"/>
  <c r="F8" i="3"/>
  <c r="D12" i="3"/>
  <c r="F13" i="3"/>
  <c r="D16" i="3"/>
  <c r="D20" i="3"/>
  <c r="E20" i="3"/>
  <c r="F20" i="3"/>
  <c r="F23" i="3"/>
  <c r="D24" i="3"/>
  <c r="E24" i="3"/>
  <c r="D26" i="3"/>
  <c r="D30" i="3"/>
  <c r="F33" i="3"/>
  <c r="D38" i="3"/>
  <c r="F41" i="3"/>
  <c r="D46" i="3"/>
  <c r="F49" i="3"/>
  <c r="D50" i="3"/>
  <c r="E50" i="3"/>
  <c r="F51" i="3"/>
  <c r="D54" i="3"/>
  <c r="E54" i="3"/>
  <c r="C58" i="3"/>
  <c r="D58" i="3"/>
  <c r="F61" i="3"/>
  <c r="D62" i="3"/>
  <c r="D66" i="3"/>
  <c r="E69" i="3"/>
  <c r="D70" i="3"/>
  <c r="D74" i="3"/>
  <c r="F74" i="3"/>
  <c r="D78" i="3"/>
  <c r="F79" i="3"/>
  <c r="G81" i="3"/>
  <c r="D83" i="3"/>
  <c r="F84" i="3"/>
  <c r="E88" i="3"/>
  <c r="E90" i="3"/>
  <c r="D92" i="3"/>
  <c r="F98" i="3"/>
  <c r="F106" i="3"/>
  <c r="F112" i="3"/>
  <c r="F115" i="3"/>
  <c r="D116" i="3"/>
  <c r="D117" i="3"/>
  <c r="E119" i="3"/>
  <c r="E120" i="3"/>
  <c r="E121" i="3"/>
  <c r="F121" i="3"/>
  <c r="E123" i="3"/>
  <c r="E125" i="3"/>
  <c r="D127" i="3"/>
  <c r="E127" i="3"/>
  <c r="F128" i="3"/>
  <c r="E131" i="3"/>
  <c r="F136" i="3"/>
  <c r="D140" i="3"/>
  <c r="C3" i="2"/>
  <c r="D3" i="2"/>
  <c r="E3" i="2"/>
  <c r="D3" i="3" s="1"/>
  <c r="F3" i="2"/>
  <c r="G3" i="2"/>
  <c r="E3" i="3" s="1"/>
  <c r="H3" i="2"/>
  <c r="I3" i="2"/>
  <c r="F3" i="3" s="1"/>
  <c r="J3" i="2"/>
  <c r="K3" i="2"/>
  <c r="L3" i="2"/>
  <c r="C4" i="2"/>
  <c r="C4" i="3" s="1"/>
  <c r="D4" i="2"/>
  <c r="E4" i="2"/>
  <c r="F4" i="2"/>
  <c r="D4" i="3" s="1"/>
  <c r="G4" i="2"/>
  <c r="E4" i="3" s="1"/>
  <c r="H4" i="2"/>
  <c r="I4" i="2"/>
  <c r="F4" i="3" s="1"/>
  <c r="J4" i="2"/>
  <c r="K4" i="2"/>
  <c r="L4" i="2"/>
  <c r="C5" i="2"/>
  <c r="C5" i="3" s="1"/>
  <c r="D5" i="2"/>
  <c r="E5" i="2"/>
  <c r="D5" i="3" s="1"/>
  <c r="F5" i="2"/>
  <c r="G5" i="2"/>
  <c r="E5" i="3" s="1"/>
  <c r="H5" i="2"/>
  <c r="I5" i="2"/>
  <c r="F5" i="3" s="1"/>
  <c r="J5" i="2"/>
  <c r="K5" i="2"/>
  <c r="L5" i="2"/>
  <c r="C6" i="2"/>
  <c r="D6" i="2"/>
  <c r="E6" i="2"/>
  <c r="D6" i="3" s="1"/>
  <c r="F6" i="2"/>
  <c r="G6" i="2"/>
  <c r="E6" i="3" s="1"/>
  <c r="H6" i="2"/>
  <c r="I6" i="2"/>
  <c r="F6" i="3" s="1"/>
  <c r="J6" i="2"/>
  <c r="K6" i="2"/>
  <c r="L6" i="2"/>
  <c r="C7" i="2"/>
  <c r="D7" i="2"/>
  <c r="E7" i="2"/>
  <c r="D7" i="3" s="1"/>
  <c r="F7" i="2"/>
  <c r="G7" i="2"/>
  <c r="E7" i="3" s="1"/>
  <c r="H7" i="2"/>
  <c r="I7" i="2"/>
  <c r="F7" i="3" s="1"/>
  <c r="J7" i="2"/>
  <c r="K7" i="2"/>
  <c r="G7" i="3" s="1"/>
  <c r="L7" i="2"/>
  <c r="C8" i="2"/>
  <c r="C8" i="3" s="1"/>
  <c r="D8" i="2"/>
  <c r="E8" i="2"/>
  <c r="F8" i="2"/>
  <c r="D8" i="3" s="1"/>
  <c r="G8" i="2"/>
  <c r="E8" i="3" s="1"/>
  <c r="H8" i="2"/>
  <c r="I8" i="2"/>
  <c r="J8" i="2"/>
  <c r="K8" i="2"/>
  <c r="L8" i="2"/>
  <c r="C9" i="2"/>
  <c r="C9" i="3" s="1"/>
  <c r="D9" i="2"/>
  <c r="E9" i="2"/>
  <c r="D9" i="3" s="1"/>
  <c r="F9" i="2"/>
  <c r="G9" i="2"/>
  <c r="E9" i="3" s="1"/>
  <c r="H9" i="2"/>
  <c r="I9" i="2"/>
  <c r="F9" i="3" s="1"/>
  <c r="J9" i="2"/>
  <c r="K9" i="2"/>
  <c r="L9" i="2"/>
  <c r="C10" i="2"/>
  <c r="C10" i="3" s="1"/>
  <c r="D10" i="2"/>
  <c r="E10" i="2"/>
  <c r="D10" i="3" s="1"/>
  <c r="F10" i="2"/>
  <c r="G10" i="2"/>
  <c r="E10" i="3" s="1"/>
  <c r="H10" i="2"/>
  <c r="I10" i="2"/>
  <c r="F10" i="3" s="1"/>
  <c r="J10" i="2"/>
  <c r="K10" i="2"/>
  <c r="G10" i="3" s="1"/>
  <c r="L10" i="2"/>
  <c r="C11" i="2"/>
  <c r="D11" i="2"/>
  <c r="E11" i="2"/>
  <c r="D11" i="3" s="1"/>
  <c r="F11" i="2"/>
  <c r="G11" i="2"/>
  <c r="E11" i="3" s="1"/>
  <c r="H11" i="2"/>
  <c r="I11" i="2"/>
  <c r="F11" i="3" s="1"/>
  <c r="J11" i="2"/>
  <c r="K11" i="2"/>
  <c r="G11" i="3" s="1"/>
  <c r="L11" i="2"/>
  <c r="C12" i="2"/>
  <c r="C12" i="3" s="1"/>
  <c r="D12" i="2"/>
  <c r="E12" i="2"/>
  <c r="F12" i="2"/>
  <c r="G12" i="2"/>
  <c r="E12" i="3" s="1"/>
  <c r="H12" i="2"/>
  <c r="I12" i="2"/>
  <c r="F12" i="3" s="1"/>
  <c r="J12" i="2"/>
  <c r="K12" i="2"/>
  <c r="L12" i="2"/>
  <c r="C13" i="2"/>
  <c r="D13" i="2"/>
  <c r="E13" i="2"/>
  <c r="D13" i="3" s="1"/>
  <c r="F13" i="2"/>
  <c r="G13" i="2"/>
  <c r="E13" i="3" s="1"/>
  <c r="H13" i="2"/>
  <c r="I13" i="2"/>
  <c r="J13" i="2"/>
  <c r="K13" i="2"/>
  <c r="L13" i="2"/>
  <c r="C14" i="2"/>
  <c r="C14" i="3" s="1"/>
  <c r="D14" i="2"/>
  <c r="E14" i="2"/>
  <c r="D14" i="3" s="1"/>
  <c r="F14" i="2"/>
  <c r="G14" i="2"/>
  <c r="E14" i="3" s="1"/>
  <c r="H14" i="2"/>
  <c r="I14" i="2"/>
  <c r="F14" i="3" s="1"/>
  <c r="J14" i="2"/>
  <c r="K14" i="2"/>
  <c r="G14" i="3" s="1"/>
  <c r="L14" i="2"/>
  <c r="C15" i="2"/>
  <c r="D15" i="2"/>
  <c r="E15" i="2"/>
  <c r="D15" i="3" s="1"/>
  <c r="F15" i="2"/>
  <c r="G15" i="2"/>
  <c r="E15" i="3" s="1"/>
  <c r="H15" i="2"/>
  <c r="I15" i="2"/>
  <c r="F15" i="3" s="1"/>
  <c r="J15" i="2"/>
  <c r="K15" i="2"/>
  <c r="G15" i="3" s="1"/>
  <c r="L15" i="2"/>
  <c r="C16" i="2"/>
  <c r="C16" i="3" s="1"/>
  <c r="D16" i="2"/>
  <c r="E16" i="2"/>
  <c r="F16" i="2"/>
  <c r="G16" i="2"/>
  <c r="E16" i="3" s="1"/>
  <c r="H16" i="2"/>
  <c r="I16" i="2"/>
  <c r="F16" i="3" s="1"/>
  <c r="J16" i="2"/>
  <c r="K16" i="2"/>
  <c r="G16" i="3" s="1"/>
  <c r="L16" i="2"/>
  <c r="C17" i="2"/>
  <c r="C17" i="3" s="1"/>
  <c r="D17" i="2"/>
  <c r="E17" i="2"/>
  <c r="D17" i="3" s="1"/>
  <c r="F17" i="2"/>
  <c r="G17" i="2"/>
  <c r="E17" i="3" s="1"/>
  <c r="H17" i="2"/>
  <c r="I17" i="2"/>
  <c r="F17" i="3" s="1"/>
  <c r="J17" i="2"/>
  <c r="K17" i="2"/>
  <c r="L17" i="2"/>
  <c r="C18" i="2"/>
  <c r="C18" i="3" s="1"/>
  <c r="D18" i="2"/>
  <c r="E18" i="2"/>
  <c r="D18" i="3" s="1"/>
  <c r="F18" i="2"/>
  <c r="G18" i="2"/>
  <c r="E18" i="3" s="1"/>
  <c r="H18" i="2"/>
  <c r="I18" i="2"/>
  <c r="F18" i="3" s="1"/>
  <c r="J18" i="2"/>
  <c r="K18" i="2"/>
  <c r="G18" i="3" s="1"/>
  <c r="L18" i="2"/>
  <c r="C19" i="2"/>
  <c r="D19" i="2"/>
  <c r="E19" i="2"/>
  <c r="D19" i="3" s="1"/>
  <c r="F19" i="2"/>
  <c r="G19" i="2"/>
  <c r="E19" i="3" s="1"/>
  <c r="H19" i="2"/>
  <c r="I19" i="2"/>
  <c r="F19" i="3" s="1"/>
  <c r="J19" i="2"/>
  <c r="K19" i="2"/>
  <c r="G19" i="3" s="1"/>
  <c r="L19" i="2"/>
  <c r="C20" i="2"/>
  <c r="C20" i="3" s="1"/>
  <c r="D20" i="2"/>
  <c r="E20" i="2"/>
  <c r="F20" i="2"/>
  <c r="G20" i="2"/>
  <c r="H20" i="2"/>
  <c r="I20" i="2"/>
  <c r="J20" i="2"/>
  <c r="K20" i="2"/>
  <c r="G20" i="3" s="1"/>
  <c r="L20" i="2"/>
  <c r="C21" i="2"/>
  <c r="D21" i="2"/>
  <c r="E21" i="2"/>
  <c r="D21" i="3" s="1"/>
  <c r="F21" i="2"/>
  <c r="G21" i="2"/>
  <c r="E21" i="3" s="1"/>
  <c r="H21" i="2"/>
  <c r="I21" i="2"/>
  <c r="F21" i="3" s="1"/>
  <c r="J21" i="2"/>
  <c r="K21" i="2"/>
  <c r="L21" i="2"/>
  <c r="C22" i="2"/>
  <c r="D22" i="2"/>
  <c r="E22" i="2"/>
  <c r="D22" i="3" s="1"/>
  <c r="F22" i="2"/>
  <c r="G22" i="2"/>
  <c r="E22" i="3" s="1"/>
  <c r="H22" i="2"/>
  <c r="I22" i="2"/>
  <c r="F22" i="3" s="1"/>
  <c r="J22" i="2"/>
  <c r="K22" i="2"/>
  <c r="G22" i="3" s="1"/>
  <c r="L22" i="2"/>
  <c r="C23" i="2"/>
  <c r="D23" i="2"/>
  <c r="E23" i="2"/>
  <c r="D23" i="3" s="1"/>
  <c r="F23" i="2"/>
  <c r="G23" i="2"/>
  <c r="E23" i="3" s="1"/>
  <c r="H23" i="2"/>
  <c r="I23" i="2"/>
  <c r="J23" i="2"/>
  <c r="K23" i="2"/>
  <c r="G23" i="3" s="1"/>
  <c r="L23" i="2"/>
  <c r="C24" i="2"/>
  <c r="D24" i="2"/>
  <c r="E24" i="2"/>
  <c r="F24" i="2"/>
  <c r="G24" i="2"/>
  <c r="H24" i="2"/>
  <c r="I24" i="2"/>
  <c r="F24" i="3" s="1"/>
  <c r="J24" i="2"/>
  <c r="K24" i="2"/>
  <c r="G24" i="3" s="1"/>
  <c r="L24" i="2"/>
  <c r="C25" i="2"/>
  <c r="C25" i="3" s="1"/>
  <c r="D25" i="2"/>
  <c r="E25" i="2"/>
  <c r="F25" i="2"/>
  <c r="D25" i="3" s="1"/>
  <c r="K25" i="2"/>
  <c r="G25" i="3" s="1"/>
  <c r="L25" i="2"/>
  <c r="C26" i="2"/>
  <c r="D26" i="2"/>
  <c r="E26" i="2"/>
  <c r="F26" i="2"/>
  <c r="G26" i="2"/>
  <c r="E26" i="3" s="1"/>
  <c r="H26" i="2"/>
  <c r="I26" i="2"/>
  <c r="F26" i="3" s="1"/>
  <c r="J26" i="2"/>
  <c r="K26" i="2"/>
  <c r="G26" i="3" s="1"/>
  <c r="L26" i="2"/>
  <c r="C27" i="2"/>
  <c r="D27" i="2"/>
  <c r="E27" i="2"/>
  <c r="F27" i="2"/>
  <c r="D27" i="3" s="1"/>
  <c r="G27" i="2"/>
  <c r="E27" i="3" s="1"/>
  <c r="H27" i="2"/>
  <c r="I27" i="2"/>
  <c r="F27" i="3" s="1"/>
  <c r="J27" i="2"/>
  <c r="K27" i="2"/>
  <c r="L27" i="2"/>
  <c r="C28" i="2"/>
  <c r="C28" i="3" s="1"/>
  <c r="D28" i="2"/>
  <c r="E28" i="2"/>
  <c r="D28" i="3" s="1"/>
  <c r="F28" i="2"/>
  <c r="G28" i="2"/>
  <c r="E28" i="3" s="1"/>
  <c r="H28" i="2"/>
  <c r="I28" i="2"/>
  <c r="F28" i="3" s="1"/>
  <c r="J28" i="2"/>
  <c r="K28" i="2"/>
  <c r="G28" i="3" s="1"/>
  <c r="L28" i="2"/>
  <c r="C29" i="2"/>
  <c r="D29" i="2"/>
  <c r="E29" i="2"/>
  <c r="D29" i="3" s="1"/>
  <c r="F29" i="2"/>
  <c r="G29" i="2"/>
  <c r="E29" i="3" s="1"/>
  <c r="H29" i="2"/>
  <c r="I29" i="2"/>
  <c r="F29" i="3" s="1"/>
  <c r="J29" i="2"/>
  <c r="K29" i="2"/>
  <c r="G29" i="3" s="1"/>
  <c r="L29" i="2"/>
  <c r="C30" i="2"/>
  <c r="D30" i="2"/>
  <c r="E30" i="2"/>
  <c r="F30" i="2"/>
  <c r="G30" i="2"/>
  <c r="E30" i="3" s="1"/>
  <c r="H30" i="2"/>
  <c r="I30" i="2"/>
  <c r="F30" i="3" s="1"/>
  <c r="J30" i="2"/>
  <c r="K30" i="2"/>
  <c r="G30" i="3" s="1"/>
  <c r="L30" i="2"/>
  <c r="C31" i="2"/>
  <c r="C31" i="3" s="1"/>
  <c r="D31" i="2"/>
  <c r="E31" i="2"/>
  <c r="D31" i="3" s="1"/>
  <c r="F31" i="2"/>
  <c r="G31" i="2"/>
  <c r="E31" i="3" s="1"/>
  <c r="H31" i="2"/>
  <c r="I31" i="2"/>
  <c r="F31" i="3" s="1"/>
  <c r="J31" i="2"/>
  <c r="K31" i="2"/>
  <c r="L31" i="2"/>
  <c r="C32" i="2"/>
  <c r="C32" i="3" s="1"/>
  <c r="D32" i="2"/>
  <c r="E32" i="2"/>
  <c r="D32" i="3" s="1"/>
  <c r="F32" i="2"/>
  <c r="G32" i="2"/>
  <c r="E32" i="3" s="1"/>
  <c r="H32" i="2"/>
  <c r="I32" i="2"/>
  <c r="F32" i="3" s="1"/>
  <c r="J32" i="2"/>
  <c r="K32" i="2"/>
  <c r="G32" i="3" s="1"/>
  <c r="L32" i="2"/>
  <c r="C33" i="2"/>
  <c r="C33" i="3" s="1"/>
  <c r="D33" i="2"/>
  <c r="E33" i="2"/>
  <c r="D33" i="3" s="1"/>
  <c r="F33" i="2"/>
  <c r="G33" i="2"/>
  <c r="E33" i="3" s="1"/>
  <c r="H33" i="2"/>
  <c r="I33" i="2"/>
  <c r="J33" i="2"/>
  <c r="K33" i="2"/>
  <c r="G33" i="3" s="1"/>
  <c r="L33" i="2"/>
  <c r="C34" i="2"/>
  <c r="C34" i="3" s="1"/>
  <c r="D34" i="2"/>
  <c r="E34" i="2"/>
  <c r="F34" i="2"/>
  <c r="D34" i="3" s="1"/>
  <c r="G34" i="2"/>
  <c r="E34" i="3" s="1"/>
  <c r="H34" i="2"/>
  <c r="I34" i="2"/>
  <c r="F34" i="3" s="1"/>
  <c r="J34" i="2"/>
  <c r="K34" i="2"/>
  <c r="G34" i="3" s="1"/>
  <c r="L34" i="2"/>
  <c r="C35" i="2"/>
  <c r="C35" i="3" s="1"/>
  <c r="D35" i="2"/>
  <c r="E35" i="2"/>
  <c r="D35" i="3" s="1"/>
  <c r="F35" i="2"/>
  <c r="G35" i="2"/>
  <c r="E35" i="3" s="1"/>
  <c r="H35" i="2"/>
  <c r="I35" i="2"/>
  <c r="F35" i="3" s="1"/>
  <c r="J35" i="2"/>
  <c r="K35" i="2"/>
  <c r="L35" i="2"/>
  <c r="C36" i="2"/>
  <c r="C36" i="3" s="1"/>
  <c r="D36" i="2"/>
  <c r="E36" i="2"/>
  <c r="D36" i="3" s="1"/>
  <c r="F36" i="2"/>
  <c r="G36" i="2"/>
  <c r="E36" i="3" s="1"/>
  <c r="H36" i="2"/>
  <c r="I36" i="2"/>
  <c r="F36" i="3" s="1"/>
  <c r="J36" i="2"/>
  <c r="K36" i="2"/>
  <c r="G36" i="3" s="1"/>
  <c r="L36" i="2"/>
  <c r="C37" i="2"/>
  <c r="C37" i="3" s="1"/>
  <c r="D37" i="2"/>
  <c r="E37" i="2"/>
  <c r="D37" i="3" s="1"/>
  <c r="F37" i="2"/>
  <c r="G37" i="2"/>
  <c r="E37" i="3" s="1"/>
  <c r="H37" i="2"/>
  <c r="I37" i="2"/>
  <c r="F37" i="3" s="1"/>
  <c r="J37" i="2"/>
  <c r="K37" i="2"/>
  <c r="G37" i="3" s="1"/>
  <c r="L37" i="2"/>
  <c r="C38" i="2"/>
  <c r="D38" i="2"/>
  <c r="E38" i="2"/>
  <c r="F38" i="2"/>
  <c r="G38" i="2"/>
  <c r="E38" i="3" s="1"/>
  <c r="H38" i="2"/>
  <c r="I38" i="2"/>
  <c r="F38" i="3" s="1"/>
  <c r="J38" i="2"/>
  <c r="K38" i="2"/>
  <c r="G38" i="3" s="1"/>
  <c r="L38" i="2"/>
  <c r="C39" i="2"/>
  <c r="C39" i="3" s="1"/>
  <c r="D39" i="2"/>
  <c r="E39" i="2"/>
  <c r="D39" i="3" s="1"/>
  <c r="F39" i="2"/>
  <c r="G39" i="2"/>
  <c r="E39" i="3" s="1"/>
  <c r="H39" i="2"/>
  <c r="I39" i="2"/>
  <c r="F39" i="3" s="1"/>
  <c r="J39" i="2"/>
  <c r="K39" i="2"/>
  <c r="L39" i="2"/>
  <c r="C40" i="2"/>
  <c r="C40" i="3" s="1"/>
  <c r="D40" i="2"/>
  <c r="E40" i="2"/>
  <c r="D40" i="3" s="1"/>
  <c r="F40" i="2"/>
  <c r="G40" i="2"/>
  <c r="E40" i="3" s="1"/>
  <c r="H40" i="2"/>
  <c r="I40" i="2"/>
  <c r="F40" i="3" s="1"/>
  <c r="J40" i="2"/>
  <c r="K40" i="2"/>
  <c r="G40" i="3" s="1"/>
  <c r="L40" i="2"/>
  <c r="C41" i="2"/>
  <c r="C41" i="3" s="1"/>
  <c r="D41" i="2"/>
  <c r="E41" i="2"/>
  <c r="F41" i="2"/>
  <c r="D41" i="3" s="1"/>
  <c r="G41" i="2"/>
  <c r="E41" i="3" s="1"/>
  <c r="H41" i="2"/>
  <c r="I41" i="2"/>
  <c r="J41" i="2"/>
  <c r="K41" i="2"/>
  <c r="G41" i="3" s="1"/>
  <c r="L41" i="2"/>
  <c r="C42" i="2"/>
  <c r="C42" i="3" s="1"/>
  <c r="D42" i="2"/>
  <c r="E42" i="2"/>
  <c r="D42" i="3" s="1"/>
  <c r="F42" i="2"/>
  <c r="G42" i="2"/>
  <c r="E42" i="3" s="1"/>
  <c r="H42" i="2"/>
  <c r="I42" i="2"/>
  <c r="F42" i="3" s="1"/>
  <c r="J42" i="2"/>
  <c r="K42" i="2"/>
  <c r="G42" i="3" s="1"/>
  <c r="L42" i="2"/>
  <c r="C43" i="2"/>
  <c r="C43" i="3" s="1"/>
  <c r="D43" i="2"/>
  <c r="E43" i="2"/>
  <c r="F43" i="2"/>
  <c r="D43" i="3" s="1"/>
  <c r="G43" i="2"/>
  <c r="E43" i="3" s="1"/>
  <c r="H43" i="2"/>
  <c r="I43" i="2"/>
  <c r="F43" i="3" s="1"/>
  <c r="J43" i="2"/>
  <c r="K43" i="2"/>
  <c r="L43" i="2"/>
  <c r="C44" i="2"/>
  <c r="C44" i="3" s="1"/>
  <c r="D44" i="2"/>
  <c r="E44" i="2"/>
  <c r="D44" i="3" s="1"/>
  <c r="F44" i="2"/>
  <c r="G44" i="2"/>
  <c r="E44" i="3" s="1"/>
  <c r="H44" i="2"/>
  <c r="I44" i="2"/>
  <c r="F44" i="3" s="1"/>
  <c r="J44" i="2"/>
  <c r="K44" i="2"/>
  <c r="G44" i="3" s="1"/>
  <c r="L44" i="2"/>
  <c r="C45" i="2"/>
  <c r="C45" i="3" s="1"/>
  <c r="D45" i="2"/>
  <c r="E45" i="2"/>
  <c r="F45" i="2"/>
  <c r="D45" i="3" s="1"/>
  <c r="G45" i="2"/>
  <c r="E45" i="3" s="1"/>
  <c r="H45" i="2"/>
  <c r="I45" i="2"/>
  <c r="F45" i="3" s="1"/>
  <c r="J45" i="2"/>
  <c r="K45" i="2"/>
  <c r="G45" i="3" s="1"/>
  <c r="L45" i="2"/>
  <c r="C46" i="2"/>
  <c r="D46" i="2"/>
  <c r="E46" i="2"/>
  <c r="F46" i="2"/>
  <c r="G46" i="2"/>
  <c r="E46" i="3" s="1"/>
  <c r="H46" i="2"/>
  <c r="I46" i="2"/>
  <c r="F46" i="3" s="1"/>
  <c r="J46" i="2"/>
  <c r="K46" i="2"/>
  <c r="G46" i="3" s="1"/>
  <c r="L46" i="2"/>
  <c r="C47" i="2"/>
  <c r="C47" i="3" s="1"/>
  <c r="D47" i="2"/>
  <c r="E47" i="2"/>
  <c r="D47" i="3" s="1"/>
  <c r="F47" i="2"/>
  <c r="G47" i="2"/>
  <c r="E47" i="3" s="1"/>
  <c r="H47" i="2"/>
  <c r="I47" i="2"/>
  <c r="F47" i="3" s="1"/>
  <c r="J47" i="2"/>
  <c r="K47" i="2"/>
  <c r="L47" i="2"/>
  <c r="C48" i="2"/>
  <c r="C48" i="3" s="1"/>
  <c r="D48" i="2"/>
  <c r="E48" i="2"/>
  <c r="D48" i="3" s="1"/>
  <c r="F48" i="2"/>
  <c r="G48" i="2"/>
  <c r="E48" i="3" s="1"/>
  <c r="H48" i="2"/>
  <c r="I48" i="2"/>
  <c r="F48" i="3" s="1"/>
  <c r="J48" i="2"/>
  <c r="K48" i="2"/>
  <c r="G48" i="3" s="1"/>
  <c r="L48" i="2"/>
  <c r="C49" i="2"/>
  <c r="D49" i="2"/>
  <c r="C49" i="3" s="1"/>
  <c r="E49" i="2"/>
  <c r="D49" i="3" s="1"/>
  <c r="F49" i="2"/>
  <c r="G49" i="2"/>
  <c r="E49" i="3" s="1"/>
  <c r="H49" i="2"/>
  <c r="I49" i="2"/>
  <c r="J49" i="2"/>
  <c r="K49" i="2"/>
  <c r="G49" i="3" s="1"/>
  <c r="L49" i="2"/>
  <c r="C50" i="2"/>
  <c r="D50" i="2"/>
  <c r="E50" i="2"/>
  <c r="F50" i="2"/>
  <c r="G50" i="2"/>
  <c r="H50" i="2"/>
  <c r="I50" i="2"/>
  <c r="F50" i="3" s="1"/>
  <c r="J50" i="2"/>
  <c r="K50" i="2"/>
  <c r="G50" i="3" s="1"/>
  <c r="L50" i="2"/>
  <c r="C51" i="2"/>
  <c r="C51" i="3" s="1"/>
  <c r="D51" i="2"/>
  <c r="E51" i="2"/>
  <c r="D51" i="3" s="1"/>
  <c r="F51" i="2"/>
  <c r="G51" i="2"/>
  <c r="E51" i="3" s="1"/>
  <c r="H51" i="2"/>
  <c r="I51" i="2"/>
  <c r="J51" i="2"/>
  <c r="K51" i="2"/>
  <c r="L51" i="2"/>
  <c r="C52" i="2"/>
  <c r="C52" i="3" s="1"/>
  <c r="D52" i="2"/>
  <c r="E52" i="2"/>
  <c r="D52" i="3" s="1"/>
  <c r="F52" i="2"/>
  <c r="G52" i="2"/>
  <c r="E52" i="3" s="1"/>
  <c r="H52" i="2"/>
  <c r="I52" i="2"/>
  <c r="F52" i="3" s="1"/>
  <c r="J52" i="2"/>
  <c r="K52" i="2"/>
  <c r="G52" i="3" s="1"/>
  <c r="L52" i="2"/>
  <c r="C53" i="2"/>
  <c r="D53" i="2"/>
  <c r="C53" i="3" s="1"/>
  <c r="E53" i="2"/>
  <c r="D53" i="3" s="1"/>
  <c r="F53" i="2"/>
  <c r="G53" i="2"/>
  <c r="E53" i="3" s="1"/>
  <c r="H53" i="2"/>
  <c r="I53" i="2"/>
  <c r="F53" i="3" s="1"/>
  <c r="J53" i="2"/>
  <c r="K53" i="2"/>
  <c r="G53" i="3" s="1"/>
  <c r="L53" i="2"/>
  <c r="C54" i="2"/>
  <c r="D54" i="2"/>
  <c r="E54" i="2"/>
  <c r="F54" i="2"/>
  <c r="G54" i="2"/>
  <c r="H54" i="2"/>
  <c r="I54" i="2"/>
  <c r="F54" i="3" s="1"/>
  <c r="J54" i="2"/>
  <c r="K54" i="2"/>
  <c r="G54" i="3" s="1"/>
  <c r="L54" i="2"/>
  <c r="C55" i="2"/>
  <c r="C55" i="3" s="1"/>
  <c r="D55" i="2"/>
  <c r="E55" i="2"/>
  <c r="F55" i="2"/>
  <c r="D55" i="3" s="1"/>
  <c r="G55" i="2"/>
  <c r="E55" i="3" s="1"/>
  <c r="H55" i="2"/>
  <c r="I55" i="2"/>
  <c r="F55" i="3" s="1"/>
  <c r="J55" i="2"/>
  <c r="K55" i="2"/>
  <c r="L55" i="2"/>
  <c r="C56" i="2"/>
  <c r="D56" i="2"/>
  <c r="E56" i="2"/>
  <c r="D56" i="3" s="1"/>
  <c r="F56" i="2"/>
  <c r="G56" i="2"/>
  <c r="E56" i="3" s="1"/>
  <c r="H56" i="2"/>
  <c r="I56" i="2"/>
  <c r="F56" i="3" s="1"/>
  <c r="J56" i="2"/>
  <c r="K56" i="2"/>
  <c r="G56" i="3" s="1"/>
  <c r="L56" i="2"/>
  <c r="C57" i="2"/>
  <c r="C57" i="3" s="1"/>
  <c r="D57" i="2"/>
  <c r="E57" i="2"/>
  <c r="D57" i="3" s="1"/>
  <c r="F57" i="2"/>
  <c r="G57" i="2"/>
  <c r="E57" i="3" s="1"/>
  <c r="H57" i="2"/>
  <c r="I57" i="2"/>
  <c r="F57" i="3" s="1"/>
  <c r="J57" i="2"/>
  <c r="K57" i="2"/>
  <c r="G57" i="3" s="1"/>
  <c r="L57" i="2"/>
  <c r="C58" i="2"/>
  <c r="D58" i="2"/>
  <c r="E58" i="2"/>
  <c r="F58" i="2"/>
  <c r="G58" i="2"/>
  <c r="E58" i="3" s="1"/>
  <c r="H58" i="2"/>
  <c r="I58" i="2"/>
  <c r="F58" i="3" s="1"/>
  <c r="J58" i="2"/>
  <c r="K58" i="2"/>
  <c r="G58" i="3" s="1"/>
  <c r="L58" i="2"/>
  <c r="C59" i="2"/>
  <c r="C59" i="3" s="1"/>
  <c r="D59" i="2"/>
  <c r="E59" i="2"/>
  <c r="F59" i="2"/>
  <c r="D59" i="3" s="1"/>
  <c r="G59" i="2"/>
  <c r="E59" i="3" s="1"/>
  <c r="H59" i="2"/>
  <c r="I59" i="2"/>
  <c r="F59" i="3" s="1"/>
  <c r="J59" i="2"/>
  <c r="K59" i="2"/>
  <c r="L59" i="2"/>
  <c r="C60" i="2"/>
  <c r="C60" i="3" s="1"/>
  <c r="D60" i="2"/>
  <c r="E60" i="2"/>
  <c r="D60" i="3" s="1"/>
  <c r="F60" i="2"/>
  <c r="G60" i="2"/>
  <c r="E60" i="3" s="1"/>
  <c r="H60" i="2"/>
  <c r="I60" i="2"/>
  <c r="F60" i="3" s="1"/>
  <c r="J60" i="2"/>
  <c r="K60" i="2"/>
  <c r="G60" i="3" s="1"/>
  <c r="L60" i="2"/>
  <c r="C61" i="2"/>
  <c r="C61" i="3" s="1"/>
  <c r="D61" i="2"/>
  <c r="E61" i="2"/>
  <c r="F61" i="2"/>
  <c r="D61" i="3" s="1"/>
  <c r="G61" i="2"/>
  <c r="E61" i="3" s="1"/>
  <c r="H61" i="2"/>
  <c r="I61" i="2"/>
  <c r="J61" i="2"/>
  <c r="K61" i="2"/>
  <c r="G61" i="3" s="1"/>
  <c r="L61" i="2"/>
  <c r="C62" i="2"/>
  <c r="C62" i="3" s="1"/>
  <c r="D62" i="2"/>
  <c r="E62" i="2"/>
  <c r="F62" i="2"/>
  <c r="G62" i="2"/>
  <c r="E62" i="3" s="1"/>
  <c r="H62" i="2"/>
  <c r="I62" i="2"/>
  <c r="F62" i="3" s="1"/>
  <c r="J62" i="2"/>
  <c r="K62" i="2"/>
  <c r="G62" i="3" s="1"/>
  <c r="L62" i="2"/>
  <c r="C63" i="2"/>
  <c r="D63" i="2"/>
  <c r="E63" i="2"/>
  <c r="D63" i="3" s="1"/>
  <c r="F63" i="2"/>
  <c r="G63" i="2"/>
  <c r="E63" i="3" s="1"/>
  <c r="H63" i="2"/>
  <c r="I63" i="2"/>
  <c r="F63" i="3" s="1"/>
  <c r="J63" i="2"/>
  <c r="K63" i="2"/>
  <c r="L63" i="2"/>
  <c r="C64" i="2"/>
  <c r="D64" i="2"/>
  <c r="E64" i="2"/>
  <c r="D64" i="3" s="1"/>
  <c r="F64" i="2"/>
  <c r="G64" i="2"/>
  <c r="E64" i="3" s="1"/>
  <c r="H64" i="2"/>
  <c r="I64" i="2"/>
  <c r="F64" i="3" s="1"/>
  <c r="J64" i="2"/>
  <c r="K64" i="2"/>
  <c r="G64" i="3" s="1"/>
  <c r="L64" i="2"/>
  <c r="C65" i="2"/>
  <c r="D65" i="2"/>
  <c r="E65" i="2"/>
  <c r="D65" i="3" s="1"/>
  <c r="F65" i="2"/>
  <c r="G65" i="2"/>
  <c r="E65" i="3" s="1"/>
  <c r="H65" i="2"/>
  <c r="I65" i="2"/>
  <c r="F65" i="3" s="1"/>
  <c r="J65" i="2"/>
  <c r="K65" i="2"/>
  <c r="G65" i="3" s="1"/>
  <c r="L65" i="2"/>
  <c r="C66" i="2"/>
  <c r="D66" i="2"/>
  <c r="E66" i="2"/>
  <c r="F66" i="2"/>
  <c r="G66" i="2"/>
  <c r="E66" i="3" s="1"/>
  <c r="H66" i="2"/>
  <c r="I66" i="2"/>
  <c r="F66" i="3" s="1"/>
  <c r="J66" i="2"/>
  <c r="K66" i="2"/>
  <c r="G66" i="3" s="1"/>
  <c r="L66" i="2"/>
  <c r="C67" i="2"/>
  <c r="D67" i="2"/>
  <c r="E67" i="2"/>
  <c r="D67" i="3" s="1"/>
  <c r="F67" i="2"/>
  <c r="G67" i="2"/>
  <c r="E67" i="3" s="1"/>
  <c r="H67" i="2"/>
  <c r="I67" i="2"/>
  <c r="F67" i="3" s="1"/>
  <c r="J67" i="2"/>
  <c r="K67" i="2"/>
  <c r="L67" i="2"/>
  <c r="C68" i="2"/>
  <c r="D68" i="2"/>
  <c r="E68" i="2"/>
  <c r="D68" i="3" s="1"/>
  <c r="F68" i="2"/>
  <c r="G68" i="2"/>
  <c r="E68" i="3" s="1"/>
  <c r="H68" i="2"/>
  <c r="I68" i="2"/>
  <c r="F68" i="3" s="1"/>
  <c r="J68" i="2"/>
  <c r="K68" i="2"/>
  <c r="G68" i="3" s="1"/>
  <c r="L68" i="2"/>
  <c r="C69" i="2"/>
  <c r="D69" i="2"/>
  <c r="E69" i="2"/>
  <c r="D69" i="3" s="1"/>
  <c r="F69" i="2"/>
  <c r="G69" i="2"/>
  <c r="H69" i="2"/>
  <c r="I69" i="2"/>
  <c r="F69" i="3" s="1"/>
  <c r="J69" i="2"/>
  <c r="K69" i="2"/>
  <c r="G69" i="3" s="1"/>
  <c r="L69" i="2"/>
  <c r="C70" i="2"/>
  <c r="D70" i="2"/>
  <c r="E70" i="2"/>
  <c r="F70" i="2"/>
  <c r="G70" i="2"/>
  <c r="E70" i="3" s="1"/>
  <c r="H70" i="2"/>
  <c r="I70" i="2"/>
  <c r="F70" i="3" s="1"/>
  <c r="J70" i="2"/>
  <c r="K70" i="2"/>
  <c r="G70" i="3" s="1"/>
  <c r="L70" i="2"/>
  <c r="C71" i="2"/>
  <c r="D71" i="2"/>
  <c r="E71" i="2"/>
  <c r="D71" i="3" s="1"/>
  <c r="F71" i="2"/>
  <c r="G71" i="2"/>
  <c r="E71" i="3" s="1"/>
  <c r="H71" i="2"/>
  <c r="I71" i="2"/>
  <c r="F71" i="3" s="1"/>
  <c r="J71" i="2"/>
  <c r="K71" i="2"/>
  <c r="L71" i="2"/>
  <c r="C72" i="2"/>
  <c r="D72" i="2"/>
  <c r="E72" i="2"/>
  <c r="D72" i="3" s="1"/>
  <c r="F72" i="2"/>
  <c r="G72" i="2"/>
  <c r="E72" i="3" s="1"/>
  <c r="H72" i="2"/>
  <c r="I72" i="2"/>
  <c r="F72" i="3" s="1"/>
  <c r="J72" i="2"/>
  <c r="K72" i="2"/>
  <c r="G72" i="3" s="1"/>
  <c r="L72" i="2"/>
  <c r="C73" i="2"/>
  <c r="D73" i="2"/>
  <c r="E73" i="2"/>
  <c r="D73" i="3" s="1"/>
  <c r="F73" i="2"/>
  <c r="G73" i="2"/>
  <c r="E73" i="3" s="1"/>
  <c r="H73" i="2"/>
  <c r="I73" i="2"/>
  <c r="F73" i="3" s="1"/>
  <c r="J73" i="2"/>
  <c r="K73" i="2"/>
  <c r="G73" i="3" s="1"/>
  <c r="L73" i="2"/>
  <c r="C74" i="2"/>
  <c r="D74" i="2"/>
  <c r="E74" i="2"/>
  <c r="F74" i="2"/>
  <c r="G74" i="2"/>
  <c r="E74" i="3" s="1"/>
  <c r="H74" i="2"/>
  <c r="I74" i="2"/>
  <c r="J74" i="2"/>
  <c r="K74" i="2"/>
  <c r="G74" i="3" s="1"/>
  <c r="L74" i="2"/>
  <c r="C75" i="2"/>
  <c r="C75" i="3" s="1"/>
  <c r="D75" i="2"/>
  <c r="E75" i="2"/>
  <c r="F75" i="2"/>
  <c r="D75" i="3" s="1"/>
  <c r="G75" i="2"/>
  <c r="E75" i="3" s="1"/>
  <c r="H75" i="2"/>
  <c r="I75" i="2"/>
  <c r="F75" i="3" s="1"/>
  <c r="J75" i="2"/>
  <c r="K75" i="2"/>
  <c r="L75" i="2"/>
  <c r="C76" i="2"/>
  <c r="C76" i="3" s="1"/>
  <c r="D76" i="2"/>
  <c r="E76" i="2"/>
  <c r="D76" i="3" s="1"/>
  <c r="F76" i="2"/>
  <c r="G76" i="2"/>
  <c r="E76" i="3" s="1"/>
  <c r="H76" i="2"/>
  <c r="I76" i="2"/>
  <c r="F76" i="3" s="1"/>
  <c r="J76" i="2"/>
  <c r="K76" i="2"/>
  <c r="G76" i="3" s="1"/>
  <c r="L76" i="2"/>
  <c r="C77" i="2"/>
  <c r="C77" i="3" s="1"/>
  <c r="D77" i="2"/>
  <c r="E77" i="2"/>
  <c r="D77" i="3" s="1"/>
  <c r="F77" i="2"/>
  <c r="G77" i="2"/>
  <c r="E77" i="3" s="1"/>
  <c r="H77" i="2"/>
  <c r="I77" i="2"/>
  <c r="F77" i="3" s="1"/>
  <c r="J77" i="2"/>
  <c r="K77" i="2"/>
  <c r="G77" i="3" s="1"/>
  <c r="L77" i="2"/>
  <c r="C78" i="2"/>
  <c r="C78" i="3" s="1"/>
  <c r="D78" i="2"/>
  <c r="E78" i="2"/>
  <c r="F78" i="2"/>
  <c r="G78" i="2"/>
  <c r="E78" i="3" s="1"/>
  <c r="H78" i="2"/>
  <c r="I78" i="2"/>
  <c r="F78" i="3" s="1"/>
  <c r="J78" i="2"/>
  <c r="K78" i="2"/>
  <c r="G78" i="3" s="1"/>
  <c r="L78" i="2"/>
  <c r="C79" i="2"/>
  <c r="C79" i="3" s="1"/>
  <c r="D79" i="2"/>
  <c r="E79" i="2"/>
  <c r="F79" i="2"/>
  <c r="D79" i="3" s="1"/>
  <c r="G79" i="2"/>
  <c r="E79" i="3" s="1"/>
  <c r="H79" i="2"/>
  <c r="I79" i="2"/>
  <c r="J79" i="2"/>
  <c r="K79" i="2"/>
  <c r="L79" i="2"/>
  <c r="C80" i="2"/>
  <c r="D80" i="2"/>
  <c r="E80" i="2"/>
  <c r="D80" i="3" s="1"/>
  <c r="F80" i="2"/>
  <c r="G80" i="2"/>
  <c r="E80" i="3" s="1"/>
  <c r="H80" i="2"/>
  <c r="I80" i="2"/>
  <c r="F80" i="3" s="1"/>
  <c r="J80" i="2"/>
  <c r="K80" i="2"/>
  <c r="G80" i="3" s="1"/>
  <c r="L80" i="2"/>
  <c r="C81" i="2"/>
  <c r="C81" i="3" s="1"/>
  <c r="D81" i="2"/>
  <c r="E81" i="2"/>
  <c r="F81" i="2"/>
  <c r="D81" i="3" s="1"/>
  <c r="G81" i="2"/>
  <c r="E81" i="3" s="1"/>
  <c r="H81" i="2"/>
  <c r="I81" i="2"/>
  <c r="F81" i="3" s="1"/>
  <c r="J81" i="2"/>
  <c r="C82" i="2"/>
  <c r="C82" i="3" s="1"/>
  <c r="D82" i="2"/>
  <c r="E82" i="2"/>
  <c r="D82" i="3" s="1"/>
  <c r="F82" i="2"/>
  <c r="G82" i="2"/>
  <c r="E82" i="3" s="1"/>
  <c r="H82" i="2"/>
  <c r="I82" i="2"/>
  <c r="F82" i="3" s="1"/>
  <c r="J82" i="2"/>
  <c r="K82" i="2"/>
  <c r="G82" i="3" s="1"/>
  <c r="L82" i="2"/>
  <c r="C83" i="2"/>
  <c r="C83" i="3" s="1"/>
  <c r="D83" i="2"/>
  <c r="E83" i="2"/>
  <c r="F83" i="2"/>
  <c r="G83" i="2"/>
  <c r="E83" i="3" s="1"/>
  <c r="H83" i="2"/>
  <c r="I83" i="2"/>
  <c r="F83" i="3" s="1"/>
  <c r="J83" i="2"/>
  <c r="K83" i="2"/>
  <c r="G83" i="3" s="1"/>
  <c r="L83" i="2"/>
  <c r="C84" i="2"/>
  <c r="C84" i="3" s="1"/>
  <c r="D84" i="2"/>
  <c r="E84" i="2"/>
  <c r="D84" i="3" s="1"/>
  <c r="F84" i="2"/>
  <c r="G84" i="2"/>
  <c r="E84" i="3" s="1"/>
  <c r="H84" i="2"/>
  <c r="I84" i="2"/>
  <c r="J84" i="2"/>
  <c r="K84" i="2"/>
  <c r="C85" i="2"/>
  <c r="D85" i="2"/>
  <c r="E85" i="2"/>
  <c r="D85" i="3" s="1"/>
  <c r="F85" i="2"/>
  <c r="G85" i="2"/>
  <c r="E85" i="3" s="1"/>
  <c r="H85" i="2"/>
  <c r="I85" i="2"/>
  <c r="F85" i="3" s="1"/>
  <c r="J85" i="2"/>
  <c r="K85" i="2"/>
  <c r="G85" i="3" s="1"/>
  <c r="C86" i="2"/>
  <c r="D86" i="2"/>
  <c r="C86" i="3" s="1"/>
  <c r="E86" i="2"/>
  <c r="D86" i="3" s="1"/>
  <c r="F86" i="2"/>
  <c r="G86" i="2"/>
  <c r="E86" i="3" s="1"/>
  <c r="H86" i="2"/>
  <c r="I86" i="2"/>
  <c r="F86" i="3" s="1"/>
  <c r="J86" i="2"/>
  <c r="K86" i="2"/>
  <c r="G86" i="3" s="1"/>
  <c r="C87" i="2"/>
  <c r="C87" i="3" s="1"/>
  <c r="D87" i="2"/>
  <c r="E87" i="2"/>
  <c r="D87" i="3" s="1"/>
  <c r="F87" i="2"/>
  <c r="G87" i="2"/>
  <c r="E87" i="3" s="1"/>
  <c r="H87" i="2"/>
  <c r="I87" i="2"/>
  <c r="F87" i="3" s="1"/>
  <c r="J87" i="2"/>
  <c r="K87" i="2"/>
  <c r="L87" i="2"/>
  <c r="C88" i="2"/>
  <c r="D88" i="2"/>
  <c r="E88" i="2"/>
  <c r="D88" i="3" s="1"/>
  <c r="F88" i="2"/>
  <c r="G88" i="2"/>
  <c r="H88" i="2"/>
  <c r="I88" i="2"/>
  <c r="F88" i="3" s="1"/>
  <c r="J88" i="2"/>
  <c r="C89" i="2"/>
  <c r="D89" i="2"/>
  <c r="E89" i="2"/>
  <c r="D89" i="3" s="1"/>
  <c r="F89" i="2"/>
  <c r="G89" i="2"/>
  <c r="E89" i="3" s="1"/>
  <c r="H89" i="2"/>
  <c r="I89" i="2"/>
  <c r="F89" i="3" s="1"/>
  <c r="J89" i="2"/>
  <c r="C90" i="2"/>
  <c r="C90" i="3" s="1"/>
  <c r="D90" i="2"/>
  <c r="E90" i="2"/>
  <c r="D90" i="3" s="1"/>
  <c r="F90" i="2"/>
  <c r="I90" i="2"/>
  <c r="F90" i="3" s="1"/>
  <c r="J90" i="2"/>
  <c r="K90" i="2"/>
  <c r="L90" i="2"/>
  <c r="C91" i="2"/>
  <c r="C91" i="3" s="1"/>
  <c r="D91" i="2"/>
  <c r="E91" i="2"/>
  <c r="D91" i="3" s="1"/>
  <c r="F91" i="2"/>
  <c r="G91" i="2"/>
  <c r="E91" i="3" s="1"/>
  <c r="H91" i="2"/>
  <c r="I91" i="2"/>
  <c r="F91" i="3" s="1"/>
  <c r="J91" i="2"/>
  <c r="K91" i="2"/>
  <c r="L91" i="2"/>
  <c r="C92" i="2"/>
  <c r="C92" i="3" s="1"/>
  <c r="E92" i="2"/>
  <c r="F92" i="2"/>
  <c r="G92" i="2"/>
  <c r="E92" i="3" s="1"/>
  <c r="H92" i="2"/>
  <c r="I92" i="2"/>
  <c r="F92" i="3" s="1"/>
  <c r="J92" i="2"/>
  <c r="K92" i="2"/>
  <c r="G92" i="3" s="1"/>
  <c r="L92" i="2"/>
  <c r="C93" i="2"/>
  <c r="C93" i="3" s="1"/>
  <c r="E93" i="2"/>
  <c r="F93" i="2"/>
  <c r="D93" i="3" s="1"/>
  <c r="G93" i="2"/>
  <c r="E93" i="3" s="1"/>
  <c r="I93" i="2"/>
  <c r="F93" i="3" s="1"/>
  <c r="J93" i="2"/>
  <c r="K93" i="2"/>
  <c r="G93" i="3" s="1"/>
  <c r="L93" i="2"/>
  <c r="C94" i="2"/>
  <c r="C94" i="3" s="1"/>
  <c r="D94" i="2"/>
  <c r="E94" i="2"/>
  <c r="D94" i="3" s="1"/>
  <c r="F94" i="2"/>
  <c r="G94" i="2"/>
  <c r="E94" i="3" s="1"/>
  <c r="I94" i="2"/>
  <c r="F94" i="3" s="1"/>
  <c r="J94" i="2"/>
  <c r="K94" i="2"/>
  <c r="L94" i="2"/>
  <c r="C95" i="2"/>
  <c r="C95" i="3" s="1"/>
  <c r="D95" i="2"/>
  <c r="E95" i="2"/>
  <c r="D95" i="3" s="1"/>
  <c r="F95" i="2"/>
  <c r="G95" i="2"/>
  <c r="E95" i="3" s="1"/>
  <c r="I95" i="2"/>
  <c r="F95" i="3" s="1"/>
  <c r="J95" i="2"/>
  <c r="K95" i="2"/>
  <c r="L95" i="2"/>
  <c r="C96" i="2"/>
  <c r="D96" i="2"/>
  <c r="E96" i="2"/>
  <c r="D96" i="3" s="1"/>
  <c r="F96" i="2"/>
  <c r="G96" i="2"/>
  <c r="E96" i="3" s="1"/>
  <c r="I96" i="2"/>
  <c r="F96" i="3" s="1"/>
  <c r="J96" i="2"/>
  <c r="K96" i="2"/>
  <c r="L96" i="2"/>
  <c r="C97" i="2"/>
  <c r="C97" i="3" s="1"/>
  <c r="D97" i="2"/>
  <c r="E97" i="2"/>
  <c r="D97" i="3" s="1"/>
  <c r="F97" i="2"/>
  <c r="G97" i="2"/>
  <c r="E97" i="3" s="1"/>
  <c r="H97" i="2"/>
  <c r="I97" i="2"/>
  <c r="F97" i="3" s="1"/>
  <c r="J97" i="2"/>
  <c r="K97" i="2"/>
  <c r="L97" i="2"/>
  <c r="C98" i="2"/>
  <c r="C98" i="3" s="1"/>
  <c r="D98" i="2"/>
  <c r="E98" i="2"/>
  <c r="D98" i="3" s="1"/>
  <c r="F98" i="2"/>
  <c r="G98" i="2"/>
  <c r="E98" i="3" s="1"/>
  <c r="H98" i="2"/>
  <c r="I98" i="2"/>
  <c r="J98" i="2"/>
  <c r="K98" i="2"/>
  <c r="L98" i="2"/>
  <c r="C99" i="2"/>
  <c r="C99" i="3" s="1"/>
  <c r="D99" i="2"/>
  <c r="E99" i="2"/>
  <c r="F99" i="2"/>
  <c r="D99" i="3" s="1"/>
  <c r="G99" i="2"/>
  <c r="E99" i="3" s="1"/>
  <c r="H99" i="2"/>
  <c r="I99" i="2"/>
  <c r="F99" i="3" s="1"/>
  <c r="J99" i="2"/>
  <c r="K99" i="2"/>
  <c r="L99" i="2"/>
  <c r="C100" i="2"/>
  <c r="C100" i="3" s="1"/>
  <c r="D100" i="2"/>
  <c r="E100" i="2"/>
  <c r="D100" i="3" s="1"/>
  <c r="F100" i="2"/>
  <c r="G100" i="2"/>
  <c r="E100" i="3" s="1"/>
  <c r="H100" i="2"/>
  <c r="I100" i="2"/>
  <c r="F100" i="3" s="1"/>
  <c r="J100" i="2"/>
  <c r="K100" i="2"/>
  <c r="L100" i="2"/>
  <c r="C101" i="2"/>
  <c r="C101" i="3" s="1"/>
  <c r="D101" i="2"/>
  <c r="E101" i="2"/>
  <c r="D101" i="3" s="1"/>
  <c r="F101" i="2"/>
  <c r="G101" i="2"/>
  <c r="E101" i="3" s="1"/>
  <c r="H101" i="2"/>
  <c r="I101" i="2"/>
  <c r="F101" i="3" s="1"/>
  <c r="J101" i="2"/>
  <c r="K101" i="2"/>
  <c r="L101" i="2"/>
  <c r="C102" i="2"/>
  <c r="C102" i="3" s="1"/>
  <c r="D102" i="2"/>
  <c r="E102" i="2"/>
  <c r="D102" i="3" s="1"/>
  <c r="F102" i="2"/>
  <c r="G102" i="2"/>
  <c r="E102" i="3" s="1"/>
  <c r="H102" i="2"/>
  <c r="I102" i="2"/>
  <c r="F102" i="3" s="1"/>
  <c r="J102" i="2"/>
  <c r="K102" i="2"/>
  <c r="L102" i="2"/>
  <c r="C103" i="2"/>
  <c r="D103" i="2"/>
  <c r="E103" i="2"/>
  <c r="F103" i="2"/>
  <c r="D103" i="3" s="1"/>
  <c r="G103" i="2"/>
  <c r="E103" i="3" s="1"/>
  <c r="H103" i="2"/>
  <c r="I103" i="2"/>
  <c r="F103" i="3" s="1"/>
  <c r="J103" i="2"/>
  <c r="K103" i="2"/>
  <c r="L103" i="2"/>
  <c r="C104" i="2"/>
  <c r="C104" i="3" s="1"/>
  <c r="D104" i="2"/>
  <c r="E104" i="2"/>
  <c r="D104" i="3" s="1"/>
  <c r="F104" i="2"/>
  <c r="I104" i="2"/>
  <c r="F104" i="3" s="1"/>
  <c r="J104" i="2"/>
  <c r="K104" i="2"/>
  <c r="L104" i="2"/>
  <c r="C105" i="2"/>
  <c r="C105" i="3" s="1"/>
  <c r="D105" i="2"/>
  <c r="E105" i="2"/>
  <c r="D105" i="3" s="1"/>
  <c r="F105" i="2"/>
  <c r="G105" i="2"/>
  <c r="E105" i="3" s="1"/>
  <c r="H105" i="2"/>
  <c r="I105" i="2"/>
  <c r="F105" i="3" s="1"/>
  <c r="J105" i="2"/>
  <c r="K105" i="2"/>
  <c r="L105" i="2"/>
  <c r="C106" i="2"/>
  <c r="C106" i="3" s="1"/>
  <c r="D106" i="2"/>
  <c r="E106" i="2"/>
  <c r="D106" i="3" s="1"/>
  <c r="F106" i="2"/>
  <c r="G106" i="2"/>
  <c r="E106" i="3" s="1"/>
  <c r="H106" i="2"/>
  <c r="I106" i="2"/>
  <c r="J106" i="2"/>
  <c r="K106" i="2"/>
  <c r="G106" i="3" s="1"/>
  <c r="C107" i="2"/>
  <c r="D107" i="2"/>
  <c r="E107" i="2"/>
  <c r="D107" i="3" s="1"/>
  <c r="F107" i="2"/>
  <c r="G107" i="2"/>
  <c r="E107" i="3" s="1"/>
  <c r="H107" i="2"/>
  <c r="I107" i="2"/>
  <c r="F107" i="3" s="1"/>
  <c r="J107" i="2"/>
  <c r="K107" i="2"/>
  <c r="G107" i="3" s="1"/>
  <c r="C108" i="2"/>
  <c r="C108" i="3" s="1"/>
  <c r="D108" i="2"/>
  <c r="E108" i="2"/>
  <c r="D108" i="3" s="1"/>
  <c r="F108" i="2"/>
  <c r="G108" i="2"/>
  <c r="E108" i="3" s="1"/>
  <c r="H108" i="2"/>
  <c r="I108" i="2"/>
  <c r="F108" i="3" s="1"/>
  <c r="J108" i="2"/>
  <c r="K108" i="2"/>
  <c r="L108" i="2"/>
  <c r="C109" i="2"/>
  <c r="D109" i="2"/>
  <c r="E109" i="2"/>
  <c r="F109" i="2"/>
  <c r="D109" i="3" s="1"/>
  <c r="G109" i="2"/>
  <c r="E109" i="3" s="1"/>
  <c r="H109" i="2"/>
  <c r="I109" i="2"/>
  <c r="F109" i="3" s="1"/>
  <c r="J109" i="2"/>
  <c r="K109" i="2"/>
  <c r="L109" i="2"/>
  <c r="C110" i="2"/>
  <c r="C110" i="3" s="1"/>
  <c r="D110" i="2"/>
  <c r="E110" i="2"/>
  <c r="D110" i="3" s="1"/>
  <c r="F110" i="2"/>
  <c r="G110" i="2"/>
  <c r="E110" i="3" s="1"/>
  <c r="H110" i="2"/>
  <c r="I110" i="2"/>
  <c r="F110" i="3" s="1"/>
  <c r="J110" i="2"/>
  <c r="K110" i="2"/>
  <c r="L110" i="2"/>
  <c r="C111" i="2"/>
  <c r="C111" i="3" s="1"/>
  <c r="D111" i="2"/>
  <c r="E111" i="2"/>
  <c r="D111" i="3" s="1"/>
  <c r="F111" i="2"/>
  <c r="G111" i="2"/>
  <c r="E111" i="3" s="1"/>
  <c r="H111" i="2"/>
  <c r="I111" i="2"/>
  <c r="F111" i="3" s="1"/>
  <c r="J111" i="2"/>
  <c r="K111" i="2"/>
  <c r="L111" i="2"/>
  <c r="C112" i="2"/>
  <c r="C112" i="3" s="1"/>
  <c r="D112" i="2"/>
  <c r="E112" i="2"/>
  <c r="D112" i="3" s="1"/>
  <c r="F112" i="2"/>
  <c r="G112" i="2"/>
  <c r="E112" i="3" s="1"/>
  <c r="H112" i="2"/>
  <c r="I112" i="2"/>
  <c r="J112" i="2"/>
  <c r="K112" i="2"/>
  <c r="L112" i="2"/>
  <c r="C113" i="2"/>
  <c r="C113" i="3" s="1"/>
  <c r="D113" i="2"/>
  <c r="E113" i="2"/>
  <c r="F113" i="2"/>
  <c r="D113" i="3" s="1"/>
  <c r="G113" i="2"/>
  <c r="E113" i="3" s="1"/>
  <c r="H113" i="2"/>
  <c r="I113" i="2"/>
  <c r="F113" i="3" s="1"/>
  <c r="J113" i="2"/>
  <c r="K113" i="2"/>
  <c r="L113" i="2"/>
  <c r="C114" i="2"/>
  <c r="C114" i="3" s="1"/>
  <c r="D114" i="2"/>
  <c r="E114" i="2"/>
  <c r="D114" i="3" s="1"/>
  <c r="F114" i="2"/>
  <c r="G114" i="2"/>
  <c r="E114" i="3" s="1"/>
  <c r="H114" i="2"/>
  <c r="I114" i="2"/>
  <c r="F114" i="3" s="1"/>
  <c r="J114" i="2"/>
  <c r="K114" i="2"/>
  <c r="L114" i="2"/>
  <c r="C115" i="2"/>
  <c r="C115" i="3" s="1"/>
  <c r="D115" i="2"/>
  <c r="K115" i="2"/>
  <c r="L115" i="2"/>
  <c r="C116" i="2"/>
  <c r="D116" i="2"/>
  <c r="E116" i="2"/>
  <c r="I116" i="2"/>
  <c r="F116" i="3" s="1"/>
  <c r="J116" i="2"/>
  <c r="K116" i="2"/>
  <c r="G116" i="3" s="1"/>
  <c r="L116" i="2"/>
  <c r="C117" i="2"/>
  <c r="C117" i="3" s="1"/>
  <c r="D117" i="2"/>
  <c r="I117" i="2"/>
  <c r="F117" i="3" s="1"/>
  <c r="K117" i="2"/>
  <c r="G117" i="3" s="1"/>
  <c r="L117" i="2"/>
  <c r="C118" i="2"/>
  <c r="C118" i="3" s="1"/>
  <c r="D118" i="2"/>
  <c r="E118" i="2"/>
  <c r="D118" i="3" s="1"/>
  <c r="F118" i="2"/>
  <c r="I118" i="2"/>
  <c r="F118" i="3" s="1"/>
  <c r="J118" i="2"/>
  <c r="K118" i="2"/>
  <c r="L118" i="2"/>
  <c r="C119" i="2"/>
  <c r="C119" i="3" s="1"/>
  <c r="D119" i="2"/>
  <c r="E119" i="2"/>
  <c r="D119" i="3" s="1"/>
  <c r="F119" i="2"/>
  <c r="I119" i="2"/>
  <c r="J119" i="2"/>
  <c r="F119" i="3" s="1"/>
  <c r="K119" i="2"/>
  <c r="L119" i="2"/>
  <c r="C120" i="2"/>
  <c r="C120" i="3" s="1"/>
  <c r="D120" i="2"/>
  <c r="E120" i="2"/>
  <c r="D120" i="3" s="1"/>
  <c r="F120" i="2"/>
  <c r="I120" i="2"/>
  <c r="F120" i="3" s="1"/>
  <c r="J120" i="2"/>
  <c r="K120" i="2"/>
  <c r="G120" i="3" s="1"/>
  <c r="L120" i="2"/>
  <c r="C121" i="2"/>
  <c r="C121" i="3" s="1"/>
  <c r="D121" i="2"/>
  <c r="E121" i="2"/>
  <c r="D121" i="3" s="1"/>
  <c r="F121" i="2"/>
  <c r="G121" i="2"/>
  <c r="H121" i="2"/>
  <c r="I121" i="2"/>
  <c r="J121" i="2"/>
  <c r="K121" i="2"/>
  <c r="L121" i="2"/>
  <c r="C122" i="2"/>
  <c r="C122" i="3" s="1"/>
  <c r="D122" i="2"/>
  <c r="E122" i="2"/>
  <c r="D122" i="3" s="1"/>
  <c r="F122" i="2"/>
  <c r="G122" i="2"/>
  <c r="E122" i="3" s="1"/>
  <c r="H122" i="2"/>
  <c r="I122" i="2"/>
  <c r="F122" i="3" s="1"/>
  <c r="J122" i="2"/>
  <c r="K122" i="2"/>
  <c r="L122" i="2"/>
  <c r="C123" i="2"/>
  <c r="D123" i="2"/>
  <c r="E123" i="2"/>
  <c r="F123" i="2"/>
  <c r="D123" i="3" s="1"/>
  <c r="G123" i="2"/>
  <c r="H123" i="2"/>
  <c r="I123" i="2"/>
  <c r="F123" i="3" s="1"/>
  <c r="J123" i="2"/>
  <c r="K123" i="2"/>
  <c r="L123" i="2"/>
  <c r="C124" i="2"/>
  <c r="C124" i="3" s="1"/>
  <c r="D124" i="2"/>
  <c r="E124" i="2"/>
  <c r="D124" i="3" s="1"/>
  <c r="F124" i="2"/>
  <c r="G124" i="2"/>
  <c r="E124" i="3" s="1"/>
  <c r="H124" i="2"/>
  <c r="I124" i="2"/>
  <c r="F124" i="3" s="1"/>
  <c r="J124" i="2"/>
  <c r="K124" i="2"/>
  <c r="L124" i="2"/>
  <c r="C125" i="2"/>
  <c r="C125" i="3" s="1"/>
  <c r="D125" i="2"/>
  <c r="E125" i="2"/>
  <c r="D125" i="3" s="1"/>
  <c r="F125" i="2"/>
  <c r="G125" i="2"/>
  <c r="H125" i="2"/>
  <c r="I125" i="2"/>
  <c r="F125" i="3" s="1"/>
  <c r="J125" i="2"/>
  <c r="K125" i="2"/>
  <c r="L125" i="2"/>
  <c r="C126" i="2"/>
  <c r="C126" i="3" s="1"/>
  <c r="D126" i="2"/>
  <c r="E126" i="2"/>
  <c r="D126" i="3" s="1"/>
  <c r="F126" i="2"/>
  <c r="G126" i="2"/>
  <c r="E126" i="3" s="1"/>
  <c r="H126" i="2"/>
  <c r="I126" i="2"/>
  <c r="F126" i="3" s="1"/>
  <c r="J126" i="2"/>
  <c r="K126" i="2"/>
  <c r="C127" i="2"/>
  <c r="C127" i="3" s="1"/>
  <c r="D127" i="2"/>
  <c r="E127" i="2"/>
  <c r="F127" i="2"/>
  <c r="G127" i="2"/>
  <c r="H127" i="2"/>
  <c r="I127" i="2"/>
  <c r="F127" i="3" s="1"/>
  <c r="J127" i="2"/>
  <c r="K127" i="2"/>
  <c r="G127" i="3" s="1"/>
  <c r="L127" i="2"/>
  <c r="C128" i="2"/>
  <c r="D128" i="2"/>
  <c r="E128" i="2"/>
  <c r="D128" i="3" s="1"/>
  <c r="F128" i="2"/>
  <c r="G128" i="2"/>
  <c r="E128" i="3" s="1"/>
  <c r="H128" i="2"/>
  <c r="I128" i="2"/>
  <c r="J128" i="2"/>
  <c r="K128" i="2"/>
  <c r="G128" i="3" s="1"/>
  <c r="C129" i="2"/>
  <c r="C129" i="3" s="1"/>
  <c r="D129" i="2"/>
  <c r="E129" i="2"/>
  <c r="D129" i="3" s="1"/>
  <c r="F129" i="2"/>
  <c r="G129" i="2"/>
  <c r="H129" i="2"/>
  <c r="E129" i="3" s="1"/>
  <c r="I129" i="2"/>
  <c r="F129" i="3" s="1"/>
  <c r="J129" i="2"/>
  <c r="K129" i="2"/>
  <c r="G129" i="3" s="1"/>
  <c r="L129" i="2"/>
  <c r="C130" i="2"/>
  <c r="C130" i="3" s="1"/>
  <c r="D130" i="2"/>
  <c r="E130" i="2"/>
  <c r="D130" i="3" s="1"/>
  <c r="F130" i="2"/>
  <c r="G130" i="2"/>
  <c r="E130" i="3" s="1"/>
  <c r="H130" i="2"/>
  <c r="I130" i="2"/>
  <c r="F130" i="3" s="1"/>
  <c r="J130" i="2"/>
  <c r="K130" i="2"/>
  <c r="L130" i="2"/>
  <c r="C131" i="2"/>
  <c r="C131" i="3" s="1"/>
  <c r="D131" i="2"/>
  <c r="E131" i="2"/>
  <c r="D131" i="3" s="1"/>
  <c r="F131" i="2"/>
  <c r="G131" i="2"/>
  <c r="H131" i="2"/>
  <c r="I131" i="2"/>
  <c r="F131" i="3" s="1"/>
  <c r="J131" i="2"/>
  <c r="K131" i="2"/>
  <c r="L131" i="2"/>
  <c r="C132" i="2"/>
  <c r="C132" i="3" s="1"/>
  <c r="D132" i="2"/>
  <c r="E132" i="2"/>
  <c r="D132" i="3" s="1"/>
  <c r="F132" i="2"/>
  <c r="G132" i="2"/>
  <c r="E132" i="3" s="1"/>
  <c r="H132" i="2"/>
  <c r="I132" i="2"/>
  <c r="F132" i="3" s="1"/>
  <c r="J132" i="2"/>
  <c r="K132" i="2"/>
  <c r="L132" i="2"/>
  <c r="C133" i="2"/>
  <c r="C133" i="3" s="1"/>
  <c r="D133" i="2"/>
  <c r="E133" i="2"/>
  <c r="D133" i="3" s="1"/>
  <c r="F133" i="2"/>
  <c r="G133" i="2"/>
  <c r="H133" i="2"/>
  <c r="E133" i="3" s="1"/>
  <c r="I133" i="2"/>
  <c r="J133" i="2"/>
  <c r="F133" i="3" s="1"/>
  <c r="K133" i="2"/>
  <c r="L133" i="2"/>
  <c r="C134" i="2"/>
  <c r="C134" i="3" s="1"/>
  <c r="D134" i="2"/>
  <c r="E134" i="2"/>
  <c r="D134" i="3" s="1"/>
  <c r="F134" i="2"/>
  <c r="G134" i="2"/>
  <c r="E134" i="3" s="1"/>
  <c r="H134" i="2"/>
  <c r="I134" i="2"/>
  <c r="F134" i="3" s="1"/>
  <c r="J134" i="2"/>
  <c r="K134" i="2"/>
  <c r="L134" i="2"/>
  <c r="C135" i="2"/>
  <c r="D135" i="2"/>
  <c r="E135" i="2"/>
  <c r="D135" i="3" s="1"/>
  <c r="F135" i="2"/>
  <c r="G135" i="2"/>
  <c r="E135" i="3" s="1"/>
  <c r="H135" i="2"/>
  <c r="I135" i="2"/>
  <c r="F135" i="3" s="1"/>
  <c r="J135" i="2"/>
  <c r="K135" i="2"/>
  <c r="L135" i="2"/>
  <c r="C136" i="2"/>
  <c r="C136" i="3" s="1"/>
  <c r="D136" i="2"/>
  <c r="E136" i="2"/>
  <c r="F136" i="2"/>
  <c r="D136" i="3" s="1"/>
  <c r="G136" i="2"/>
  <c r="E136" i="3" s="1"/>
  <c r="H136" i="2"/>
  <c r="I136" i="2"/>
  <c r="J136" i="2"/>
  <c r="K136" i="2"/>
  <c r="L136" i="2"/>
  <c r="C137" i="2"/>
  <c r="D137" i="2"/>
  <c r="E137" i="2"/>
  <c r="D137" i="3" s="1"/>
  <c r="F137" i="2"/>
  <c r="G137" i="2"/>
  <c r="E137" i="3" s="1"/>
  <c r="H137" i="2"/>
  <c r="I137" i="2"/>
  <c r="F137" i="3" s="1"/>
  <c r="J137" i="2"/>
  <c r="K137" i="2"/>
  <c r="L137" i="2"/>
  <c r="C138" i="2"/>
  <c r="C138" i="3" s="1"/>
  <c r="D138" i="2"/>
  <c r="E138" i="2"/>
  <c r="D138" i="3" s="1"/>
  <c r="F138" i="2"/>
  <c r="G138" i="2"/>
  <c r="E138" i="3" s="1"/>
  <c r="H138" i="2"/>
  <c r="I138" i="2"/>
  <c r="F138" i="3" s="1"/>
  <c r="J138" i="2"/>
  <c r="K138" i="2"/>
  <c r="L138" i="2"/>
  <c r="C139" i="2"/>
  <c r="C139" i="3" s="1"/>
  <c r="D139" i="2"/>
  <c r="E139" i="2"/>
  <c r="D139" i="3" s="1"/>
  <c r="F139" i="2"/>
  <c r="G139" i="2"/>
  <c r="E139" i="3" s="1"/>
  <c r="H139" i="2"/>
  <c r="I139" i="2"/>
  <c r="F139" i="3" s="1"/>
  <c r="J139" i="2"/>
  <c r="K139" i="2"/>
  <c r="L139" i="2"/>
  <c r="C140" i="2"/>
  <c r="C140" i="3" s="1"/>
  <c r="D140" i="2"/>
  <c r="E140" i="2"/>
  <c r="F140" i="2"/>
  <c r="G140" i="2"/>
  <c r="E140" i="3" s="1"/>
  <c r="H140" i="2"/>
  <c r="I140" i="2"/>
  <c r="F140" i="3" s="1"/>
  <c r="J140" i="2"/>
  <c r="K140" i="2"/>
  <c r="L140" i="2"/>
  <c r="G140" i="3" s="1"/>
  <c r="C141" i="2"/>
  <c r="D141" i="2"/>
  <c r="E141" i="2"/>
  <c r="D141" i="3" s="1"/>
  <c r="F141" i="2"/>
  <c r="G141" i="2"/>
  <c r="H141" i="2"/>
  <c r="E141" i="3" s="1"/>
  <c r="I141" i="2"/>
  <c r="J141" i="2"/>
  <c r="F141" i="3" s="1"/>
  <c r="K141" i="2"/>
  <c r="L141" i="2"/>
  <c r="D2" i="2"/>
  <c r="E2" i="2"/>
  <c r="D2" i="3" s="1"/>
  <c r="F2" i="2"/>
  <c r="G2" i="2"/>
  <c r="E2" i="3" s="1"/>
  <c r="H2" i="2"/>
  <c r="I2" i="2"/>
  <c r="F2" i="3" s="1"/>
  <c r="J2" i="2"/>
  <c r="K2" i="2"/>
  <c r="G2" i="3" s="1"/>
  <c r="L2" i="2"/>
  <c r="C2" i="2"/>
  <c r="C2" i="3" s="1"/>
  <c r="C141" i="3" l="1"/>
  <c r="C137" i="3"/>
  <c r="C96" i="3"/>
  <c r="C80" i="3"/>
  <c r="C85" i="3"/>
  <c r="C128" i="3"/>
  <c r="C123" i="3"/>
  <c r="C116" i="3"/>
  <c r="C109" i="3"/>
  <c r="C103" i="3"/>
  <c r="C89" i="3"/>
  <c r="C88" i="3"/>
  <c r="C107" i="3"/>
  <c r="C56" i="3"/>
  <c r="C50" i="3"/>
  <c r="C26" i="3"/>
  <c r="C24" i="3"/>
  <c r="C29" i="3"/>
  <c r="C23" i="3"/>
  <c r="C27" i="3"/>
  <c r="C19" i="3"/>
  <c r="C15" i="3"/>
  <c r="C11" i="3"/>
  <c r="C7" i="3"/>
  <c r="C3" i="3"/>
  <c r="C6" i="3"/>
  <c r="C21" i="3"/>
  <c r="C13" i="3"/>
  <c r="G95" i="3"/>
  <c r="G79" i="3"/>
  <c r="G71" i="3"/>
  <c r="G63" i="3"/>
  <c r="G55" i="3"/>
  <c r="G47" i="3"/>
  <c r="G43" i="3"/>
  <c r="G39" i="3"/>
  <c r="G35" i="3"/>
  <c r="G31" i="3"/>
  <c r="G27" i="3"/>
  <c r="G21" i="3"/>
  <c r="G17" i="3"/>
  <c r="G13" i="3"/>
  <c r="G9" i="3"/>
  <c r="G5" i="3"/>
  <c r="G75" i="3"/>
  <c r="G67" i="3"/>
  <c r="G59" i="3"/>
  <c r="G51" i="3"/>
  <c r="G111" i="3"/>
  <c r="G6" i="3"/>
  <c r="G3" i="3"/>
  <c r="G138" i="3"/>
  <c r="G134" i="3"/>
  <c r="G130" i="3"/>
  <c r="G125" i="3"/>
  <c r="G121" i="3"/>
  <c r="G101" i="3"/>
  <c r="G97" i="3"/>
  <c r="G90" i="3"/>
  <c r="G87" i="3"/>
  <c r="G141" i="3"/>
  <c r="G137" i="3"/>
  <c r="G133" i="3"/>
  <c r="G124" i="3"/>
  <c r="G119" i="3"/>
  <c r="G118" i="3"/>
  <c r="G114" i="3"/>
  <c r="G110" i="3"/>
  <c r="G105" i="3"/>
  <c r="G100" i="3"/>
  <c r="G96" i="3"/>
  <c r="G136" i="3"/>
  <c r="G132" i="3"/>
  <c r="G123" i="3"/>
  <c r="G113" i="3"/>
  <c r="G109" i="3"/>
  <c r="G104" i="3"/>
  <c r="G103" i="3"/>
  <c r="G99" i="3"/>
  <c r="G94" i="3"/>
  <c r="G12" i="3"/>
  <c r="G8" i="3"/>
  <c r="G4" i="3"/>
  <c r="G139" i="3"/>
  <c r="G135" i="3"/>
  <c r="G131" i="3"/>
  <c r="G122" i="3"/>
  <c r="G115" i="3"/>
  <c r="G112" i="3"/>
  <c r="G108" i="3"/>
  <c r="G102" i="3"/>
  <c r="G98" i="3"/>
  <c r="G91" i="3"/>
  <c r="G84" i="3"/>
  <c r="G126" i="3"/>
  <c r="E117" i="3"/>
  <c r="E115" i="3"/>
  <c r="F25" i="3"/>
  <c r="E25" i="3"/>
</calcChain>
</file>

<file path=xl/sharedStrings.xml><?xml version="1.0" encoding="utf-8"?>
<sst xmlns="http://schemas.openxmlformats.org/spreadsheetml/2006/main" count="925" uniqueCount="151">
  <si>
    <t>Upwelling</t>
  </si>
  <si>
    <t>NA</t>
  </si>
  <si>
    <t>Cycle 1</t>
  </si>
  <si>
    <t>σ</t>
  </si>
  <si>
    <t>Cycle 2</t>
  </si>
  <si>
    <t>Cycle 3</t>
  </si>
  <si>
    <t>Cycle 4</t>
  </si>
  <si>
    <t>Cycle 5</t>
  </si>
  <si>
    <t>Flow</t>
  </si>
  <si>
    <t>NH4-&gt;NO3</t>
  </si>
  <si>
    <t>NH4-&gt;Pico</t>
  </si>
  <si>
    <t>NH4-&gt;dtm</t>
  </si>
  <si>
    <t>NH4-&gt;flag</t>
  </si>
  <si>
    <t>NO3-&gt;Pico</t>
  </si>
  <si>
    <t>NO3-&gt;dtm</t>
  </si>
  <si>
    <t>NO3-&gt;flag</t>
  </si>
  <si>
    <t>bac-&gt;flag</t>
  </si>
  <si>
    <t>bac-&gt;hnf</t>
  </si>
  <si>
    <t>bac-&gt;mic</t>
  </si>
  <si>
    <t>bac-&gt;nh4</t>
  </si>
  <si>
    <t>Pico-&gt;hnf</t>
  </si>
  <si>
    <t>Pico-&gt;mic</t>
  </si>
  <si>
    <t>Pico-&gt;flag</t>
  </si>
  <si>
    <t>Pico-&gt;Salp</t>
  </si>
  <si>
    <t>Pico-&gt;dom</t>
  </si>
  <si>
    <t>Pico-&gt;sdet</t>
  </si>
  <si>
    <t>dtm-&gt;mic</t>
  </si>
  <si>
    <t>dtm-&gt;Meso</t>
  </si>
  <si>
    <t>dtm-&gt;VMMeso</t>
  </si>
  <si>
    <t>dtm-&gt;Macro</t>
  </si>
  <si>
    <t>dtm-&gt;VMMacro</t>
  </si>
  <si>
    <t>dtm-&gt;Salp</t>
  </si>
  <si>
    <t>dtm-&gt;dom</t>
  </si>
  <si>
    <t>dtm-&gt;mdet</t>
  </si>
  <si>
    <t>flag-&gt;mic</t>
  </si>
  <si>
    <t>flag-&gt;Meso</t>
  </si>
  <si>
    <t>flag-&gt;VMMeso</t>
  </si>
  <si>
    <t>flag-&gt;Macro</t>
  </si>
  <si>
    <t>flag-&gt;VMMacro</t>
  </si>
  <si>
    <t>flag-&gt;Salp</t>
  </si>
  <si>
    <t>flag-&gt;dom</t>
  </si>
  <si>
    <t>flag-&gt;sdet</t>
  </si>
  <si>
    <t>hnf-&gt;mic</t>
  </si>
  <si>
    <t>hnf-&gt;Meso</t>
  </si>
  <si>
    <t>hnf-&gt;VMMeso</t>
  </si>
  <si>
    <t>hnf-&gt;Macro</t>
  </si>
  <si>
    <t>hnf-&gt;VMMacro</t>
  </si>
  <si>
    <t>hnf-&gt;Salp</t>
  </si>
  <si>
    <t>hnf-&gt;nh4</t>
  </si>
  <si>
    <t>hnf-&gt;dom</t>
  </si>
  <si>
    <t>hnf-&gt;sdet</t>
  </si>
  <si>
    <t>mic-&gt;Meso</t>
  </si>
  <si>
    <t>mic-&gt;VMMeso</t>
  </si>
  <si>
    <t>mic-&gt;Macro</t>
  </si>
  <si>
    <t>mic-&gt;VMMacro</t>
  </si>
  <si>
    <t>mic-&gt;Salp</t>
  </si>
  <si>
    <t>mic-&gt;nh4</t>
  </si>
  <si>
    <t>mic-&gt;dom</t>
  </si>
  <si>
    <t>mic-&gt;sdet</t>
  </si>
  <si>
    <t>Meso-&gt;Meso</t>
  </si>
  <si>
    <t>Meso-&gt;VMMeso</t>
  </si>
  <si>
    <t>Meso-&gt;Macro</t>
  </si>
  <si>
    <t>Meso-&gt;VMMacro</t>
  </si>
  <si>
    <t>Meso-&gt;gel</t>
  </si>
  <si>
    <t>Meso-&gt;Myct</t>
  </si>
  <si>
    <t>Meso-&gt;HTL</t>
  </si>
  <si>
    <t>Meso-&gt;nh4</t>
  </si>
  <si>
    <t>Meso-&gt;dom</t>
  </si>
  <si>
    <t>Meso-&gt;mdet</t>
  </si>
  <si>
    <t>VMMeso-&gt;Meso</t>
  </si>
  <si>
    <t>VMMeso-&gt;VMMeso</t>
  </si>
  <si>
    <t>VMMeso-&gt;Macro</t>
  </si>
  <si>
    <t>VMMeso-&gt;VMMacro</t>
  </si>
  <si>
    <t>VMMeso-&gt;gel</t>
  </si>
  <si>
    <t>VMMeso-&gt;Myct</t>
  </si>
  <si>
    <t>VMMeso-&gt;HTL</t>
  </si>
  <si>
    <t>VMMeso-&gt;nh4</t>
  </si>
  <si>
    <t>VMMeso-&gt;dom</t>
  </si>
  <si>
    <t>VMMeso-&gt;mdet</t>
  </si>
  <si>
    <t>VMMeso-&gt;dnh4</t>
  </si>
  <si>
    <t>VMMeso-&gt;ddom</t>
  </si>
  <si>
    <t>Macro-&gt;gel</t>
  </si>
  <si>
    <t>Macro-&gt;Myct</t>
  </si>
  <si>
    <t>Macro-&gt;HTL</t>
  </si>
  <si>
    <t>Macro-&gt;nh4</t>
  </si>
  <si>
    <t>Macro-&gt;dom</t>
  </si>
  <si>
    <t>Macro-&gt;ldet</t>
  </si>
  <si>
    <t>VMMacro-&gt;PiscivFish</t>
  </si>
  <si>
    <t>VMMacro-&gt;gel</t>
  </si>
  <si>
    <t>VMMacro-&gt;Myct</t>
  </si>
  <si>
    <t>VMMacro-&gt;HTL</t>
  </si>
  <si>
    <t>VMMacro-&gt;nh4</t>
  </si>
  <si>
    <t>VMMacro-&gt;dom</t>
  </si>
  <si>
    <t>VMMacro-&gt;ldet</t>
  </si>
  <si>
    <t>VMMacro-&gt;dnh4</t>
  </si>
  <si>
    <t>VMMacro-&gt;ddom</t>
  </si>
  <si>
    <t>gel-&gt;Amph</t>
  </si>
  <si>
    <t>gel-&gt;Myct</t>
  </si>
  <si>
    <t>gel-&gt;GelativFish</t>
  </si>
  <si>
    <t>gel-&gt;HTL</t>
  </si>
  <si>
    <t>gel-&gt;nh4</t>
  </si>
  <si>
    <t>gel-&gt;dom</t>
  </si>
  <si>
    <t>gel-&gt;ldet</t>
  </si>
  <si>
    <t>Myct-&gt;PiscivFish</t>
  </si>
  <si>
    <t>Myct-&gt;nh4</t>
  </si>
  <si>
    <t>Myct-&gt;dom</t>
  </si>
  <si>
    <t>Myct-&gt;dnh4</t>
  </si>
  <si>
    <t>Myct-&gt;ddom</t>
  </si>
  <si>
    <t>Myct-&gt;poop</t>
  </si>
  <si>
    <t>Myct-&gt;biomass</t>
  </si>
  <si>
    <t>Salp-&gt;Amph</t>
  </si>
  <si>
    <t>Salp-&gt;Myct</t>
  </si>
  <si>
    <t>Salp-&gt;nh4</t>
  </si>
  <si>
    <t>Salp-&gt;dom</t>
  </si>
  <si>
    <t>Salp-&gt;SalpDet</t>
  </si>
  <si>
    <t>Salp-&gt;SalpMort</t>
  </si>
  <si>
    <t>Salp-&gt;HTL</t>
  </si>
  <si>
    <t>Salp-&gt;dnh4</t>
  </si>
  <si>
    <t>Salp-&gt;ddom</t>
  </si>
  <si>
    <t>SalpMort-&gt;GelativFish</t>
  </si>
  <si>
    <t>SalpMort-&gt;Sink</t>
  </si>
  <si>
    <t>Amph-&gt;PiscivFish</t>
  </si>
  <si>
    <t>Amph-&gt;Myct</t>
  </si>
  <si>
    <t>Amph-&gt;HTL</t>
  </si>
  <si>
    <t>Amph-&gt;nh4</t>
  </si>
  <si>
    <t>Amph-&gt;dom</t>
  </si>
  <si>
    <t>Amph-&gt;ldet</t>
  </si>
  <si>
    <t>PiscivFish-&gt;dnh4</t>
  </si>
  <si>
    <t>PiscivFish-&gt;ddom</t>
  </si>
  <si>
    <t>PiscivFish-&gt;poop</t>
  </si>
  <si>
    <t>PiscivFish-&gt;biomass</t>
  </si>
  <si>
    <t>GelativFish-&gt;dnh4</t>
  </si>
  <si>
    <t>GelativFish-&gt;ddom</t>
  </si>
  <si>
    <t>GelativFish-&gt;poop</t>
  </si>
  <si>
    <t>GelativFish-&gt;biomass</t>
  </si>
  <si>
    <t>dom-&gt;bac</t>
  </si>
  <si>
    <t>sdet-&gt;hnf</t>
  </si>
  <si>
    <t>sdet-&gt;mic</t>
  </si>
  <si>
    <t>sdet-&gt;dom</t>
  </si>
  <si>
    <t>mdet-&gt;mic</t>
  </si>
  <si>
    <t>mdet-&gt;Meso</t>
  </si>
  <si>
    <t>mdet-&gt;VMMeso</t>
  </si>
  <si>
    <t>mdet-&gt;dom</t>
  </si>
  <si>
    <t>mdet-&gt;Sink</t>
  </si>
  <si>
    <t>ldet-&gt;dom</t>
  </si>
  <si>
    <t>ldet-&gt;Sink</t>
  </si>
  <si>
    <t>SalpDet-&gt;dom</t>
  </si>
  <si>
    <t>SalpDet-&gt;Sink</t>
  </si>
  <si>
    <t>Units</t>
  </si>
  <si>
    <r>
      <t>(mmol N m</t>
    </r>
    <r>
      <rPr>
        <vertAlign val="superscript"/>
        <sz val="11"/>
        <rFont val="Calibri"/>
        <family val="2"/>
      </rPr>
      <t>-2</t>
    </r>
    <r>
      <rPr>
        <sz val="11"/>
        <rFont val="Calibri"/>
        <family val="2"/>
      </rPr>
      <t xml:space="preserve"> d</t>
    </r>
    <r>
      <rPr>
        <vertAlign val="superscript"/>
        <sz val="11"/>
        <rFont val="Calibri"/>
        <family val="2"/>
      </rPr>
      <t>-1</t>
    </r>
    <r>
      <rPr>
        <sz val="11"/>
        <rFont val="Calibri"/>
        <family val="2"/>
      </rPr>
      <t>)</t>
    </r>
  </si>
  <si>
    <r>
      <t>(</t>
    </r>
    <r>
      <rPr>
        <sz val="11"/>
        <rFont val="Aptos Narrow"/>
        <family val="2"/>
      </rPr>
      <t>µ</t>
    </r>
    <r>
      <rPr>
        <sz val="11"/>
        <rFont val="Calibri"/>
        <family val="2"/>
      </rPr>
      <t>mol N m</t>
    </r>
    <r>
      <rPr>
        <vertAlign val="superscript"/>
        <sz val="11"/>
        <rFont val="Calibri"/>
        <family val="2"/>
      </rPr>
      <t>-2</t>
    </r>
    <r>
      <rPr>
        <sz val="11"/>
        <rFont val="Calibri"/>
        <family val="2"/>
      </rPr>
      <t xml:space="preserve"> d</t>
    </r>
    <r>
      <rPr>
        <vertAlign val="superscript"/>
        <sz val="11"/>
        <rFont val="Calibri"/>
        <family val="2"/>
      </rPr>
      <t>-1</t>
    </r>
    <r>
      <rPr>
        <sz val="1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</si>
</sst>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vertAlign val="superscript"/>
      <sz val="11"/>
      <name val="Calibri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41"/>
  <sheetViews>
    <sheetView workbookViewId="0">
      <selection activeCell="C136" sqref="C136:D141"/>
    </sheetView>
  </sheetViews>
  <sheetFormatPr defaultRowHeight="14.5" x14ac:dyDescent="0.35"/>
  <cols>
    <col min="1" max="2" width="19.90625" customWidth="1"/>
    <col min="3" max="12" width="15.453125" customWidth="1"/>
  </cols>
  <sheetData>
    <row r="1" spans="1:12" x14ac:dyDescent="0.35">
      <c r="A1" s="4" t="s">
        <v>8</v>
      </c>
      <c r="B1" s="4" t="s">
        <v>148</v>
      </c>
      <c r="C1" s="4" t="s">
        <v>2</v>
      </c>
      <c r="D1" s="4" t="s">
        <v>3</v>
      </c>
      <c r="E1" s="4" t="s">
        <v>4</v>
      </c>
      <c r="F1" s="4" t="s">
        <v>3</v>
      </c>
      <c r="G1" s="4" t="s">
        <v>5</v>
      </c>
      <c r="H1" s="4" t="s">
        <v>3</v>
      </c>
      <c r="I1" s="4" t="s">
        <v>6</v>
      </c>
      <c r="J1" s="4" t="s">
        <v>3</v>
      </c>
      <c r="K1" s="4" t="s">
        <v>7</v>
      </c>
      <c r="L1" s="4" t="s">
        <v>3</v>
      </c>
    </row>
    <row r="2" spans="1:12" ht="16.5" x14ac:dyDescent="0.35">
      <c r="A2" t="s">
        <v>0</v>
      </c>
      <c r="B2" s="1" t="s">
        <v>149</v>
      </c>
      <c r="C2">
        <v>3.0751036193322099</v>
      </c>
      <c r="D2">
        <v>0.65225304220870695</v>
      </c>
      <c r="E2">
        <v>3.1533334674020699</v>
      </c>
      <c r="F2">
        <v>0.36897538558179299</v>
      </c>
      <c r="G2">
        <v>1.4219770137299099</v>
      </c>
      <c r="H2">
        <v>0.51586101716107702</v>
      </c>
      <c r="I2">
        <v>2.3084206554173399</v>
      </c>
      <c r="J2">
        <v>0.438439389336856</v>
      </c>
      <c r="K2">
        <v>0.83924823821071803</v>
      </c>
      <c r="L2">
        <v>0.24943796524029799</v>
      </c>
    </row>
    <row r="3" spans="1:12" ht="16.5" x14ac:dyDescent="0.35">
      <c r="A3" t="s">
        <v>9</v>
      </c>
      <c r="B3" s="1" t="s">
        <v>149</v>
      </c>
      <c r="C3">
        <v>4.4003390980082697</v>
      </c>
      <c r="D3">
        <v>2.4750406487898999</v>
      </c>
      <c r="E3">
        <v>2.2709949521731798</v>
      </c>
      <c r="F3">
        <v>1.4667713014252499</v>
      </c>
      <c r="G3">
        <v>2.5621042168242498</v>
      </c>
      <c r="H3">
        <v>2.1471049374392299</v>
      </c>
      <c r="I3">
        <v>3.2219721431544301</v>
      </c>
      <c r="J3">
        <v>1.86881725489358</v>
      </c>
      <c r="K3">
        <v>1.79829336335948</v>
      </c>
      <c r="L3">
        <v>1.13384683948617</v>
      </c>
    </row>
    <row r="4" spans="1:12" ht="16.5" x14ac:dyDescent="0.35">
      <c r="A4" t="s">
        <v>10</v>
      </c>
      <c r="B4" s="1" t="s">
        <v>149</v>
      </c>
      <c r="C4">
        <v>1.8231129732999201</v>
      </c>
      <c r="D4">
        <v>1.16237453842887</v>
      </c>
      <c r="E4">
        <v>2.21873037545366</v>
      </c>
      <c r="F4">
        <v>1.43911261078451</v>
      </c>
      <c r="G4">
        <v>6.1417979166002903</v>
      </c>
      <c r="H4">
        <v>2.3934276964618002</v>
      </c>
      <c r="I4">
        <v>1.2818725614684801</v>
      </c>
      <c r="J4">
        <v>0.75396335119354896</v>
      </c>
      <c r="K4">
        <v>1.9227376289141</v>
      </c>
      <c r="L4">
        <v>1.09015635648516</v>
      </c>
    </row>
    <row r="5" spans="1:12" ht="16.5" x14ac:dyDescent="0.35">
      <c r="A5" t="s">
        <v>11</v>
      </c>
      <c r="B5" s="1" t="s">
        <v>149</v>
      </c>
      <c r="C5">
        <v>3.1122116674581899</v>
      </c>
      <c r="D5">
        <v>1.99245417127432</v>
      </c>
      <c r="E5">
        <v>0.67287564688393897</v>
      </c>
      <c r="F5">
        <v>0.43198106821688298</v>
      </c>
      <c r="G5">
        <v>0.36179112125469298</v>
      </c>
      <c r="H5">
        <v>0.256229324983197</v>
      </c>
      <c r="I5">
        <v>0.27941918628117601</v>
      </c>
      <c r="J5">
        <v>0.17154885763171801</v>
      </c>
      <c r="K5">
        <v>0.31774765860403897</v>
      </c>
      <c r="L5">
        <v>0.20829808364553201</v>
      </c>
    </row>
    <row r="6" spans="1:12" ht="16.5" x14ac:dyDescent="0.35">
      <c r="A6" t="s">
        <v>12</v>
      </c>
      <c r="B6" s="1" t="s">
        <v>149</v>
      </c>
      <c r="C6">
        <v>1.7878142540837401</v>
      </c>
      <c r="D6">
        <v>1.1314409127849201</v>
      </c>
      <c r="E6">
        <v>1.07108116362248</v>
      </c>
      <c r="F6">
        <v>0.72412295653685999</v>
      </c>
      <c r="G6">
        <v>0.34832864810525099</v>
      </c>
      <c r="H6">
        <v>0.249440908880074</v>
      </c>
      <c r="I6">
        <v>2.83459743295123</v>
      </c>
      <c r="J6">
        <v>1.79821586887038</v>
      </c>
      <c r="K6">
        <v>0.550843320971937</v>
      </c>
      <c r="L6">
        <v>0.38935022699133198</v>
      </c>
    </row>
    <row r="7" spans="1:12" ht="16.5" x14ac:dyDescent="0.35">
      <c r="A7" t="s">
        <v>13</v>
      </c>
      <c r="B7" s="1" t="s">
        <v>149</v>
      </c>
      <c r="C7">
        <v>2.1613880254287201</v>
      </c>
      <c r="D7">
        <v>1.17945406862214</v>
      </c>
      <c r="E7">
        <v>3.35462230863001</v>
      </c>
      <c r="F7">
        <v>1.46983265107913</v>
      </c>
      <c r="G7">
        <v>3.0830094526878602</v>
      </c>
      <c r="H7">
        <v>2.3860287755113498</v>
      </c>
      <c r="I7">
        <v>1.3282892658607299</v>
      </c>
      <c r="J7">
        <v>0.753661864335053</v>
      </c>
      <c r="K7">
        <v>1.7353846817996601</v>
      </c>
      <c r="L7">
        <v>1.0945225890979999</v>
      </c>
    </row>
    <row r="8" spans="1:12" ht="16.5" x14ac:dyDescent="0.35">
      <c r="A8" t="s">
        <v>14</v>
      </c>
      <c r="B8" s="1" t="s">
        <v>149</v>
      </c>
      <c r="C8">
        <v>3.4786812968165801</v>
      </c>
      <c r="D8">
        <v>2.0170318714925899</v>
      </c>
      <c r="E8">
        <v>0.70196114553836997</v>
      </c>
      <c r="F8">
        <v>0.43640191358834701</v>
      </c>
      <c r="G8">
        <v>0.523538566233549</v>
      </c>
      <c r="H8">
        <v>0.26555659627524297</v>
      </c>
      <c r="I8">
        <v>0.283441473124384</v>
      </c>
      <c r="J8">
        <v>0.17256358635506799</v>
      </c>
      <c r="K8">
        <v>0.35011512477635098</v>
      </c>
      <c r="L8">
        <v>0.21264113323832001</v>
      </c>
    </row>
    <row r="9" spans="1:12" ht="16.5" x14ac:dyDescent="0.35">
      <c r="A9" t="s">
        <v>15</v>
      </c>
      <c r="B9" s="1" t="s">
        <v>149</v>
      </c>
      <c r="C9">
        <v>1.83537339509521</v>
      </c>
      <c r="D9">
        <v>1.14519560416243</v>
      </c>
      <c r="E9">
        <v>1.3677449654069</v>
      </c>
      <c r="F9">
        <v>0.76597254235149703</v>
      </c>
      <c r="G9">
        <v>0.377533211632745</v>
      </c>
      <c r="H9">
        <v>0.257324334898201</v>
      </c>
      <c r="I9">
        <v>3.9186620595866399</v>
      </c>
      <c r="J9">
        <v>1.8173120166043699</v>
      </c>
      <c r="K9">
        <v>0.55204179499416794</v>
      </c>
      <c r="L9">
        <v>0.37884508646239901</v>
      </c>
    </row>
    <row r="10" spans="1:12" ht="16.5" x14ac:dyDescent="0.35">
      <c r="A10" t="s">
        <v>16</v>
      </c>
      <c r="B10" s="1" t="s">
        <v>149</v>
      </c>
      <c r="C10">
        <v>0.30611165761250803</v>
      </c>
      <c r="D10">
        <v>0.214914778554502</v>
      </c>
      <c r="E10">
        <v>0.350152173518191</v>
      </c>
      <c r="F10">
        <v>0.22730866453617901</v>
      </c>
      <c r="G10">
        <v>0.21151007516095099</v>
      </c>
      <c r="H10">
        <v>0.16672915600315799</v>
      </c>
      <c r="I10">
        <v>0.28010089822450901</v>
      </c>
      <c r="J10">
        <v>0.21221124895059801</v>
      </c>
      <c r="K10">
        <v>0.18153870848282899</v>
      </c>
      <c r="L10">
        <v>0.13006240865725399</v>
      </c>
    </row>
    <row r="11" spans="1:12" ht="16.5" x14ac:dyDescent="0.35">
      <c r="A11" t="s">
        <v>17</v>
      </c>
      <c r="B11" s="1" t="s">
        <v>149</v>
      </c>
      <c r="C11">
        <v>0.40415000556708303</v>
      </c>
      <c r="D11">
        <v>0.24164104203961401</v>
      </c>
      <c r="E11">
        <v>0.38909183918232698</v>
      </c>
      <c r="F11">
        <v>0.23543648834422901</v>
      </c>
      <c r="G11">
        <v>0.56065742044800204</v>
      </c>
      <c r="H11">
        <v>0.24204101906457301</v>
      </c>
      <c r="I11">
        <v>0.47572537929019498</v>
      </c>
      <c r="J11">
        <v>0.267492387841821</v>
      </c>
      <c r="K11">
        <v>0.223777170473418</v>
      </c>
      <c r="L11">
        <v>0.14425268129268501</v>
      </c>
    </row>
    <row r="12" spans="1:12" ht="16.5" x14ac:dyDescent="0.35">
      <c r="A12" t="s">
        <v>18</v>
      </c>
      <c r="B12" s="1" t="s">
        <v>149</v>
      </c>
      <c r="C12">
        <v>0.177919922148362</v>
      </c>
      <c r="D12">
        <v>0.15442811346273999</v>
      </c>
      <c r="E12">
        <v>8.9796137013319399E-2</v>
      </c>
      <c r="F12">
        <v>7.3454490747143095E-2</v>
      </c>
      <c r="G12">
        <v>0.145167200925235</v>
      </c>
      <c r="H12">
        <v>0.106325173888988</v>
      </c>
      <c r="I12">
        <v>0.225116324374664</v>
      </c>
      <c r="J12">
        <v>0.18955600552506799</v>
      </c>
      <c r="K12">
        <v>0.132196496719928</v>
      </c>
      <c r="L12">
        <v>0.108584831940631</v>
      </c>
    </row>
    <row r="13" spans="1:12" ht="16.5" x14ac:dyDescent="0.35">
      <c r="A13" t="s">
        <v>19</v>
      </c>
      <c r="B13" s="1" t="s">
        <v>149</v>
      </c>
      <c r="C13">
        <v>6.6405300576614303</v>
      </c>
      <c r="D13">
        <v>1.5038192540601201</v>
      </c>
      <c r="E13">
        <v>3.3560145761469302</v>
      </c>
      <c r="F13">
        <v>0.70030389158723805</v>
      </c>
      <c r="G13">
        <v>3.7772835943939902</v>
      </c>
      <c r="H13">
        <v>0.60031434415940299</v>
      </c>
      <c r="I13">
        <v>3.64775697709663</v>
      </c>
      <c r="J13">
        <v>0.68192699336956797</v>
      </c>
      <c r="K13">
        <v>2.39183950227318</v>
      </c>
      <c r="L13">
        <v>0.51480102239140801</v>
      </c>
    </row>
    <row r="14" spans="1:12" ht="16.5" x14ac:dyDescent="0.35">
      <c r="A14" t="s">
        <v>20</v>
      </c>
      <c r="B14" s="1" t="s">
        <v>149</v>
      </c>
      <c r="C14">
        <v>1.5763554527911401</v>
      </c>
      <c r="D14">
        <v>0.46864535576101402</v>
      </c>
      <c r="E14">
        <v>2.1987191660545302</v>
      </c>
      <c r="F14">
        <v>0.45912652448472102</v>
      </c>
      <c r="G14">
        <v>6.3204019394289999</v>
      </c>
      <c r="H14">
        <v>0.90439544740204303</v>
      </c>
      <c r="I14">
        <v>1.31109133942931</v>
      </c>
      <c r="J14">
        <v>0.41287934474559201</v>
      </c>
      <c r="K14">
        <v>1.7427298497066299</v>
      </c>
      <c r="L14">
        <v>0.38305383186467801</v>
      </c>
    </row>
    <row r="15" spans="1:12" ht="16.5" x14ac:dyDescent="0.35">
      <c r="A15" t="s">
        <v>21</v>
      </c>
      <c r="B15" s="1" t="s">
        <v>149</v>
      </c>
      <c r="C15">
        <v>0.24096645945776601</v>
      </c>
      <c r="D15">
        <v>0.218559040313621</v>
      </c>
      <c r="E15">
        <v>0.103388237643752</v>
      </c>
      <c r="F15">
        <v>8.16443606842924E-2</v>
      </c>
      <c r="G15">
        <v>4.8108974123164797E-2</v>
      </c>
      <c r="H15">
        <v>3.2632868715285798E-2</v>
      </c>
      <c r="I15">
        <v>0.29464714460894698</v>
      </c>
      <c r="J15">
        <v>0.262339936629152</v>
      </c>
      <c r="K15">
        <v>0.212459722579246</v>
      </c>
      <c r="L15">
        <v>0.18440820332112301</v>
      </c>
    </row>
    <row r="16" spans="1:12" ht="16.5" x14ac:dyDescent="0.35">
      <c r="A16" t="s">
        <v>22</v>
      </c>
      <c r="B16" s="1" t="s">
        <v>149</v>
      </c>
      <c r="C16">
        <v>0.55936244519252598</v>
      </c>
      <c r="D16">
        <v>0.39997871740028301</v>
      </c>
      <c r="E16">
        <v>0.851030394414097</v>
      </c>
      <c r="F16">
        <v>0.48736392963689901</v>
      </c>
      <c r="G16">
        <v>0.23866166916032</v>
      </c>
      <c r="H16">
        <v>0.192534410507613</v>
      </c>
      <c r="I16">
        <v>0.38780708708485001</v>
      </c>
      <c r="J16">
        <v>0.29762677754066602</v>
      </c>
      <c r="K16">
        <v>0.39011106816871399</v>
      </c>
      <c r="L16">
        <v>0.27037444197070898</v>
      </c>
    </row>
    <row r="17" spans="1:12" ht="16.5" x14ac:dyDescent="0.35">
      <c r="A17" t="s">
        <v>23</v>
      </c>
      <c r="B17" s="1" t="s">
        <v>149</v>
      </c>
      <c r="C17">
        <v>6.8880811182294402E-2</v>
      </c>
      <c r="D17">
        <v>3.3685087672526703E-2</v>
      </c>
      <c r="E17">
        <v>0.208684192432465</v>
      </c>
      <c r="F17">
        <v>0.12593754486016401</v>
      </c>
      <c r="G17">
        <v>3.70774162453866E-3</v>
      </c>
      <c r="H17">
        <v>2.2279555183764401E-3</v>
      </c>
      <c r="I17">
        <v>7.0982674608266697E-2</v>
      </c>
      <c r="J17">
        <v>3.6258612160825397E-2</v>
      </c>
      <c r="K17">
        <v>4.5869381953902798E-4</v>
      </c>
      <c r="L17">
        <v>3.17634058720323E-4</v>
      </c>
    </row>
    <row r="18" spans="1:12" ht="16.5" x14ac:dyDescent="0.35">
      <c r="A18" t="s">
        <v>24</v>
      </c>
      <c r="B18" s="1" t="s">
        <v>149</v>
      </c>
      <c r="C18">
        <v>0.78984401279651395</v>
      </c>
      <c r="D18">
        <v>0.42059625733537298</v>
      </c>
      <c r="E18">
        <v>1.4001962993252799</v>
      </c>
      <c r="F18">
        <v>0.60024617705807304</v>
      </c>
      <c r="G18">
        <v>0.673822603075108</v>
      </c>
      <c r="H18">
        <v>0.45715787305091798</v>
      </c>
      <c r="I18">
        <v>0.24704606845530799</v>
      </c>
      <c r="J18">
        <v>0.17347767982493101</v>
      </c>
      <c r="K18">
        <v>0.89276728206352396</v>
      </c>
      <c r="L18">
        <v>0.43083181297159201</v>
      </c>
    </row>
    <row r="19" spans="1:12" ht="16.5" x14ac:dyDescent="0.35">
      <c r="A19" t="s">
        <v>25</v>
      </c>
      <c r="B19" s="1" t="s">
        <v>149</v>
      </c>
      <c r="C19">
        <v>0.74909181730841801</v>
      </c>
      <c r="D19">
        <v>0.47712350904544998</v>
      </c>
      <c r="E19">
        <v>0.81133439421351095</v>
      </c>
      <c r="F19">
        <v>0.35866073416960698</v>
      </c>
      <c r="G19">
        <v>1.94010444171713</v>
      </c>
      <c r="H19">
        <v>0.86876273475078003</v>
      </c>
      <c r="I19">
        <v>0.29858751314252402</v>
      </c>
      <c r="J19">
        <v>0.253389127684302</v>
      </c>
      <c r="K19">
        <v>0.41959569437613697</v>
      </c>
      <c r="L19">
        <v>0.28301459303870102</v>
      </c>
    </row>
    <row r="20" spans="1:12" ht="16.5" x14ac:dyDescent="0.35">
      <c r="A20" t="s">
        <v>26</v>
      </c>
      <c r="B20" s="1" t="s">
        <v>149</v>
      </c>
      <c r="C20">
        <v>0.86714111819917805</v>
      </c>
      <c r="D20">
        <v>0.46490011004182602</v>
      </c>
      <c r="E20">
        <v>6.7771777016363097E-2</v>
      </c>
      <c r="F20">
        <v>3.2110872061631601E-2</v>
      </c>
      <c r="G20">
        <v>9.5020975058080895E-2</v>
      </c>
      <c r="H20">
        <v>8.2970185966492194E-2</v>
      </c>
      <c r="I20">
        <v>0.13274364063411001</v>
      </c>
      <c r="J20">
        <v>8.1231495839414997E-2</v>
      </c>
      <c r="K20">
        <v>9.5486378407299094E-2</v>
      </c>
      <c r="L20">
        <v>7.1720249477388906E-2</v>
      </c>
    </row>
    <row r="21" spans="1:12" ht="16.5" x14ac:dyDescent="0.35">
      <c r="A21" t="s">
        <v>27</v>
      </c>
      <c r="B21" s="1" t="s">
        <v>149</v>
      </c>
      <c r="C21">
        <v>0.553960051287261</v>
      </c>
      <c r="D21">
        <v>0.30209441291449701</v>
      </c>
      <c r="E21">
        <v>0.15281537161789199</v>
      </c>
      <c r="F21">
        <v>0.13702623586080501</v>
      </c>
      <c r="G21">
        <v>8.2758924375630497E-2</v>
      </c>
      <c r="H21">
        <v>7.1175208385549998E-2</v>
      </c>
      <c r="I21">
        <v>8.8628175690833103E-2</v>
      </c>
      <c r="J21">
        <v>7.0681175002335103E-2</v>
      </c>
      <c r="K21">
        <v>9.5964328023238094E-2</v>
      </c>
      <c r="L21">
        <v>8.2227381884572001E-2</v>
      </c>
    </row>
    <row r="22" spans="1:12" ht="16.5" x14ac:dyDescent="0.35">
      <c r="A22" t="s">
        <v>28</v>
      </c>
      <c r="B22" s="1" t="s">
        <v>149</v>
      </c>
      <c r="C22" s="2" t="s">
        <v>1</v>
      </c>
      <c r="D22" s="2" t="s">
        <v>1</v>
      </c>
      <c r="E22">
        <v>0.14182331481645999</v>
      </c>
      <c r="F22">
        <v>0.124776682481079</v>
      </c>
      <c r="G22">
        <v>5.6680009511987102E-2</v>
      </c>
      <c r="H22">
        <v>4.3736298269429499E-2</v>
      </c>
      <c r="I22">
        <v>6.2661758997428305E-2</v>
      </c>
      <c r="J22">
        <v>5.2597012596506301E-2</v>
      </c>
      <c r="K22">
        <v>8.96809908912439E-2</v>
      </c>
      <c r="L22">
        <v>7.5859328122454606E-2</v>
      </c>
    </row>
    <row r="23" spans="1:12" ht="16.5" x14ac:dyDescent="0.35">
      <c r="A23" t="s">
        <v>29</v>
      </c>
      <c r="B23" s="1" t="s">
        <v>149</v>
      </c>
      <c r="C23">
        <v>1.9054763139430199E-2</v>
      </c>
      <c r="D23">
        <v>1.5013023631310801E-2</v>
      </c>
      <c r="E23">
        <v>4.1826496036649098E-2</v>
      </c>
      <c r="F23">
        <v>3.5221665141797198E-2</v>
      </c>
      <c r="G23">
        <v>7.3051238232567399E-3</v>
      </c>
      <c r="H23">
        <v>5.7981846899943399E-3</v>
      </c>
      <c r="I23">
        <v>1.01287397421366E-2</v>
      </c>
      <c r="J23">
        <v>8.1987161600130792E-3</v>
      </c>
      <c r="K23">
        <v>2.04173366701009E-2</v>
      </c>
      <c r="L23">
        <v>1.6246766765008001E-2</v>
      </c>
    </row>
    <row r="24" spans="1:12" ht="16.5" x14ac:dyDescent="0.35">
      <c r="A24" t="s">
        <v>30</v>
      </c>
      <c r="B24" s="1" t="s">
        <v>149</v>
      </c>
      <c r="C24">
        <v>1.0172609446550299E-2</v>
      </c>
      <c r="D24">
        <v>8.0754520021748804E-3</v>
      </c>
      <c r="E24">
        <v>3.2995875728001001E-2</v>
      </c>
      <c r="F24">
        <v>2.7171849760957299E-2</v>
      </c>
      <c r="G24">
        <v>5.1093709988018696E-3</v>
      </c>
      <c r="H24">
        <v>4.0820942600055202E-3</v>
      </c>
      <c r="I24">
        <v>6.53511996843703E-3</v>
      </c>
      <c r="J24">
        <v>5.4413086775486801E-3</v>
      </c>
      <c r="K24">
        <v>7.9731362740180305E-4</v>
      </c>
      <c r="L24">
        <v>6.96904979886267E-4</v>
      </c>
    </row>
    <row r="25" spans="1:12" ht="16.5" x14ac:dyDescent="0.35">
      <c r="A25" t="s">
        <v>31</v>
      </c>
      <c r="B25" s="1" t="s">
        <v>149</v>
      </c>
      <c r="C25">
        <v>1.0037639836727299</v>
      </c>
      <c r="D25">
        <v>0.41091758860678301</v>
      </c>
      <c r="E25">
        <v>0.151478633726643</v>
      </c>
      <c r="F25">
        <v>0.13199434506624</v>
      </c>
      <c r="G25" s="5">
        <v>1.9514412325662799E-5</v>
      </c>
      <c r="H25" s="5">
        <v>1.18606661843454E-5</v>
      </c>
      <c r="I25" s="5">
        <v>9.5877195071631405E-6</v>
      </c>
      <c r="J25" s="5">
        <v>4.6946075444329899E-6</v>
      </c>
      <c r="K25">
        <v>1.5206024688360299E-3</v>
      </c>
      <c r="L25">
        <v>1.0548758802861899E-3</v>
      </c>
    </row>
    <row r="26" spans="1:12" ht="16.5" x14ac:dyDescent="0.35">
      <c r="A26" t="s">
        <v>32</v>
      </c>
      <c r="B26" s="1" t="s">
        <v>149</v>
      </c>
      <c r="C26">
        <v>1.5607628934290401</v>
      </c>
      <c r="D26">
        <v>0.84049176635982503</v>
      </c>
      <c r="E26">
        <v>0.326009100722152</v>
      </c>
      <c r="F26">
        <v>0.17067369464977999</v>
      </c>
      <c r="G26">
        <v>0.12406767262648299</v>
      </c>
      <c r="H26">
        <v>8.0851722778497906E-2</v>
      </c>
      <c r="I26">
        <v>0.111028066970169</v>
      </c>
      <c r="J26">
        <v>6.0498391029867003E-2</v>
      </c>
      <c r="K26">
        <v>0.14575599923840801</v>
      </c>
      <c r="L26">
        <v>7.8583934424142396E-2</v>
      </c>
    </row>
    <row r="27" spans="1:12" ht="16.5" x14ac:dyDescent="0.35">
      <c r="A27" t="s">
        <v>33</v>
      </c>
      <c r="B27" s="1" t="s">
        <v>149</v>
      </c>
      <c r="C27">
        <v>2.5760375451006099</v>
      </c>
      <c r="D27">
        <v>0.99841295418774501</v>
      </c>
      <c r="E27">
        <v>0.46011622275814001</v>
      </c>
      <c r="F27">
        <v>0.23490146804258699</v>
      </c>
      <c r="G27">
        <v>0.51436809668167605</v>
      </c>
      <c r="H27">
        <v>0.173295015371081</v>
      </c>
      <c r="I27">
        <v>0.15112556443004199</v>
      </c>
      <c r="J27">
        <v>0.103373581781941</v>
      </c>
      <c r="K27">
        <v>0.21823983405386299</v>
      </c>
      <c r="L27">
        <v>0.134991133700546</v>
      </c>
    </row>
    <row r="28" spans="1:12" ht="16.5" x14ac:dyDescent="0.35">
      <c r="A28" t="s">
        <v>34</v>
      </c>
      <c r="B28" s="1" t="s">
        <v>149</v>
      </c>
      <c r="C28">
        <v>0.49355458645307299</v>
      </c>
      <c r="D28">
        <v>0.36624849563371997</v>
      </c>
      <c r="E28">
        <v>9.9398314425786505E-2</v>
      </c>
      <c r="F28">
        <v>7.8115786858450803E-2</v>
      </c>
      <c r="G28">
        <v>0.42773160440672497</v>
      </c>
      <c r="H28">
        <v>0.18332720494140201</v>
      </c>
      <c r="I28">
        <v>3.5182982775379599</v>
      </c>
      <c r="J28">
        <v>0.58966564004709199</v>
      </c>
      <c r="K28">
        <v>0.58767766692258905</v>
      </c>
      <c r="L28">
        <v>0.27128277037316101</v>
      </c>
    </row>
    <row r="29" spans="1:12" ht="16.5" x14ac:dyDescent="0.35">
      <c r="A29" t="s">
        <v>35</v>
      </c>
      <c r="B29" s="1" t="s">
        <v>149</v>
      </c>
      <c r="C29">
        <v>0.429765812566832</v>
      </c>
      <c r="D29">
        <v>0.28739947043439001</v>
      </c>
      <c r="E29">
        <v>0.84531807443928297</v>
      </c>
      <c r="F29">
        <v>0.29308504779360101</v>
      </c>
      <c r="G29">
        <v>0.25486422269440001</v>
      </c>
      <c r="H29">
        <v>0.109062619802023</v>
      </c>
      <c r="I29">
        <v>0.29069849113488999</v>
      </c>
      <c r="J29">
        <v>0.125248033512979</v>
      </c>
      <c r="K29">
        <v>0.34868125278057099</v>
      </c>
      <c r="L29">
        <v>0.15423013413475001</v>
      </c>
    </row>
    <row r="30" spans="1:12" ht="16.5" x14ac:dyDescent="0.35">
      <c r="A30" t="s">
        <v>36</v>
      </c>
      <c r="B30" s="1" t="s">
        <v>149</v>
      </c>
      <c r="C30" s="2" t="s">
        <v>1</v>
      </c>
      <c r="D30" s="2" t="s">
        <v>1</v>
      </c>
      <c r="E30">
        <v>0.51214973432669497</v>
      </c>
      <c r="F30">
        <v>0.22256237635829301</v>
      </c>
      <c r="G30">
        <v>9.4587727776820396E-2</v>
      </c>
      <c r="H30">
        <v>4.9919148846552998E-2</v>
      </c>
      <c r="I30">
        <v>0.11208253776214901</v>
      </c>
      <c r="J30">
        <v>7.8707614079599295E-2</v>
      </c>
      <c r="K30">
        <v>0.25184450329089098</v>
      </c>
      <c r="L30">
        <v>0.12735166707610601</v>
      </c>
    </row>
    <row r="31" spans="1:12" ht="16.5" x14ac:dyDescent="0.35">
      <c r="A31" t="s">
        <v>37</v>
      </c>
      <c r="B31" s="1" t="s">
        <v>149</v>
      </c>
      <c r="C31">
        <v>1.8917870883019099E-2</v>
      </c>
      <c r="D31">
        <v>1.48263341112598E-2</v>
      </c>
      <c r="E31">
        <v>5.6017310412403598E-2</v>
      </c>
      <c r="F31">
        <v>4.1201120491576503E-2</v>
      </c>
      <c r="G31">
        <v>8.8530367282101605E-3</v>
      </c>
      <c r="H31">
        <v>6.8831945835438604E-3</v>
      </c>
      <c r="I31">
        <v>9.6195764110584697E-3</v>
      </c>
      <c r="J31">
        <v>7.6848203422007298E-3</v>
      </c>
      <c r="K31">
        <v>2.3525244281583198E-2</v>
      </c>
      <c r="L31">
        <v>1.77322859876736E-2</v>
      </c>
    </row>
    <row r="32" spans="1:12" ht="16.5" x14ac:dyDescent="0.35">
      <c r="A32" t="s">
        <v>38</v>
      </c>
      <c r="B32" s="1" t="s">
        <v>149</v>
      </c>
      <c r="C32">
        <v>1.0201351623882899E-2</v>
      </c>
      <c r="D32">
        <v>8.06754760849193E-3</v>
      </c>
      <c r="E32">
        <v>3.9351417081222001E-2</v>
      </c>
      <c r="F32">
        <v>3.0530329671775502E-2</v>
      </c>
      <c r="G32">
        <v>5.6474761100008498E-3</v>
      </c>
      <c r="H32">
        <v>4.3328050207257704E-3</v>
      </c>
      <c r="I32">
        <v>6.4353934391391202E-3</v>
      </c>
      <c r="J32">
        <v>5.2860670489054701E-3</v>
      </c>
      <c r="K32">
        <v>7.5714426966313596E-4</v>
      </c>
      <c r="L32">
        <v>6.6381513713849002E-4</v>
      </c>
    </row>
    <row r="33" spans="1:12" ht="16.5" x14ac:dyDescent="0.35">
      <c r="A33" t="s">
        <v>39</v>
      </c>
      <c r="B33" s="1" t="s">
        <v>149</v>
      </c>
      <c r="C33">
        <v>2.4194455237252401</v>
      </c>
      <c r="D33">
        <v>0.63065885826160295</v>
      </c>
      <c r="E33">
        <v>1.19463192242634</v>
      </c>
      <c r="F33">
        <v>0.36930689401043798</v>
      </c>
      <c r="G33">
        <v>4.2374605860634101E-2</v>
      </c>
      <c r="H33">
        <v>1.44521915307074E-2</v>
      </c>
      <c r="I33">
        <v>1.8002669582678501</v>
      </c>
      <c r="J33">
        <v>0.40560442780651901</v>
      </c>
      <c r="K33">
        <v>7.8412244855767602E-3</v>
      </c>
      <c r="L33">
        <v>1.82145122250356E-3</v>
      </c>
    </row>
    <row r="34" spans="1:12" ht="16.5" x14ac:dyDescent="0.35">
      <c r="A34" t="s">
        <v>40</v>
      </c>
      <c r="B34" s="1" t="s">
        <v>149</v>
      </c>
      <c r="C34">
        <v>0.86569478150735102</v>
      </c>
      <c r="D34">
        <v>0.45626795472591802</v>
      </c>
      <c r="E34">
        <v>0.60983672201523897</v>
      </c>
      <c r="F34">
        <v>0.27724727112478298</v>
      </c>
      <c r="G34">
        <v>0.180956590981695</v>
      </c>
      <c r="H34">
        <v>9.6083101873244703E-2</v>
      </c>
      <c r="I34">
        <v>1.4766285130586301</v>
      </c>
      <c r="J34">
        <v>0.655457479243998</v>
      </c>
      <c r="K34">
        <v>0.27368345133863398</v>
      </c>
      <c r="L34">
        <v>0.14947264003184599</v>
      </c>
    </row>
    <row r="35" spans="1:12" ht="16.5" x14ac:dyDescent="0.35">
      <c r="A35" t="s">
        <v>41</v>
      </c>
      <c r="B35" s="1" t="s">
        <v>149</v>
      </c>
      <c r="C35">
        <v>0.25108182522462003</v>
      </c>
      <c r="D35">
        <v>0.157726666092384</v>
      </c>
      <c r="E35">
        <v>0.28330520183471902</v>
      </c>
      <c r="F35">
        <v>0.15923227032474499</v>
      </c>
      <c r="G35">
        <v>0.16101833950081201</v>
      </c>
      <c r="H35">
        <v>0.107424179193711</v>
      </c>
      <c r="I35">
        <v>0.20713773023549401</v>
      </c>
      <c r="J35">
        <v>0.13456954045467001</v>
      </c>
      <c r="K35">
        <v>0.18052440524814101</v>
      </c>
      <c r="L35">
        <v>0.117063758419339</v>
      </c>
    </row>
    <row r="36" spans="1:12" ht="16.5" x14ac:dyDescent="0.35">
      <c r="A36" t="s">
        <v>42</v>
      </c>
      <c r="B36" s="1" t="s">
        <v>149</v>
      </c>
      <c r="C36">
        <v>0.20034488122486099</v>
      </c>
      <c r="D36">
        <v>0.17710620662781501</v>
      </c>
      <c r="E36">
        <v>6.4379640012256295E-2</v>
      </c>
      <c r="F36">
        <v>5.5351942350972599E-2</v>
      </c>
      <c r="G36">
        <v>8.3832069224471895E-2</v>
      </c>
      <c r="H36">
        <v>7.6014191159872402E-2</v>
      </c>
      <c r="I36">
        <v>0.173793851546648</v>
      </c>
      <c r="J36">
        <v>0.16237786092354101</v>
      </c>
      <c r="K36">
        <v>0.12577028202659299</v>
      </c>
      <c r="L36">
        <v>0.11702004845625701</v>
      </c>
    </row>
    <row r="37" spans="1:12" ht="16.5" x14ac:dyDescent="0.35">
      <c r="A37" t="s">
        <v>43</v>
      </c>
      <c r="B37" s="1" t="s">
        <v>149</v>
      </c>
      <c r="C37">
        <v>0.331088254896863</v>
      </c>
      <c r="D37">
        <v>0.25467755332012498</v>
      </c>
      <c r="E37">
        <v>0.29235065298866397</v>
      </c>
      <c r="F37">
        <v>0.24632398169325401</v>
      </c>
      <c r="G37">
        <v>1.98399747886931</v>
      </c>
      <c r="H37">
        <v>0.79160889021400205</v>
      </c>
      <c r="I37">
        <v>0.302037296956154</v>
      </c>
      <c r="J37">
        <v>0.23593133600017799</v>
      </c>
      <c r="K37">
        <v>0.306951454181905</v>
      </c>
      <c r="L37">
        <v>0.22538879362475001</v>
      </c>
    </row>
    <row r="38" spans="1:12" ht="16.5" x14ac:dyDescent="0.35">
      <c r="A38" t="s">
        <v>44</v>
      </c>
      <c r="B38" s="1" t="s">
        <v>149</v>
      </c>
      <c r="C38" s="2" t="s">
        <v>1</v>
      </c>
      <c r="D38" s="2" t="s">
        <v>1</v>
      </c>
      <c r="E38">
        <v>0.90245194988018496</v>
      </c>
      <c r="F38">
        <v>0.37155753135762898</v>
      </c>
      <c r="G38">
        <v>2.10969933408869</v>
      </c>
      <c r="H38">
        <v>0.800738863706976</v>
      </c>
      <c r="I38">
        <v>0.32226760885509897</v>
      </c>
      <c r="J38">
        <v>0.248326690517366</v>
      </c>
      <c r="K38">
        <v>0.62101846009341799</v>
      </c>
      <c r="L38">
        <v>0.28760047845678899</v>
      </c>
    </row>
    <row r="39" spans="1:12" ht="16.5" x14ac:dyDescent="0.35">
      <c r="A39" t="s">
        <v>45</v>
      </c>
      <c r="B39" s="1" t="s">
        <v>149</v>
      </c>
      <c r="C39">
        <v>2.6647167850915001E-2</v>
      </c>
      <c r="D39">
        <v>2.1760709121678899E-2</v>
      </c>
      <c r="E39">
        <v>8.6824125183021197E-2</v>
      </c>
      <c r="F39">
        <v>6.7012549969967403E-2</v>
      </c>
      <c r="G39">
        <v>1.6757871538759399E-2</v>
      </c>
      <c r="H39">
        <v>1.3841722536747701E-2</v>
      </c>
      <c r="I39">
        <v>2.0734992865432501E-2</v>
      </c>
      <c r="J39">
        <v>1.8023397449377799E-2</v>
      </c>
      <c r="K39">
        <v>0.10929121190166</v>
      </c>
      <c r="L39">
        <v>8.8494311227977004E-2</v>
      </c>
    </row>
    <row r="40" spans="1:12" ht="16.5" x14ac:dyDescent="0.35">
      <c r="A40" t="s">
        <v>46</v>
      </c>
      <c r="B40" s="1" t="s">
        <v>149</v>
      </c>
      <c r="C40">
        <v>0.15695418821989299</v>
      </c>
      <c r="D40">
        <v>0.106629343292411</v>
      </c>
      <c r="E40">
        <v>0.28277703584923702</v>
      </c>
      <c r="F40">
        <v>0.17767092617306601</v>
      </c>
      <c r="G40">
        <v>5.3066830873976401E-2</v>
      </c>
      <c r="H40">
        <v>2.8085547338368402E-2</v>
      </c>
      <c r="I40">
        <v>4.6827574452400697E-2</v>
      </c>
      <c r="J40">
        <v>3.6397899937007802E-2</v>
      </c>
      <c r="K40">
        <v>8.5697668225438999E-4</v>
      </c>
      <c r="L40">
        <v>7.3855023965782303E-4</v>
      </c>
    </row>
    <row r="41" spans="1:12" ht="16.5" x14ac:dyDescent="0.35">
      <c r="A41" t="s">
        <v>47</v>
      </c>
      <c r="B41" s="1" t="s">
        <v>149</v>
      </c>
      <c r="C41">
        <v>0.34496306636125501</v>
      </c>
      <c r="D41">
        <v>0.26366218944304298</v>
      </c>
      <c r="E41">
        <v>0.165704147438236</v>
      </c>
      <c r="F41">
        <v>0.15244082289473199</v>
      </c>
      <c r="G41">
        <v>9.8404421289812697E-3</v>
      </c>
      <c r="H41">
        <v>7.1236955625325702E-3</v>
      </c>
      <c r="I41">
        <v>0.14338671987061499</v>
      </c>
      <c r="J41">
        <v>0.12896586671287</v>
      </c>
      <c r="K41">
        <v>6.4543547871813304E-4</v>
      </c>
      <c r="L41">
        <v>5.2157247900395595E-4</v>
      </c>
    </row>
    <row r="42" spans="1:12" ht="16.5" x14ac:dyDescent="0.35">
      <c r="A42" t="s">
        <v>48</v>
      </c>
      <c r="B42" s="1" t="s">
        <v>149</v>
      </c>
      <c r="C42">
        <v>0.99308233405046298</v>
      </c>
      <c r="D42">
        <v>0.302305580801221</v>
      </c>
      <c r="E42">
        <v>1.10918511089714</v>
      </c>
      <c r="F42">
        <v>0.20433003354760701</v>
      </c>
      <c r="G42">
        <v>2.8038841603892699</v>
      </c>
      <c r="H42">
        <v>0.40081261759160403</v>
      </c>
      <c r="I42">
        <v>0.79753005071818295</v>
      </c>
      <c r="J42">
        <v>0.23066856199917701</v>
      </c>
      <c r="K42">
        <v>0.83315213994595105</v>
      </c>
      <c r="L42">
        <v>0.177622291383389</v>
      </c>
    </row>
    <row r="43" spans="1:12" ht="16.5" x14ac:dyDescent="0.35">
      <c r="A43" t="s">
        <v>49</v>
      </c>
      <c r="B43" s="1" t="s">
        <v>149</v>
      </c>
      <c r="C43">
        <v>0.54632654173824002</v>
      </c>
      <c r="D43">
        <v>0.18730702791497</v>
      </c>
      <c r="E43">
        <v>0.62303315528195502</v>
      </c>
      <c r="F43">
        <v>0.14660942038383001</v>
      </c>
      <c r="G43">
        <v>1.5544713675772299</v>
      </c>
      <c r="H43">
        <v>0.309312770749962</v>
      </c>
      <c r="I43">
        <v>0.45069424209749298</v>
      </c>
      <c r="J43">
        <v>0.151164586994811</v>
      </c>
      <c r="K43">
        <v>0.47074487940936799</v>
      </c>
      <c r="L43">
        <v>0.124613432862319</v>
      </c>
    </row>
    <row r="44" spans="1:12" ht="16.5" x14ac:dyDescent="0.35">
      <c r="A44" t="s">
        <v>50</v>
      </c>
      <c r="B44" s="1" t="s">
        <v>149</v>
      </c>
      <c r="C44">
        <v>0.80113169237722204</v>
      </c>
      <c r="D44">
        <v>0.35778798129117301</v>
      </c>
      <c r="E44">
        <v>1.22975421011846</v>
      </c>
      <c r="F44">
        <v>0.33627372070258799</v>
      </c>
      <c r="G44">
        <v>3.1993512178580499</v>
      </c>
      <c r="H44">
        <v>1.00227669923206</v>
      </c>
      <c r="I44">
        <v>0.76523375989313602</v>
      </c>
      <c r="J44">
        <v>0.33326745748558601</v>
      </c>
      <c r="K44">
        <v>0.87832714003373802</v>
      </c>
      <c r="L44">
        <v>0.32525419193599198</v>
      </c>
    </row>
    <row r="45" spans="1:12" ht="16.5" x14ac:dyDescent="0.35">
      <c r="A45" t="s">
        <v>51</v>
      </c>
      <c r="B45" s="1" t="s">
        <v>149</v>
      </c>
      <c r="C45">
        <v>0.31247013039711002</v>
      </c>
      <c r="D45">
        <v>0.21514635126920301</v>
      </c>
      <c r="E45">
        <v>3.8259880995335498E-2</v>
      </c>
      <c r="F45">
        <v>3.28524481992035E-2</v>
      </c>
      <c r="G45">
        <v>8.1967535788501605E-2</v>
      </c>
      <c r="H45">
        <v>5.62522795336226E-2</v>
      </c>
      <c r="I45">
        <v>0.82996952433104199</v>
      </c>
      <c r="J45">
        <v>0.47866569200234399</v>
      </c>
      <c r="K45">
        <v>0.16722519092961999</v>
      </c>
      <c r="L45">
        <v>0.12308100121223201</v>
      </c>
    </row>
    <row r="46" spans="1:12" ht="16.5" x14ac:dyDescent="0.35">
      <c r="A46" t="s">
        <v>52</v>
      </c>
      <c r="B46" s="1" t="s">
        <v>149</v>
      </c>
      <c r="C46" s="2" t="s">
        <v>1</v>
      </c>
      <c r="D46" s="2" t="s">
        <v>1</v>
      </c>
      <c r="E46">
        <v>4.5160769901193699E-2</v>
      </c>
      <c r="F46">
        <v>3.71696571945015E-2</v>
      </c>
      <c r="G46">
        <v>0.15113991124436099</v>
      </c>
      <c r="H46">
        <v>4.2911637594510603E-2</v>
      </c>
      <c r="I46">
        <v>0.92982355429972297</v>
      </c>
      <c r="J46">
        <v>0.49541301434914498</v>
      </c>
      <c r="K46">
        <v>0.22544951955763301</v>
      </c>
      <c r="L46">
        <v>0.13920197134778201</v>
      </c>
    </row>
    <row r="47" spans="1:12" ht="16.5" x14ac:dyDescent="0.35">
      <c r="A47" t="s">
        <v>53</v>
      </c>
      <c r="B47" s="1" t="s">
        <v>149</v>
      </c>
      <c r="C47">
        <v>2.6080718080604099E-2</v>
      </c>
      <c r="D47">
        <v>2.1439228398017599E-2</v>
      </c>
      <c r="E47">
        <v>3.3184399216038503E-2</v>
      </c>
      <c r="F47">
        <v>2.8710671774216399E-2</v>
      </c>
      <c r="G47">
        <v>1.6694445470812301E-2</v>
      </c>
      <c r="H47">
        <v>1.36487570260676E-2</v>
      </c>
      <c r="I47">
        <v>2.5274542550083198E-2</v>
      </c>
      <c r="J47">
        <v>2.2601232571622502E-2</v>
      </c>
      <c r="K47">
        <v>9.2866759947339297E-2</v>
      </c>
      <c r="L47">
        <v>7.4805683090047898E-2</v>
      </c>
    </row>
    <row r="48" spans="1:12" ht="16.5" x14ac:dyDescent="0.35">
      <c r="A48" t="s">
        <v>54</v>
      </c>
      <c r="B48" s="1" t="s">
        <v>149</v>
      </c>
      <c r="C48">
        <v>0.16860653636008099</v>
      </c>
      <c r="D48">
        <v>0.109705296577256</v>
      </c>
      <c r="E48">
        <v>4.2176147344945403E-2</v>
      </c>
      <c r="F48">
        <v>3.5260880913536401E-2</v>
      </c>
      <c r="G48">
        <v>4.61597722449089E-2</v>
      </c>
      <c r="H48">
        <v>3.3588549297778603E-2</v>
      </c>
      <c r="I48">
        <v>5.2815634368785197E-2</v>
      </c>
      <c r="J48">
        <v>3.9161483154220203E-2</v>
      </c>
      <c r="K48">
        <v>8.7335276959406803E-4</v>
      </c>
      <c r="L48">
        <v>7.5060481124258405E-4</v>
      </c>
    </row>
    <row r="49" spans="1:12" ht="16.5" x14ac:dyDescent="0.35">
      <c r="A49" t="s">
        <v>55</v>
      </c>
      <c r="B49" s="1" t="s">
        <v>149</v>
      </c>
      <c r="C49">
        <v>0.32260021854955201</v>
      </c>
      <c r="D49">
        <v>0.222004107432035</v>
      </c>
      <c r="E49">
        <v>3.4479451616771503E-2</v>
      </c>
      <c r="F49">
        <v>2.9568235593327601E-2</v>
      </c>
      <c r="G49">
        <v>9.0128838258486804E-3</v>
      </c>
      <c r="H49">
        <v>6.9770253813956802E-3</v>
      </c>
      <c r="I49">
        <v>0.21648167279949901</v>
      </c>
      <c r="J49">
        <v>0.18346716938351901</v>
      </c>
      <c r="K49">
        <v>6.4666407323745205E-4</v>
      </c>
      <c r="L49">
        <v>5.1733551720826597E-4</v>
      </c>
    </row>
    <row r="50" spans="1:12" ht="16.5" x14ac:dyDescent="0.35">
      <c r="A50" t="s">
        <v>56</v>
      </c>
      <c r="B50" s="1" t="s">
        <v>149</v>
      </c>
      <c r="C50">
        <v>0.84893990819312803</v>
      </c>
      <c r="D50">
        <v>0.22002186763334899</v>
      </c>
      <c r="E50">
        <v>0.16969210183887201</v>
      </c>
      <c r="F50">
        <v>3.9845517097037597E-2</v>
      </c>
      <c r="G50">
        <v>0.31154977310015902</v>
      </c>
      <c r="H50">
        <v>7.3960201065541603E-2</v>
      </c>
      <c r="I50">
        <v>1.44818905160975</v>
      </c>
      <c r="J50">
        <v>0.27565031087157699</v>
      </c>
      <c r="K50">
        <v>0.43070454635059702</v>
      </c>
      <c r="L50">
        <v>0.102772274014686</v>
      </c>
    </row>
    <row r="51" spans="1:12" ht="16.5" x14ac:dyDescent="0.35">
      <c r="A51" t="s">
        <v>57</v>
      </c>
      <c r="B51" s="1" t="s">
        <v>149</v>
      </c>
      <c r="C51">
        <v>0.45926489924657399</v>
      </c>
      <c r="D51">
        <v>0.13629879202645101</v>
      </c>
      <c r="E51">
        <v>9.3560680084925393E-2</v>
      </c>
      <c r="F51">
        <v>2.6403320832869E-2</v>
      </c>
      <c r="G51">
        <v>0.16810927269485099</v>
      </c>
      <c r="H51">
        <v>4.9047861020302702E-2</v>
      </c>
      <c r="I51">
        <v>0.82326204969735906</v>
      </c>
      <c r="J51">
        <v>0.20296004493684999</v>
      </c>
      <c r="K51">
        <v>0.240207917442784</v>
      </c>
      <c r="L51">
        <v>6.8708623953862402E-2</v>
      </c>
    </row>
    <row r="52" spans="1:12" ht="16.5" x14ac:dyDescent="0.35">
      <c r="A52" t="s">
        <v>58</v>
      </c>
      <c r="B52" s="1" t="s">
        <v>149</v>
      </c>
      <c r="C52">
        <v>0.65485207613824803</v>
      </c>
      <c r="D52">
        <v>0.24866346527359701</v>
      </c>
      <c r="E52">
        <v>0.12733576025475199</v>
      </c>
      <c r="F52">
        <v>4.5589136938616902E-2</v>
      </c>
      <c r="G52">
        <v>0.22121967366283399</v>
      </c>
      <c r="H52">
        <v>8.7530955797763599E-2</v>
      </c>
      <c r="I52">
        <v>1.65123857594156</v>
      </c>
      <c r="J52">
        <v>0.49644330736845299</v>
      </c>
      <c r="K52">
        <v>0.379833977973348</v>
      </c>
      <c r="L52">
        <v>0.135619939358228</v>
      </c>
    </row>
    <row r="53" spans="1:12" ht="16.5" x14ac:dyDescent="0.35">
      <c r="A53" t="s">
        <v>59</v>
      </c>
      <c r="B53" s="1" t="s">
        <v>149</v>
      </c>
      <c r="C53">
        <v>1.5756734153451399</v>
      </c>
      <c r="D53">
        <v>0.94338724125156603</v>
      </c>
      <c r="E53">
        <v>0.153625718847652</v>
      </c>
      <c r="F53">
        <v>0.13805818204370099</v>
      </c>
      <c r="G53">
        <v>0.63126993342315996</v>
      </c>
      <c r="H53">
        <v>0.566777309749808</v>
      </c>
      <c r="I53">
        <v>0.43354492946850698</v>
      </c>
      <c r="J53">
        <v>0.34977763538828899</v>
      </c>
      <c r="K53">
        <v>0.12751413407950099</v>
      </c>
      <c r="L53">
        <v>0.109956940466713</v>
      </c>
    </row>
    <row r="54" spans="1:12" ht="16.5" x14ac:dyDescent="0.35">
      <c r="A54" t="s">
        <v>60</v>
      </c>
      <c r="B54" s="1" t="s">
        <v>149</v>
      </c>
      <c r="C54" s="2" t="s">
        <v>1</v>
      </c>
      <c r="D54" s="2" t="s">
        <v>1</v>
      </c>
      <c r="E54">
        <v>0.207787763144617</v>
      </c>
      <c r="F54">
        <v>0.15604773426507601</v>
      </c>
      <c r="G54">
        <v>0.51949813900321495</v>
      </c>
      <c r="H54">
        <v>0.39763509428237798</v>
      </c>
      <c r="I54">
        <v>0.30538458553341102</v>
      </c>
      <c r="J54">
        <v>0.214264510090384</v>
      </c>
      <c r="K54">
        <v>0.25087255676138498</v>
      </c>
      <c r="L54">
        <v>0.15018853951842601</v>
      </c>
    </row>
    <row r="55" spans="1:12" ht="16.5" x14ac:dyDescent="0.35">
      <c r="A55" t="s">
        <v>61</v>
      </c>
      <c r="B55" s="1" t="s">
        <v>149</v>
      </c>
      <c r="C55">
        <v>2.3501379129863501E-2</v>
      </c>
      <c r="D55">
        <v>1.8517284052830301E-2</v>
      </c>
      <c r="E55">
        <v>6.2311951529613802E-2</v>
      </c>
      <c r="F55">
        <v>5.31253903006828E-2</v>
      </c>
      <c r="G55">
        <v>2.11967545463006E-2</v>
      </c>
      <c r="H55">
        <v>1.6746062108664101E-2</v>
      </c>
      <c r="I55">
        <v>1.9629481107507899E-2</v>
      </c>
      <c r="J55">
        <v>1.65112928421761E-2</v>
      </c>
      <c r="K55">
        <v>7.8307171892638305E-2</v>
      </c>
      <c r="L55">
        <v>6.5026414938033003E-2</v>
      </c>
    </row>
    <row r="56" spans="1:12" ht="16.5" x14ac:dyDescent="0.35">
      <c r="A56" t="s">
        <v>62</v>
      </c>
      <c r="B56" s="1" t="s">
        <v>149</v>
      </c>
      <c r="C56">
        <v>9.6125101350978098E-2</v>
      </c>
      <c r="D56">
        <v>7.3182145419296199E-2</v>
      </c>
      <c r="E56">
        <v>0.112792963675379</v>
      </c>
      <c r="F56">
        <v>9.4407428134464594E-2</v>
      </c>
      <c r="G56">
        <v>4.6161672976633497E-2</v>
      </c>
      <c r="H56">
        <v>3.5530930875234699E-2</v>
      </c>
      <c r="I56">
        <v>3.65759063810367E-2</v>
      </c>
      <c r="J56">
        <v>2.9649393466591501E-2</v>
      </c>
      <c r="K56">
        <v>1.0124886876327699E-3</v>
      </c>
      <c r="L56">
        <v>8.2092587967246802E-4</v>
      </c>
    </row>
    <row r="57" spans="1:12" ht="16.5" x14ac:dyDescent="0.35">
      <c r="A57" t="s">
        <v>63</v>
      </c>
      <c r="B57" s="1" t="s">
        <v>149</v>
      </c>
      <c r="C57">
        <v>9.6187314236477993E-3</v>
      </c>
      <c r="D57">
        <v>8.4378747982762903E-3</v>
      </c>
      <c r="E57">
        <v>4.1294861137970103E-2</v>
      </c>
      <c r="F57">
        <v>3.35109193588711E-2</v>
      </c>
      <c r="G57">
        <v>2.0637442933499101E-3</v>
      </c>
      <c r="H57">
        <v>1.8749850748457501E-3</v>
      </c>
      <c r="I57">
        <v>3.6097341909940698E-3</v>
      </c>
      <c r="J57">
        <v>3.3141639108770901E-3</v>
      </c>
      <c r="K57">
        <v>2.6902658817377599E-2</v>
      </c>
      <c r="L57">
        <v>2.17696299278363E-2</v>
      </c>
    </row>
    <row r="58" spans="1:12" ht="16.5" x14ac:dyDescent="0.35">
      <c r="A58" t="s">
        <v>64</v>
      </c>
      <c r="B58" s="1" t="s">
        <v>149</v>
      </c>
      <c r="C58">
        <v>6.9700407828918398E-2</v>
      </c>
      <c r="D58">
        <v>2.7836699824241501E-2</v>
      </c>
      <c r="E58">
        <v>3.1965849017169E-2</v>
      </c>
      <c r="F58">
        <v>1.43464581156162E-2</v>
      </c>
      <c r="G58">
        <v>0.100780732631984</v>
      </c>
      <c r="H58">
        <v>3.9344563841184101E-2</v>
      </c>
      <c r="I58">
        <v>4.6471777505965997E-2</v>
      </c>
      <c r="J58">
        <v>1.98082094800132E-2</v>
      </c>
      <c r="K58">
        <v>8.0518141710064998E-3</v>
      </c>
      <c r="L58">
        <v>3.5434202361042601E-3</v>
      </c>
    </row>
    <row r="59" spans="1:12" ht="16.5" x14ac:dyDescent="0.35">
      <c r="A59" t="s">
        <v>65</v>
      </c>
      <c r="B59" s="1" t="s">
        <v>149</v>
      </c>
      <c r="C59">
        <v>6.3329294813468402E-3</v>
      </c>
      <c r="D59">
        <v>2.9157515909509798E-3</v>
      </c>
      <c r="E59">
        <v>3.2915572905332E-3</v>
      </c>
      <c r="F59">
        <v>1.5321179882856299E-3</v>
      </c>
      <c r="G59">
        <v>9.0394940951321907E-3</v>
      </c>
      <c r="H59">
        <v>4.2822581618490799E-3</v>
      </c>
      <c r="I59">
        <v>4.5104191065978702E-3</v>
      </c>
      <c r="J59">
        <v>2.0948965720402699E-3</v>
      </c>
      <c r="K59">
        <v>8.1497822220594305E-4</v>
      </c>
      <c r="L59">
        <v>3.7407705262002699E-4</v>
      </c>
    </row>
    <row r="60" spans="1:12" ht="16.5" x14ac:dyDescent="0.35">
      <c r="A60" t="s">
        <v>66</v>
      </c>
      <c r="B60" s="1" t="s">
        <v>149</v>
      </c>
      <c r="C60">
        <v>1.57256807700935</v>
      </c>
      <c r="D60">
        <v>0.56641487441183402</v>
      </c>
      <c r="E60">
        <v>0.46503853826846198</v>
      </c>
      <c r="F60">
        <v>0.106320341651911</v>
      </c>
      <c r="G60">
        <v>1.2829499542401299</v>
      </c>
      <c r="H60">
        <v>0.21766976405379601</v>
      </c>
      <c r="I60">
        <v>0.73776321875575801</v>
      </c>
      <c r="J60">
        <v>0.19378963718990699</v>
      </c>
      <c r="K60">
        <v>0.36303459363663199</v>
      </c>
      <c r="L60">
        <v>5.9356898987656503E-2</v>
      </c>
    </row>
    <row r="61" spans="1:12" ht="16.5" x14ac:dyDescent="0.35">
      <c r="A61" t="s">
        <v>67</v>
      </c>
      <c r="B61" s="1" t="s">
        <v>149</v>
      </c>
      <c r="C61">
        <v>0.86942025643783405</v>
      </c>
      <c r="D61">
        <v>0.36798566066513799</v>
      </c>
      <c r="E61">
        <v>0.25906243412715502</v>
      </c>
      <c r="F61">
        <v>7.1485246566362404E-2</v>
      </c>
      <c r="G61">
        <v>0.657785744376021</v>
      </c>
      <c r="H61">
        <v>0.195709783222482</v>
      </c>
      <c r="I61">
        <v>0.41046584348881399</v>
      </c>
      <c r="J61">
        <v>0.132076988853987</v>
      </c>
      <c r="K61">
        <v>0.22237187668386299</v>
      </c>
      <c r="L61">
        <v>6.2748818446752203E-2</v>
      </c>
    </row>
    <row r="62" spans="1:12" ht="16.5" x14ac:dyDescent="0.35">
      <c r="A62" t="s">
        <v>68</v>
      </c>
      <c r="B62" s="1" t="s">
        <v>149</v>
      </c>
      <c r="C62">
        <v>1.3460718811947201</v>
      </c>
      <c r="D62">
        <v>0.67354346111446095</v>
      </c>
      <c r="E62">
        <v>0.64711568737269698</v>
      </c>
      <c r="F62">
        <v>0.23023934203549401</v>
      </c>
      <c r="G62">
        <v>1.48007226321812</v>
      </c>
      <c r="H62">
        <v>0.70739869288556301</v>
      </c>
      <c r="I62">
        <v>0.967268088486686</v>
      </c>
      <c r="J62">
        <v>0.40682350449822202</v>
      </c>
      <c r="K62">
        <v>0.48164320737220401</v>
      </c>
      <c r="L62">
        <v>0.16821105463338401</v>
      </c>
    </row>
    <row r="63" spans="1:12" ht="16.5" x14ac:dyDescent="0.35">
      <c r="A63" t="s">
        <v>69</v>
      </c>
      <c r="B63" s="1" t="s">
        <v>149</v>
      </c>
      <c r="C63" s="2" t="s">
        <v>1</v>
      </c>
      <c r="D63" s="2" t="s">
        <v>1</v>
      </c>
      <c r="E63">
        <v>0.181999832247736</v>
      </c>
      <c r="F63">
        <v>0.15445205165735301</v>
      </c>
      <c r="G63">
        <v>0.481702304140392</v>
      </c>
      <c r="H63">
        <v>0.33397177776808101</v>
      </c>
      <c r="I63">
        <v>0.30018210479001101</v>
      </c>
      <c r="J63">
        <v>0.22296441203950901</v>
      </c>
      <c r="K63">
        <v>0.18602284593827501</v>
      </c>
      <c r="L63">
        <v>0.14426159309834</v>
      </c>
    </row>
    <row r="64" spans="1:12" ht="16.5" x14ac:dyDescent="0.35">
      <c r="A64" t="s">
        <v>70</v>
      </c>
      <c r="B64" s="1" t="s">
        <v>149</v>
      </c>
      <c r="C64" s="2" t="s">
        <v>1</v>
      </c>
      <c r="D64" s="2" t="s">
        <v>1</v>
      </c>
      <c r="E64">
        <v>0.38488182446453201</v>
      </c>
      <c r="F64">
        <v>0.28301716565489998</v>
      </c>
      <c r="G64">
        <v>0.78220536817414799</v>
      </c>
      <c r="H64">
        <v>0.56596550749039698</v>
      </c>
      <c r="I64">
        <v>0.43639595750496502</v>
      </c>
      <c r="J64">
        <v>0.32105936119303702</v>
      </c>
      <c r="K64">
        <v>0.36726489653074001</v>
      </c>
      <c r="L64">
        <v>0.23610289001621301</v>
      </c>
    </row>
    <row r="65" spans="1:12" ht="16.5" x14ac:dyDescent="0.35">
      <c r="A65" t="s">
        <v>71</v>
      </c>
      <c r="B65" s="1" t="s">
        <v>149</v>
      </c>
      <c r="C65" s="2" t="s">
        <v>1</v>
      </c>
      <c r="D65" s="2" t="s">
        <v>1</v>
      </c>
      <c r="E65">
        <v>6.7896097295748997E-2</v>
      </c>
      <c r="F65">
        <v>5.7104660595988503E-2</v>
      </c>
      <c r="G65">
        <v>2.0943582162115899E-2</v>
      </c>
      <c r="H65">
        <v>1.6503139345791201E-2</v>
      </c>
      <c r="I65">
        <v>1.96954465349993E-2</v>
      </c>
      <c r="J65">
        <v>1.6555429011611E-2</v>
      </c>
      <c r="K65">
        <v>9.9209924518191897E-2</v>
      </c>
      <c r="L65">
        <v>7.8805922338133605E-2</v>
      </c>
    </row>
    <row r="66" spans="1:12" ht="16.5" x14ac:dyDescent="0.35">
      <c r="A66" t="s">
        <v>72</v>
      </c>
      <c r="B66" s="1" t="s">
        <v>149</v>
      </c>
      <c r="C66" s="2" t="s">
        <v>1</v>
      </c>
      <c r="D66" s="2" t="s">
        <v>1</v>
      </c>
      <c r="E66">
        <v>0.13430465741777001</v>
      </c>
      <c r="F66">
        <v>0.113889060543272</v>
      </c>
      <c r="G66">
        <v>4.4815887663585602E-2</v>
      </c>
      <c r="H66">
        <v>3.52791897331984E-2</v>
      </c>
      <c r="I66">
        <v>3.5682049141103997E-2</v>
      </c>
      <c r="J66">
        <v>2.9504722770756601E-2</v>
      </c>
      <c r="K66">
        <v>1.00739595272907E-3</v>
      </c>
      <c r="L66">
        <v>8.1790149631174702E-4</v>
      </c>
    </row>
    <row r="67" spans="1:12" ht="16.5" x14ac:dyDescent="0.35">
      <c r="A67" t="s">
        <v>73</v>
      </c>
      <c r="B67" s="1" t="s">
        <v>149</v>
      </c>
      <c r="C67" s="2" t="s">
        <v>1</v>
      </c>
      <c r="D67" s="2" t="s">
        <v>1</v>
      </c>
      <c r="E67">
        <v>4.3296117864591803E-2</v>
      </c>
      <c r="F67">
        <v>3.4669733515079099E-2</v>
      </c>
      <c r="G67">
        <v>2.09070665223495E-3</v>
      </c>
      <c r="H67">
        <v>1.9036793889811901E-3</v>
      </c>
      <c r="I67">
        <v>3.6125064360078198E-3</v>
      </c>
      <c r="J67">
        <v>3.3318328939931298E-3</v>
      </c>
      <c r="K67">
        <v>2.9257964525254199E-2</v>
      </c>
      <c r="L67">
        <v>2.30273737097185E-2</v>
      </c>
    </row>
    <row r="68" spans="1:12" ht="16.5" x14ac:dyDescent="0.35">
      <c r="A68" t="s">
        <v>74</v>
      </c>
      <c r="B68" s="1" t="s">
        <v>149</v>
      </c>
      <c r="C68" s="2" t="s">
        <v>1</v>
      </c>
      <c r="D68" s="2" t="s">
        <v>1</v>
      </c>
      <c r="E68">
        <v>0.11062176500097901</v>
      </c>
      <c r="F68">
        <v>4.3843885226846097E-2</v>
      </c>
      <c r="G68">
        <v>0.12503260200233299</v>
      </c>
      <c r="H68">
        <v>4.45787564921667E-2</v>
      </c>
      <c r="I68">
        <v>3.2582736763818301E-2</v>
      </c>
      <c r="J68">
        <v>1.41608430273192E-2</v>
      </c>
      <c r="K68">
        <v>9.9538191361214404E-2</v>
      </c>
      <c r="L68">
        <v>2.65378381203458E-2</v>
      </c>
    </row>
    <row r="69" spans="1:12" ht="16.5" x14ac:dyDescent="0.35">
      <c r="A69" t="s">
        <v>75</v>
      </c>
      <c r="B69" s="1" t="s">
        <v>149</v>
      </c>
      <c r="C69" s="2" t="s">
        <v>1</v>
      </c>
      <c r="D69" s="2" t="s">
        <v>1</v>
      </c>
      <c r="E69">
        <v>1.0504407680515301E-2</v>
      </c>
      <c r="F69">
        <v>4.9421019595068897E-3</v>
      </c>
      <c r="G69">
        <v>1.0520537519404301E-2</v>
      </c>
      <c r="H69">
        <v>4.9947885556370503E-3</v>
      </c>
      <c r="I69">
        <v>3.2271804377412899E-3</v>
      </c>
      <c r="J69">
        <v>1.4950953423116501E-3</v>
      </c>
      <c r="K69">
        <v>7.0065812362374597E-3</v>
      </c>
      <c r="L69">
        <v>3.2664121718742798E-3</v>
      </c>
    </row>
    <row r="70" spans="1:12" ht="16.5" x14ac:dyDescent="0.35">
      <c r="A70" t="s">
        <v>76</v>
      </c>
      <c r="B70" s="1" t="s">
        <v>149</v>
      </c>
      <c r="C70" s="2" t="s">
        <v>1</v>
      </c>
      <c r="D70" s="2" t="s">
        <v>1</v>
      </c>
      <c r="E70">
        <v>0.49955618199927998</v>
      </c>
      <c r="F70">
        <v>0.26652524532986199</v>
      </c>
      <c r="G70">
        <v>1.0723724997533599</v>
      </c>
      <c r="H70">
        <v>0.44606074867601703</v>
      </c>
      <c r="I70">
        <v>0.43254656302452299</v>
      </c>
      <c r="J70">
        <v>0.254211063369012</v>
      </c>
      <c r="K70">
        <v>0.35864044938718498</v>
      </c>
      <c r="L70">
        <v>0.206078185928181</v>
      </c>
    </row>
    <row r="71" spans="1:12" ht="16.5" x14ac:dyDescent="0.35">
      <c r="A71" t="s">
        <v>77</v>
      </c>
      <c r="B71" s="1" t="s">
        <v>149</v>
      </c>
      <c r="C71" s="2" t="s">
        <v>1</v>
      </c>
      <c r="D71" s="2" t="s">
        <v>1</v>
      </c>
      <c r="E71">
        <v>0.203939486626983</v>
      </c>
      <c r="F71">
        <v>0.126089187469722</v>
      </c>
      <c r="G71">
        <v>0.52363079671371504</v>
      </c>
      <c r="H71">
        <v>0.272672771515442</v>
      </c>
      <c r="I71">
        <v>0.23069341422275599</v>
      </c>
      <c r="J71">
        <v>0.146898128282301</v>
      </c>
      <c r="K71">
        <v>0.186828934469981</v>
      </c>
      <c r="L71">
        <v>0.121656333041071</v>
      </c>
    </row>
    <row r="72" spans="1:12" ht="16.5" x14ac:dyDescent="0.35">
      <c r="A72" t="s">
        <v>78</v>
      </c>
      <c r="B72" s="1" t="s">
        <v>149</v>
      </c>
      <c r="C72" s="2" t="s">
        <v>1</v>
      </c>
      <c r="D72" s="2" t="s">
        <v>1</v>
      </c>
      <c r="E72">
        <v>0.905152024884605</v>
      </c>
      <c r="F72">
        <v>0.42910808887993601</v>
      </c>
      <c r="G72">
        <v>2.1931219862539701</v>
      </c>
      <c r="H72">
        <v>0.95652715469560501</v>
      </c>
      <c r="I72">
        <v>0.94667584949662098</v>
      </c>
      <c r="J72">
        <v>0.41871756988037701</v>
      </c>
      <c r="K72">
        <v>0.79353742938053795</v>
      </c>
      <c r="L72">
        <v>0.338622098886463</v>
      </c>
    </row>
    <row r="73" spans="1:12" ht="16.5" x14ac:dyDescent="0.35">
      <c r="A73" t="s">
        <v>79</v>
      </c>
      <c r="B73" s="1" t="s">
        <v>149</v>
      </c>
      <c r="C73" s="2" t="s">
        <v>1</v>
      </c>
      <c r="D73" s="2" t="s">
        <v>1</v>
      </c>
      <c r="E73">
        <v>0.42020120608012701</v>
      </c>
      <c r="F73">
        <v>0.26527153957383298</v>
      </c>
      <c r="G73">
        <v>0.40153733116860302</v>
      </c>
      <c r="H73">
        <v>0.38709894820331497</v>
      </c>
      <c r="I73">
        <v>0.29730827641347102</v>
      </c>
      <c r="J73">
        <v>0.225283777111565</v>
      </c>
      <c r="K73">
        <v>0.33621042139690599</v>
      </c>
      <c r="L73">
        <v>0.20257351273462601</v>
      </c>
    </row>
    <row r="74" spans="1:12" ht="16.5" x14ac:dyDescent="0.35">
      <c r="A74" t="s">
        <v>80</v>
      </c>
      <c r="B74" s="1" t="s">
        <v>149</v>
      </c>
      <c r="C74" s="2" t="s">
        <v>1</v>
      </c>
      <c r="D74" s="2" t="s">
        <v>1</v>
      </c>
      <c r="E74">
        <v>0.182301860485309</v>
      </c>
      <c r="F74">
        <v>0.12272481471037</v>
      </c>
      <c r="G74">
        <v>0.27392207324531498</v>
      </c>
      <c r="H74">
        <v>0.237294267933611</v>
      </c>
      <c r="I74">
        <v>0.18724561671689899</v>
      </c>
      <c r="J74">
        <v>0.140495210830237</v>
      </c>
      <c r="K74">
        <v>0.17647438769561799</v>
      </c>
      <c r="L74">
        <v>0.116265703914464</v>
      </c>
    </row>
    <row r="75" spans="1:12" ht="16.5" x14ac:dyDescent="0.35">
      <c r="A75" t="s">
        <v>81</v>
      </c>
      <c r="B75" s="1" t="s">
        <v>149</v>
      </c>
      <c r="C75">
        <v>2.2939763384423599E-2</v>
      </c>
      <c r="D75">
        <v>7.7485255427841597E-3</v>
      </c>
      <c r="E75">
        <v>8.0002762819535E-2</v>
      </c>
      <c r="F75">
        <v>2.9595897460657699E-2</v>
      </c>
      <c r="G75">
        <v>1.12649787345033E-2</v>
      </c>
      <c r="H75">
        <v>3.1358165739904802E-3</v>
      </c>
      <c r="I75">
        <v>1.72212810143859E-2</v>
      </c>
      <c r="J75">
        <v>5.1364809432979898E-3</v>
      </c>
      <c r="K75">
        <v>7.8561431461546496E-2</v>
      </c>
      <c r="L75">
        <v>2.5008079936168801E-2</v>
      </c>
    </row>
    <row r="76" spans="1:12" ht="16.5" x14ac:dyDescent="0.35">
      <c r="A76" t="s">
        <v>82</v>
      </c>
      <c r="B76" s="1" t="s">
        <v>149</v>
      </c>
      <c r="C76">
        <v>1.4217093841389901E-3</v>
      </c>
      <c r="D76">
        <v>6.3516779002667598E-4</v>
      </c>
      <c r="E76">
        <v>4.6825736042473299E-3</v>
      </c>
      <c r="F76">
        <v>2.0901146399399401E-3</v>
      </c>
      <c r="G76">
        <v>3.4115369397233601E-3</v>
      </c>
      <c r="H76">
        <v>1.26763855196207E-3</v>
      </c>
      <c r="I76">
        <v>1.43662113517773E-3</v>
      </c>
      <c r="J76">
        <v>6.2250191168484797E-4</v>
      </c>
      <c r="K76">
        <v>7.5223782543496799E-3</v>
      </c>
      <c r="L76">
        <v>3.2234608238509601E-3</v>
      </c>
    </row>
    <row r="77" spans="1:12" ht="16.5" x14ac:dyDescent="0.35">
      <c r="A77" t="s">
        <v>83</v>
      </c>
      <c r="B77" s="1" t="s">
        <v>149</v>
      </c>
      <c r="C77">
        <v>4.5002548215603699E-4</v>
      </c>
      <c r="D77">
        <v>2.0477849292494299E-4</v>
      </c>
      <c r="E77">
        <v>1.47500128248651E-3</v>
      </c>
      <c r="F77">
        <v>6.7561445814540296E-4</v>
      </c>
      <c r="G77">
        <v>9.4226380512222295E-4</v>
      </c>
      <c r="H77">
        <v>4.0709431559429499E-4</v>
      </c>
      <c r="I77">
        <v>4.4141957027591701E-4</v>
      </c>
      <c r="J77">
        <v>1.9936616084285301E-4</v>
      </c>
      <c r="K77">
        <v>2.2561060493901199E-3</v>
      </c>
      <c r="L77">
        <v>1.03088033294398E-3</v>
      </c>
    </row>
    <row r="78" spans="1:12" ht="16.5" x14ac:dyDescent="0.35">
      <c r="A78" t="s">
        <v>84</v>
      </c>
      <c r="B78" s="1" t="s">
        <v>149</v>
      </c>
      <c r="C78">
        <v>2.8906739909311599E-2</v>
      </c>
      <c r="D78">
        <v>4.4716370141486099E-3</v>
      </c>
      <c r="E78">
        <v>8.8097439482002604E-2</v>
      </c>
      <c r="F78">
        <v>1.65112866600623E-2</v>
      </c>
      <c r="G78">
        <v>3.3549319964700501E-2</v>
      </c>
      <c r="H78">
        <v>1.17564885868546E-2</v>
      </c>
      <c r="I78">
        <v>2.9554040118776499E-2</v>
      </c>
      <c r="J78">
        <v>5.9775261290532502E-3</v>
      </c>
      <c r="K78">
        <v>0.12425147051613999</v>
      </c>
      <c r="L78">
        <v>3.1462326578901703E-2</v>
      </c>
    </row>
    <row r="79" spans="1:12" ht="16.5" x14ac:dyDescent="0.35">
      <c r="A79" t="s">
        <v>85</v>
      </c>
      <c r="B79" s="1" t="s">
        <v>149</v>
      </c>
      <c r="C79">
        <v>1.97068705461893E-2</v>
      </c>
      <c r="D79">
        <v>6.09543406453328E-3</v>
      </c>
      <c r="E79">
        <v>5.6473140029172302E-2</v>
      </c>
      <c r="F79">
        <v>1.87033410205651E-2</v>
      </c>
      <c r="G79">
        <v>1.7140854859706602E-2</v>
      </c>
      <c r="H79">
        <v>6.8543532939948099E-3</v>
      </c>
      <c r="I79">
        <v>1.9053082171400299E-2</v>
      </c>
      <c r="J79">
        <v>6.8422757022791004E-3</v>
      </c>
      <c r="K79">
        <v>7.4783737083590707E-2</v>
      </c>
      <c r="L79">
        <v>2.9033732133125299E-2</v>
      </c>
    </row>
    <row r="80" spans="1:12" ht="16.5" x14ac:dyDescent="0.35">
      <c r="A80" t="s">
        <v>86</v>
      </c>
      <c r="B80" s="1" t="s">
        <v>149</v>
      </c>
      <c r="C80">
        <v>4.0776790377613101E-2</v>
      </c>
      <c r="D80">
        <v>1.6979664080633901E-2</v>
      </c>
      <c r="E80">
        <v>0.117329462456033</v>
      </c>
      <c r="F80">
        <v>5.1322287865785798E-2</v>
      </c>
      <c r="G80">
        <v>2.5441865090301E-2</v>
      </c>
      <c r="H80">
        <v>1.19514588256992E-2</v>
      </c>
      <c r="I80">
        <v>3.73763352012021E-2</v>
      </c>
      <c r="J80">
        <v>1.7616919222883599E-2</v>
      </c>
      <c r="K80">
        <v>0.13624252584649801</v>
      </c>
      <c r="L80">
        <v>6.5291294647208703E-2</v>
      </c>
    </row>
    <row r="81" spans="1:12" ht="16.5" x14ac:dyDescent="0.35">
      <c r="A81" t="s">
        <v>87</v>
      </c>
      <c r="B81" s="1" t="s">
        <v>149</v>
      </c>
      <c r="C81">
        <v>2.3908670034859599E-3</v>
      </c>
      <c r="D81">
        <v>9.9576719081842296E-4</v>
      </c>
      <c r="E81">
        <v>1.83160883954812E-3</v>
      </c>
      <c r="F81">
        <v>7.9592256486839296E-4</v>
      </c>
      <c r="G81">
        <v>1.39241364615718E-3</v>
      </c>
      <c r="H81">
        <v>5.8114401750536501E-4</v>
      </c>
      <c r="I81">
        <v>7.3380055636520201E-4</v>
      </c>
      <c r="J81">
        <v>3.1807233340689598E-4</v>
      </c>
      <c r="K81" s="5">
        <v>1.96285816208684E-5</v>
      </c>
      <c r="L81" s="5">
        <v>8.9925491934883102E-6</v>
      </c>
    </row>
    <row r="82" spans="1:12" ht="16.5" x14ac:dyDescent="0.35">
      <c r="A82" t="s">
        <v>88</v>
      </c>
      <c r="B82" s="1" t="s">
        <v>149</v>
      </c>
      <c r="C82">
        <v>3.0977978981661099E-2</v>
      </c>
      <c r="D82">
        <v>1.15682898658522E-2</v>
      </c>
      <c r="E82">
        <v>0.112011839904086</v>
      </c>
      <c r="F82">
        <v>4.0419540041154903E-2</v>
      </c>
      <c r="G82">
        <v>3.56598592967038E-3</v>
      </c>
      <c r="H82">
        <v>2.6541384489656601E-3</v>
      </c>
      <c r="I82">
        <v>1.7526527664994601E-2</v>
      </c>
      <c r="J82">
        <v>6.1197999010249799E-3</v>
      </c>
      <c r="K82">
        <v>1.12811803947461E-3</v>
      </c>
      <c r="L82">
        <v>4.1922461016500999E-4</v>
      </c>
    </row>
    <row r="83" spans="1:12" ht="16.5" x14ac:dyDescent="0.35">
      <c r="A83" t="s">
        <v>89</v>
      </c>
      <c r="B83" s="1" t="s">
        <v>149</v>
      </c>
      <c r="C83">
        <v>3.3779096880633401E-2</v>
      </c>
      <c r="D83">
        <v>1.00592245289695E-2</v>
      </c>
      <c r="E83">
        <v>1.9395198991899999E-2</v>
      </c>
      <c r="F83">
        <v>8.3233167975286307E-3</v>
      </c>
      <c r="G83">
        <v>2.3208174899991899E-2</v>
      </c>
      <c r="H83">
        <v>5.12285289405651E-3</v>
      </c>
      <c r="I83">
        <v>1.01815377460883E-2</v>
      </c>
      <c r="J83">
        <v>3.3394455421887101E-3</v>
      </c>
      <c r="K83">
        <v>2.06147604395428E-4</v>
      </c>
      <c r="L83" s="5">
        <v>9.4207778866653398E-5</v>
      </c>
    </row>
    <row r="84" spans="1:12" ht="16.5" x14ac:dyDescent="0.35">
      <c r="A84" t="s">
        <v>90</v>
      </c>
      <c r="B84" s="1" t="s">
        <v>149</v>
      </c>
      <c r="C84">
        <v>8.1924782685986706E-3</v>
      </c>
      <c r="D84">
        <v>3.3788062352191001E-3</v>
      </c>
      <c r="E84">
        <v>5.8256797752711999E-3</v>
      </c>
      <c r="F84">
        <v>2.6636323946836798E-3</v>
      </c>
      <c r="G84">
        <v>5.1264501052894597E-3</v>
      </c>
      <c r="H84">
        <v>1.9778922611390099E-3</v>
      </c>
      <c r="I84">
        <v>2.5978356701849099E-3</v>
      </c>
      <c r="J84">
        <v>1.08706793548113E-3</v>
      </c>
      <c r="K84" s="5">
        <v>6.6561861900430396E-5</v>
      </c>
      <c r="L84" s="5">
        <v>3.0531418792774198E-5</v>
      </c>
    </row>
    <row r="85" spans="1:12" ht="16.5" x14ac:dyDescent="0.35">
      <c r="A85" t="s">
        <v>91</v>
      </c>
      <c r="B85" s="1" t="s">
        <v>149</v>
      </c>
      <c r="C85">
        <v>8.4184030709839097E-2</v>
      </c>
      <c r="D85">
        <v>5.7114215393522398E-2</v>
      </c>
      <c r="E85">
        <v>9.3586342605287295E-2</v>
      </c>
      <c r="F85">
        <v>6.35995198655291E-2</v>
      </c>
      <c r="G85">
        <v>4.45668497004044E-2</v>
      </c>
      <c r="H85">
        <v>2.6569963997575202E-2</v>
      </c>
      <c r="I85">
        <v>3.6617471074547603E-2</v>
      </c>
      <c r="J85">
        <v>2.45922733665833E-2</v>
      </c>
      <c r="K85">
        <v>1.2143503910590999E-3</v>
      </c>
      <c r="L85" s="5">
        <v>6.7220605185396802E-18</v>
      </c>
    </row>
    <row r="86" spans="1:12" ht="16.5" x14ac:dyDescent="0.35">
      <c r="A86" t="s">
        <v>92</v>
      </c>
      <c r="B86" s="1" t="s">
        <v>149</v>
      </c>
      <c r="C86">
        <v>4.4652223014250599E-2</v>
      </c>
      <c r="D86">
        <v>3.2361570831616698E-2</v>
      </c>
      <c r="E86">
        <v>5.6532533808991099E-2</v>
      </c>
      <c r="F86">
        <v>4.1403301296802503E-2</v>
      </c>
      <c r="G86">
        <v>2.0839370170782801E-2</v>
      </c>
      <c r="H86">
        <v>1.49368253130003E-2</v>
      </c>
      <c r="I86">
        <v>1.9137903454951501E-2</v>
      </c>
      <c r="J86">
        <v>1.38647010778123E-2</v>
      </c>
      <c r="K86">
        <v>5.8066939575990805E-4</v>
      </c>
      <c r="L86" s="5">
        <v>5.4210165472094201E-19</v>
      </c>
    </row>
    <row r="87" spans="1:12" ht="16.5" x14ac:dyDescent="0.35">
      <c r="A87" t="s">
        <v>93</v>
      </c>
      <c r="B87" s="1" t="s">
        <v>149</v>
      </c>
      <c r="C87">
        <v>0.10951074376335999</v>
      </c>
      <c r="D87">
        <v>5.2517921891629502E-2</v>
      </c>
      <c r="E87">
        <v>0.20596325559614301</v>
      </c>
      <c r="F87">
        <v>0.10906176680779001</v>
      </c>
      <c r="G87">
        <v>4.5107065906737402E-2</v>
      </c>
      <c r="H87">
        <v>2.1247954044884401E-2</v>
      </c>
      <c r="I87">
        <v>4.6319364450962103E-2</v>
      </c>
      <c r="J87">
        <v>2.2706189586538202E-2</v>
      </c>
      <c r="K87">
        <v>2.0267792328226199E-3</v>
      </c>
      <c r="L87">
        <v>5.41158241604106E-4</v>
      </c>
    </row>
    <row r="88" spans="1:12" ht="16.5" x14ac:dyDescent="0.35">
      <c r="A88" t="s">
        <v>94</v>
      </c>
      <c r="B88" s="1" t="s">
        <v>149</v>
      </c>
      <c r="C88">
        <v>8.3513575992012298E-2</v>
      </c>
      <c r="D88">
        <v>5.6788829199634398E-2</v>
      </c>
      <c r="E88">
        <v>9.6334335644205696E-2</v>
      </c>
      <c r="F88">
        <v>6.6442041353931905E-2</v>
      </c>
      <c r="G88">
        <v>3.7182468906313E-2</v>
      </c>
      <c r="H88">
        <v>2.37640461365154E-2</v>
      </c>
      <c r="I88">
        <v>3.3292970491582002E-2</v>
      </c>
      <c r="J88">
        <v>2.37574993937129E-2</v>
      </c>
      <c r="K88" s="5">
        <v>3.6124840008623601E-5</v>
      </c>
      <c r="L88" s="5">
        <v>5.96311820193037E-19</v>
      </c>
    </row>
    <row r="89" spans="1:12" ht="16.5" x14ac:dyDescent="0.35">
      <c r="A89" t="s">
        <v>95</v>
      </c>
      <c r="B89" s="1" t="s">
        <v>149</v>
      </c>
      <c r="C89">
        <v>4.4858792387542298E-2</v>
      </c>
      <c r="D89">
        <v>3.2445593483556801E-2</v>
      </c>
      <c r="E89">
        <v>5.2917301931122498E-2</v>
      </c>
      <c r="F89">
        <v>3.9375859383146E-2</v>
      </c>
      <c r="G89">
        <v>1.9972231637813299E-2</v>
      </c>
      <c r="H89">
        <v>1.4504829400980201E-2</v>
      </c>
      <c r="I89">
        <v>1.8464266579399601E-2</v>
      </c>
      <c r="J89">
        <v>1.36667497552725E-2</v>
      </c>
      <c r="K89" s="5">
        <v>2.6292043319886E-5</v>
      </c>
      <c r="L89" s="5">
        <v>5.96311820193037E-19</v>
      </c>
    </row>
    <row r="90" spans="1:12" ht="16.5" x14ac:dyDescent="0.35">
      <c r="A90" t="s">
        <v>96</v>
      </c>
      <c r="B90" s="1" t="s">
        <v>149</v>
      </c>
      <c r="C90">
        <v>1.43959858765928E-2</v>
      </c>
      <c r="D90">
        <v>3.9801483589785502E-3</v>
      </c>
      <c r="E90">
        <v>5.9616376280640705E-4</v>
      </c>
      <c r="F90">
        <v>3.1492591391819001E-4</v>
      </c>
      <c r="G90" s="5">
        <v>3.23779743353832E-5</v>
      </c>
      <c r="H90" s="5">
        <v>7.9850737325884101E-6</v>
      </c>
      <c r="I90">
        <v>4.4743440494299999E-3</v>
      </c>
      <c r="J90">
        <v>4.0698574687197801E-4</v>
      </c>
      <c r="K90">
        <v>2.3788769688558201E-2</v>
      </c>
      <c r="L90">
        <v>3.9122236764196298E-3</v>
      </c>
    </row>
    <row r="91" spans="1:12" ht="16.5" x14ac:dyDescent="0.35">
      <c r="A91" t="s">
        <v>97</v>
      </c>
      <c r="B91" s="1" t="s">
        <v>149</v>
      </c>
      <c r="C91">
        <v>1.9672529403271601E-4</v>
      </c>
      <c r="D91" s="5">
        <v>9.0099553242604106E-5</v>
      </c>
      <c r="E91">
        <v>2.4234317638329499E-2</v>
      </c>
      <c r="F91">
        <v>2.75009875745589E-3</v>
      </c>
      <c r="G91">
        <v>1.74573063753751E-3</v>
      </c>
      <c r="H91" s="5">
        <v>6.3498100752992803E-5</v>
      </c>
      <c r="I91">
        <v>1.07636915542049E-3</v>
      </c>
      <c r="J91">
        <v>2.6675319833628701E-4</v>
      </c>
      <c r="K91">
        <v>4.2841384898000798E-4</v>
      </c>
      <c r="L91">
        <v>1.9444772999888501E-4</v>
      </c>
    </row>
    <row r="92" spans="1:12" ht="16.5" x14ac:dyDescent="0.35">
      <c r="A92" t="s">
        <v>98</v>
      </c>
      <c r="B92" s="1" t="s">
        <v>149</v>
      </c>
      <c r="C92">
        <v>1.08204807499087E-4</v>
      </c>
      <c r="D92" s="5">
        <v>4.9491349899399098E-5</v>
      </c>
      <c r="E92">
        <v>9.5026072857784891E-3</v>
      </c>
      <c r="F92">
        <v>2.0647845965562099E-3</v>
      </c>
      <c r="G92">
        <v>5.9023847858004298E-4</v>
      </c>
      <c r="H92" s="5">
        <v>5.1963444174440301E-5</v>
      </c>
      <c r="I92">
        <v>4.6630562102395299E-4</v>
      </c>
      <c r="J92">
        <v>1.5222104201170701E-4</v>
      </c>
      <c r="K92">
        <v>3.0745155123790199E-4</v>
      </c>
      <c r="L92">
        <v>1.03702347029184E-4</v>
      </c>
    </row>
    <row r="93" spans="1:12" ht="16.5" x14ac:dyDescent="0.35">
      <c r="A93" t="s">
        <v>99</v>
      </c>
      <c r="B93" s="1" t="s">
        <v>149</v>
      </c>
      <c r="C93" s="5">
        <v>9.7880264561524399E-5</v>
      </c>
      <c r="D93" s="5">
        <v>4.4759863762604203E-5</v>
      </c>
      <c r="E93">
        <v>7.9923276030283898E-3</v>
      </c>
      <c r="F93">
        <v>1.89701622533077E-3</v>
      </c>
      <c r="G93">
        <v>4.8537354207454897E-4</v>
      </c>
      <c r="H93" s="5">
        <v>4.8244732771082799E-5</v>
      </c>
      <c r="I93">
        <v>4.0858749718589198E-4</v>
      </c>
      <c r="J93">
        <v>1.3803700118378799E-4</v>
      </c>
      <c r="K93">
        <v>2.1168396755258701E-4</v>
      </c>
      <c r="L93" s="5">
        <v>9.6568228131759402E-5</v>
      </c>
    </row>
    <row r="94" spans="1:12" ht="16.5" x14ac:dyDescent="0.35">
      <c r="A94" t="s">
        <v>100</v>
      </c>
      <c r="B94" s="1" t="s">
        <v>149</v>
      </c>
      <c r="C94">
        <v>2.16067414318299E-2</v>
      </c>
      <c r="D94">
        <v>5.9664339912457402E-3</v>
      </c>
      <c r="E94">
        <v>0.16961064370519599</v>
      </c>
      <c r="F94">
        <v>4.3110210563473096E-3</v>
      </c>
      <c r="G94">
        <v>1.22704075082684E-2</v>
      </c>
      <c r="H94" s="5">
        <v>3.20421923169241E-5</v>
      </c>
      <c r="I94">
        <v>2.5398369697993799E-2</v>
      </c>
      <c r="J94">
        <v>8.1839608595848999E-4</v>
      </c>
      <c r="K94">
        <v>4.8754654072496899E-2</v>
      </c>
      <c r="L94">
        <v>1.54209821229137E-2</v>
      </c>
    </row>
    <row r="95" spans="1:12" ht="16.5" x14ac:dyDescent="0.35">
      <c r="A95" t="s">
        <v>101</v>
      </c>
      <c r="B95" s="1" t="s">
        <v>149</v>
      </c>
      <c r="C95">
        <v>1.13314395390332E-2</v>
      </c>
      <c r="D95">
        <v>3.70219714057496E-3</v>
      </c>
      <c r="E95">
        <v>3.2119858720680301E-2</v>
      </c>
      <c r="F95">
        <v>4.9802724600342702E-3</v>
      </c>
      <c r="G95">
        <v>1.9306018146120201E-3</v>
      </c>
      <c r="H95" s="5">
        <v>3.7638479664456098E-5</v>
      </c>
      <c r="I95">
        <v>5.0610259423000802E-3</v>
      </c>
      <c r="J95">
        <v>9.4288052994001505E-4</v>
      </c>
      <c r="K95">
        <v>2.5153009933112501E-2</v>
      </c>
      <c r="L95">
        <v>9.1743866751063507E-3</v>
      </c>
    </row>
    <row r="96" spans="1:12" ht="16.5" x14ac:dyDescent="0.35">
      <c r="A96" t="s">
        <v>102</v>
      </c>
      <c r="B96" s="1" t="s">
        <v>149</v>
      </c>
      <c r="C96">
        <v>1.5799496576183299E-2</v>
      </c>
      <c r="D96">
        <v>6.45680936989228E-3</v>
      </c>
      <c r="E96">
        <v>3.2549663010360497E-2</v>
      </c>
      <c r="F96">
        <v>5.4198228311974298E-3</v>
      </c>
      <c r="G96">
        <v>1.9306844868359899E-3</v>
      </c>
      <c r="H96" s="5">
        <v>3.7618979454851701E-5</v>
      </c>
      <c r="I96">
        <v>5.0850473430283502E-3</v>
      </c>
      <c r="J96">
        <v>9.6432268460246097E-4</v>
      </c>
      <c r="K96">
        <v>3.7206189791592501E-2</v>
      </c>
      <c r="L96">
        <v>1.6068172080955598E-2</v>
      </c>
    </row>
    <row r="97" spans="1:12" ht="16.5" x14ac:dyDescent="0.35">
      <c r="A97" t="s">
        <v>103</v>
      </c>
      <c r="B97" s="1" t="s">
        <v>149</v>
      </c>
      <c r="C97">
        <v>1.6005512612181801E-2</v>
      </c>
      <c r="D97">
        <v>4.7245587998710897E-3</v>
      </c>
      <c r="E97">
        <v>1.60224503928579E-2</v>
      </c>
      <c r="F97">
        <v>4.6889781382352703E-3</v>
      </c>
      <c r="G97">
        <v>1.33730118836829E-2</v>
      </c>
      <c r="H97">
        <v>3.8658130507775901E-3</v>
      </c>
      <c r="I97">
        <v>1.2507183387750601E-2</v>
      </c>
      <c r="J97">
        <v>3.5446097904116899E-3</v>
      </c>
      <c r="K97">
        <v>5.62798384143871E-3</v>
      </c>
      <c r="L97">
        <v>1.5695855995682001E-3</v>
      </c>
    </row>
    <row r="98" spans="1:12" ht="16.5" x14ac:dyDescent="0.35">
      <c r="A98" t="s">
        <v>104</v>
      </c>
      <c r="B98" s="1" t="s">
        <v>149</v>
      </c>
      <c r="C98">
        <v>6.6266295413995105E-2</v>
      </c>
      <c r="D98">
        <v>4.4711963565829203E-2</v>
      </c>
      <c r="E98">
        <v>5.7667728012341303E-2</v>
      </c>
      <c r="F98">
        <v>3.9631210466734401E-2</v>
      </c>
      <c r="G98">
        <v>6.1834337568329803E-2</v>
      </c>
      <c r="H98">
        <v>4.0490374565144698E-2</v>
      </c>
      <c r="I98">
        <v>5.4486623570536699E-2</v>
      </c>
      <c r="J98">
        <v>3.43136903672802E-2</v>
      </c>
      <c r="K98">
        <v>2.5930038227788301E-2</v>
      </c>
      <c r="L98">
        <v>1.79945145670934E-2</v>
      </c>
    </row>
    <row r="99" spans="1:12" ht="16.5" x14ac:dyDescent="0.35">
      <c r="A99" t="s">
        <v>105</v>
      </c>
      <c r="B99" s="1" t="s">
        <v>149</v>
      </c>
      <c r="C99">
        <v>3.4578598691135803E-2</v>
      </c>
      <c r="D99">
        <v>2.4997074754753299E-2</v>
      </c>
      <c r="E99">
        <v>2.80340433880364E-2</v>
      </c>
      <c r="F99">
        <v>2.1391362518831E-2</v>
      </c>
      <c r="G99">
        <v>2.9668655334136901E-2</v>
      </c>
      <c r="H99">
        <v>2.2290770764492901E-2</v>
      </c>
      <c r="I99">
        <v>2.5712370474335899E-2</v>
      </c>
      <c r="J99">
        <v>1.84777751730422E-2</v>
      </c>
      <c r="K99">
        <v>1.1109734380844701E-2</v>
      </c>
      <c r="L99">
        <v>9.0569268660642306E-3</v>
      </c>
    </row>
    <row r="100" spans="1:12" ht="16.5" x14ac:dyDescent="0.35">
      <c r="A100" t="s">
        <v>106</v>
      </c>
      <c r="B100" s="1" t="s">
        <v>149</v>
      </c>
      <c r="C100">
        <v>6.2150165194585903E-2</v>
      </c>
      <c r="D100">
        <v>4.3448022011048297E-2</v>
      </c>
      <c r="E100">
        <v>5.7228172896158502E-2</v>
      </c>
      <c r="F100">
        <v>3.9193818000738997E-2</v>
      </c>
      <c r="G100">
        <v>4.8176787432176099E-2</v>
      </c>
      <c r="H100">
        <v>2.9809484898321002E-2</v>
      </c>
      <c r="I100">
        <v>4.1010236771910402E-2</v>
      </c>
      <c r="J100">
        <v>3.06452065132755E-2</v>
      </c>
      <c r="K100">
        <v>2.4074009000466402E-2</v>
      </c>
      <c r="L100">
        <v>1.7374833999478201E-2</v>
      </c>
    </row>
    <row r="101" spans="1:12" ht="16.5" x14ac:dyDescent="0.35">
      <c r="A101" t="s">
        <v>107</v>
      </c>
      <c r="B101" s="1" t="s">
        <v>149</v>
      </c>
      <c r="C101">
        <v>3.34908454324849E-2</v>
      </c>
      <c r="D101">
        <v>2.4511044695310701E-2</v>
      </c>
      <c r="E101">
        <v>2.7561640731156099E-2</v>
      </c>
      <c r="F101">
        <v>2.0971814140139301E-2</v>
      </c>
      <c r="G101">
        <v>2.2898484686989799E-2</v>
      </c>
      <c r="H101">
        <v>1.9519461827994099E-2</v>
      </c>
      <c r="I101">
        <v>2.2559397555744001E-2</v>
      </c>
      <c r="J101">
        <v>1.7188472078645999E-2</v>
      </c>
      <c r="K101">
        <v>1.1305459615744E-2</v>
      </c>
      <c r="L101">
        <v>9.2709289376063791E-3</v>
      </c>
    </row>
    <row r="102" spans="1:12" ht="16.5" x14ac:dyDescent="0.35">
      <c r="A102" t="s">
        <v>108</v>
      </c>
      <c r="B102" s="1" t="s">
        <v>149</v>
      </c>
      <c r="C102">
        <v>7.5078434058672996E-2</v>
      </c>
      <c r="D102">
        <v>3.5653062841512997E-2</v>
      </c>
      <c r="E102">
        <v>6.69645092148803E-2</v>
      </c>
      <c r="F102">
        <v>3.1677979377401098E-2</v>
      </c>
      <c r="G102">
        <v>5.6890982481372802E-2</v>
      </c>
      <c r="H102">
        <v>2.8092847776709499E-2</v>
      </c>
      <c r="I102">
        <v>5.3459381426740699E-2</v>
      </c>
      <c r="J102">
        <v>2.5363468081394901E-2</v>
      </c>
      <c r="K102">
        <v>2.92702199971836E-2</v>
      </c>
      <c r="L102">
        <v>1.43776102404656E-2</v>
      </c>
    </row>
    <row r="103" spans="1:12" ht="16.5" x14ac:dyDescent="0.35">
      <c r="A103" t="s">
        <v>109</v>
      </c>
      <c r="B103" s="1" t="s">
        <v>149</v>
      </c>
      <c r="C103">
        <v>3.0789533516702199E-2</v>
      </c>
      <c r="D103">
        <v>2.2582719329819301E-2</v>
      </c>
      <c r="E103">
        <v>2.7404226088159001E-2</v>
      </c>
      <c r="F103">
        <v>2.00045215517991E-2</v>
      </c>
      <c r="G103">
        <v>2.1987443751442199E-2</v>
      </c>
      <c r="H103">
        <v>1.7355706083997599E-2</v>
      </c>
      <c r="I103">
        <v>2.06612101236745E-2</v>
      </c>
      <c r="J103">
        <v>1.5702354387243399E-2</v>
      </c>
      <c r="K103">
        <v>1.2054605941238901E-2</v>
      </c>
      <c r="L103">
        <v>8.8757535397850501E-3</v>
      </c>
    </row>
    <row r="104" spans="1:12" ht="16.5" x14ac:dyDescent="0.35">
      <c r="A104" t="s">
        <v>110</v>
      </c>
      <c r="B104" s="1" t="s">
        <v>149</v>
      </c>
      <c r="C104">
        <v>8.7555016185325903E-3</v>
      </c>
      <c r="D104">
        <v>5.21249280839733E-3</v>
      </c>
      <c r="E104">
        <v>4.10260855545277E-4</v>
      </c>
      <c r="F104">
        <v>2.9379544595173102E-4</v>
      </c>
      <c r="G104" s="5">
        <v>7.1721987610827202E-6</v>
      </c>
      <c r="H104" s="5">
        <v>6.9143491710638296E-6</v>
      </c>
      <c r="I104">
        <v>1.5345199657935499E-4</v>
      </c>
      <c r="J104">
        <v>1.4877848180663001E-4</v>
      </c>
      <c r="K104">
        <v>1.06397677586113E-3</v>
      </c>
      <c r="L104">
        <v>8.0293644877969198E-4</v>
      </c>
    </row>
    <row r="105" spans="1:12" ht="16.5" x14ac:dyDescent="0.35">
      <c r="A105" t="s">
        <v>111</v>
      </c>
      <c r="B105" s="1" t="s">
        <v>149</v>
      </c>
      <c r="C105">
        <v>0.21022304808988401</v>
      </c>
      <c r="D105">
        <v>5.8411389741096498E-2</v>
      </c>
      <c r="E105">
        <v>8.9852070375535206E-2</v>
      </c>
      <c r="F105">
        <v>3.1531979544379397E-2</v>
      </c>
      <c r="G105">
        <v>6.4590456372083096E-4</v>
      </c>
      <c r="H105">
        <v>3.0333161672212899E-4</v>
      </c>
      <c r="I105">
        <v>0.13805706252132899</v>
      </c>
      <c r="J105">
        <v>3.8761346818681298E-2</v>
      </c>
      <c r="K105">
        <v>3.7587723874439702E-4</v>
      </c>
      <c r="L105">
        <v>1.7748546929413899E-4</v>
      </c>
    </row>
    <row r="106" spans="1:12" ht="16.5" x14ac:dyDescent="0.35">
      <c r="A106" t="s">
        <v>112</v>
      </c>
      <c r="B106" s="1" t="s">
        <v>149</v>
      </c>
      <c r="C106">
        <v>0.85798784353315904</v>
      </c>
      <c r="D106">
        <v>0.49778632072603901</v>
      </c>
      <c r="E106">
        <v>0.22481531378226699</v>
      </c>
      <c r="F106">
        <v>0.14021305634305201</v>
      </c>
      <c r="G106">
        <v>1.3739369231120201E-2</v>
      </c>
      <c r="H106">
        <v>6.69822338011823E-3</v>
      </c>
      <c r="I106">
        <v>0.40626979196378799</v>
      </c>
      <c r="J106">
        <v>0.187312503268318</v>
      </c>
      <c r="K106">
        <v>2.5102300475157201E-3</v>
      </c>
      <c r="L106" s="5">
        <v>4.1633407082568398E-17</v>
      </c>
    </row>
    <row r="107" spans="1:12" ht="16.5" x14ac:dyDescent="0.35">
      <c r="A107" t="s">
        <v>113</v>
      </c>
      <c r="B107" s="1" t="s">
        <v>149</v>
      </c>
      <c r="C107">
        <v>0.42076274528345398</v>
      </c>
      <c r="D107">
        <v>0.28377198558044398</v>
      </c>
      <c r="E107">
        <v>0.124451481743882</v>
      </c>
      <c r="F107">
        <v>8.4727282280002605E-2</v>
      </c>
      <c r="G107">
        <v>8.4987195068543103E-3</v>
      </c>
      <c r="H107">
        <v>5.1962746531670897E-3</v>
      </c>
      <c r="I107">
        <v>0.21360295291911099</v>
      </c>
      <c r="J107">
        <v>0.118859395971285</v>
      </c>
      <c r="K107">
        <v>1.37365329190954E-3</v>
      </c>
      <c r="L107" s="5">
        <v>3.7296593844800799E-17</v>
      </c>
    </row>
    <row r="108" spans="1:12" ht="16.5" x14ac:dyDescent="0.35">
      <c r="A108" t="s">
        <v>114</v>
      </c>
      <c r="B108" s="1" t="s">
        <v>149</v>
      </c>
      <c r="C108">
        <v>0.95620062447564302</v>
      </c>
      <c r="D108">
        <v>0.30747694611494197</v>
      </c>
      <c r="E108">
        <v>0.73437082145129295</v>
      </c>
      <c r="F108">
        <v>0.17563000385271399</v>
      </c>
      <c r="G108">
        <v>1.6061467426322001E-2</v>
      </c>
      <c r="H108">
        <v>4.4445952947380803E-3</v>
      </c>
      <c r="I108">
        <v>0.92720484240990497</v>
      </c>
      <c r="J108">
        <v>0.179832571766255</v>
      </c>
      <c r="K108">
        <v>3.9479526140674803E-3</v>
      </c>
      <c r="L108">
        <v>1.1428698151934799E-3</v>
      </c>
    </row>
    <row r="109" spans="1:12" ht="16.5" x14ac:dyDescent="0.35">
      <c r="A109" t="s">
        <v>115</v>
      </c>
      <c r="B109" s="1" t="s">
        <v>149</v>
      </c>
      <c r="C109">
        <v>0.58474730108629103</v>
      </c>
      <c r="D109">
        <v>0.27430312800789303</v>
      </c>
      <c r="E109">
        <v>0.20908404584946899</v>
      </c>
      <c r="F109">
        <v>9.0630928283265799E-2</v>
      </c>
      <c r="G109">
        <v>1.61190307557308E-2</v>
      </c>
      <c r="H109">
        <v>6.5265283518869104E-3</v>
      </c>
      <c r="I109">
        <v>0.22080514946816901</v>
      </c>
      <c r="J109">
        <v>0.102076534619258</v>
      </c>
      <c r="K109">
        <v>1.5420422017441899E-3</v>
      </c>
      <c r="L109">
        <v>8.8753111113040403E-4</v>
      </c>
    </row>
    <row r="110" spans="1:12" ht="16.5" x14ac:dyDescent="0.35">
      <c r="A110" t="s">
        <v>116</v>
      </c>
      <c r="B110" s="1" t="s">
        <v>149</v>
      </c>
      <c r="C110">
        <v>6.7896689562502999E-2</v>
      </c>
      <c r="D110">
        <v>3.10433874970448E-2</v>
      </c>
      <c r="E110">
        <v>3.42696431429107E-2</v>
      </c>
      <c r="F110">
        <v>1.5739076238325701E-2</v>
      </c>
      <c r="G110">
        <v>3.2492608886800401E-4</v>
      </c>
      <c r="H110">
        <v>1.4880442520668599E-4</v>
      </c>
      <c r="I110">
        <v>4.4625125216850102E-2</v>
      </c>
      <c r="J110">
        <v>2.0651539749116699E-2</v>
      </c>
      <c r="K110">
        <v>1.9128571576071499E-4</v>
      </c>
      <c r="L110" s="5">
        <v>8.8897868436856403E-5</v>
      </c>
    </row>
    <row r="111" spans="1:12" ht="16.5" x14ac:dyDescent="0.35">
      <c r="A111" t="s">
        <v>117</v>
      </c>
      <c r="B111" s="1" t="s">
        <v>149</v>
      </c>
      <c r="C111">
        <v>0.69046843845089201</v>
      </c>
      <c r="D111">
        <v>0.47095078134481799</v>
      </c>
      <c r="E111">
        <v>0.210958341525643</v>
      </c>
      <c r="F111">
        <v>0.138290288304596</v>
      </c>
      <c r="G111">
        <v>6.1875339015409602E-3</v>
      </c>
      <c r="H111">
        <v>5.9187700208012698E-3</v>
      </c>
      <c r="I111">
        <v>0.163689356622609</v>
      </c>
      <c r="J111">
        <v>0.144642934712476</v>
      </c>
      <c r="K111" s="5">
        <v>5.77398346546303E-5</v>
      </c>
      <c r="L111" s="5">
        <v>1.2400575351741599E-18</v>
      </c>
    </row>
    <row r="112" spans="1:12" ht="16.5" x14ac:dyDescent="0.35">
      <c r="A112" t="s">
        <v>118</v>
      </c>
      <c r="B112" s="1" t="s">
        <v>149</v>
      </c>
      <c r="C112">
        <v>0.36261141139069297</v>
      </c>
      <c r="D112">
        <v>0.26768751241090499</v>
      </c>
      <c r="E112">
        <v>0.126766368913902</v>
      </c>
      <c r="F112">
        <v>8.4633031835561701E-2</v>
      </c>
      <c r="G112">
        <v>3.3710643453498E-3</v>
      </c>
      <c r="H112">
        <v>2.5009949732992202E-3</v>
      </c>
      <c r="I112">
        <v>0.116719880147429</v>
      </c>
      <c r="J112">
        <v>9.4881400844893604E-2</v>
      </c>
      <c r="K112" s="5">
        <v>4.98626056493814E-5</v>
      </c>
      <c r="L112" s="5">
        <v>1.4297931143264901E-18</v>
      </c>
    </row>
    <row r="113" spans="1:12" ht="16.5" x14ac:dyDescent="0.35">
      <c r="A113" t="s">
        <v>119</v>
      </c>
      <c r="B113" s="1" t="s">
        <v>149</v>
      </c>
      <c r="C113">
        <v>0.11209456183599199</v>
      </c>
      <c r="D113">
        <v>3.0910200682642001E-2</v>
      </c>
      <c r="E113">
        <v>5.4488564706816602E-2</v>
      </c>
      <c r="F113">
        <v>1.6131850669176599E-2</v>
      </c>
      <c r="G113">
        <v>4.4291111366513898E-4</v>
      </c>
      <c r="H113">
        <v>1.6420993428576801E-4</v>
      </c>
      <c r="I113">
        <v>7.4484974618707303E-2</v>
      </c>
      <c r="J113">
        <v>2.0490541539803699E-2</v>
      </c>
      <c r="K113">
        <v>2.6272018493339702E-4</v>
      </c>
      <c r="L113" s="5">
        <v>9.8309617863898699E-5</v>
      </c>
    </row>
    <row r="114" spans="1:12" ht="16.5" x14ac:dyDescent="0.35">
      <c r="A114" t="s">
        <v>120</v>
      </c>
      <c r="B114" s="1" t="s">
        <v>149</v>
      </c>
      <c r="C114">
        <v>0.47265273925029599</v>
      </c>
      <c r="D114">
        <v>0.275764388777341</v>
      </c>
      <c r="E114">
        <v>0.15459548114265301</v>
      </c>
      <c r="F114">
        <v>9.1521807233006902E-2</v>
      </c>
      <c r="G114">
        <v>1.5676119535281901E-2</v>
      </c>
      <c r="H114">
        <v>6.5296396417324799E-3</v>
      </c>
      <c r="I114">
        <v>0.146320174849455</v>
      </c>
      <c r="J114">
        <v>0.102762671776464</v>
      </c>
      <c r="K114">
        <v>1.2793220186401899E-3</v>
      </c>
      <c r="L114">
        <v>8.8655151180102004E-4</v>
      </c>
    </row>
    <row r="115" spans="1:12" ht="16.5" x14ac:dyDescent="0.35">
      <c r="A115" t="s">
        <v>121</v>
      </c>
      <c r="B115" s="1" t="s">
        <v>149</v>
      </c>
      <c r="C115">
        <v>1.8815240689548399E-4</v>
      </c>
      <c r="D115" s="5">
        <v>8.2109700302634793E-5</v>
      </c>
      <c r="E115" s="5">
        <v>7.7598561684744598E-6</v>
      </c>
      <c r="F115" s="5">
        <v>3.3854012700142098E-6</v>
      </c>
      <c r="G115" s="5">
        <v>2.2050737707188699E-7</v>
      </c>
      <c r="H115" s="5">
        <v>9.1908007011335594E-8</v>
      </c>
      <c r="I115" s="5">
        <v>2.1844699582530699E-5</v>
      </c>
      <c r="J115" s="5">
        <v>8.7250885601740396E-6</v>
      </c>
      <c r="K115">
        <v>1.9322526765914099E-4</v>
      </c>
      <c r="L115" s="5">
        <v>8.2817703296338203E-5</v>
      </c>
    </row>
    <row r="116" spans="1:12" ht="16.5" x14ac:dyDescent="0.35">
      <c r="A116" t="s">
        <v>122</v>
      </c>
      <c r="B116" s="1" t="s">
        <v>149</v>
      </c>
      <c r="C116">
        <v>3.0383974421458299E-3</v>
      </c>
      <c r="D116">
        <v>7.00774644914974E-4</v>
      </c>
      <c r="E116">
        <v>1.30996675906617E-4</v>
      </c>
      <c r="F116" s="5">
        <v>2.9673814362868198E-5</v>
      </c>
      <c r="G116" s="5">
        <v>5.0167537025311701E-6</v>
      </c>
      <c r="H116" s="5">
        <v>6.6013624967859698E-7</v>
      </c>
      <c r="I116">
        <v>5.9029848288926997E-4</v>
      </c>
      <c r="J116" s="5">
        <v>6.3954319404301799E-5</v>
      </c>
      <c r="K116">
        <v>3.2492285246593601E-3</v>
      </c>
      <c r="L116">
        <v>6.4089062616082997E-4</v>
      </c>
    </row>
    <row r="117" spans="1:12" ht="16.5" x14ac:dyDescent="0.35">
      <c r="A117" t="s">
        <v>123</v>
      </c>
      <c r="B117" s="1" t="s">
        <v>149</v>
      </c>
      <c r="C117">
        <v>7.16953638041332E-4</v>
      </c>
      <c r="D117">
        <v>2.7957057784349298E-4</v>
      </c>
      <c r="E117" s="5">
        <v>3.02440597084533E-5</v>
      </c>
      <c r="F117" s="5">
        <v>1.1582852688210899E-5</v>
      </c>
      <c r="G117" s="5">
        <v>9.624339123331411E-7</v>
      </c>
      <c r="H117" s="5">
        <v>3.1199237199054601E-7</v>
      </c>
      <c r="I117">
        <v>1.03139853202913E-4</v>
      </c>
      <c r="J117" s="5">
        <v>2.9556476460654299E-5</v>
      </c>
      <c r="K117">
        <v>7.3652966247181502E-4</v>
      </c>
      <c r="L117">
        <v>2.7913768084592998E-4</v>
      </c>
    </row>
    <row r="118" spans="1:12" ht="16.5" x14ac:dyDescent="0.35">
      <c r="A118" t="s">
        <v>124</v>
      </c>
      <c r="B118" s="1" t="s">
        <v>149</v>
      </c>
      <c r="C118">
        <v>9.4059649377005502E-3</v>
      </c>
      <c r="D118">
        <v>2.30990540040998E-3</v>
      </c>
      <c r="E118">
        <v>4.1816139548707301E-4</v>
      </c>
      <c r="F118" s="5">
        <v>9.7236649873287198E-5</v>
      </c>
      <c r="G118" s="5">
        <v>2.1642163124130601E-5</v>
      </c>
      <c r="H118" s="5">
        <v>1.69639094903739E-6</v>
      </c>
      <c r="I118">
        <v>1.7491662247739899E-3</v>
      </c>
      <c r="J118">
        <v>4.8501739896979602E-4</v>
      </c>
      <c r="K118">
        <v>9.5899970010161796E-3</v>
      </c>
      <c r="L118">
        <v>2.5692987454945899E-3</v>
      </c>
    </row>
    <row r="119" spans="1:12" ht="16.5" x14ac:dyDescent="0.35">
      <c r="A119" t="s">
        <v>125</v>
      </c>
      <c r="B119" s="1" t="s">
        <v>149</v>
      </c>
      <c r="C119">
        <v>4.3964490122026002E-3</v>
      </c>
      <c r="D119">
        <v>1.7562165876656201E-3</v>
      </c>
      <c r="E119">
        <v>1.9103627977608501E-4</v>
      </c>
      <c r="F119" s="5">
        <v>7.7813485414190799E-5</v>
      </c>
      <c r="G119" s="5">
        <v>5.8119950358366596E-6</v>
      </c>
      <c r="H119" s="5">
        <v>1.93358086355009E-6</v>
      </c>
      <c r="I119">
        <v>8.8778413568623695E-4</v>
      </c>
      <c r="J119">
        <v>3.0113659209488899E-4</v>
      </c>
      <c r="K119">
        <v>4.7489763548799902E-3</v>
      </c>
      <c r="L119">
        <v>1.7368653619974201E-3</v>
      </c>
    </row>
    <row r="120" spans="1:12" ht="16.5" x14ac:dyDescent="0.35">
      <c r="A120" t="s">
        <v>126</v>
      </c>
      <c r="B120" s="1" t="s">
        <v>149</v>
      </c>
      <c r="C120">
        <v>5.4055700581397796E-3</v>
      </c>
      <c r="D120">
        <v>2.71944815332021E-3</v>
      </c>
      <c r="E120">
        <v>2.2822635874697301E-4</v>
      </c>
      <c r="F120">
        <v>1.1545549666773E-4</v>
      </c>
      <c r="G120" s="5">
        <v>5.8962594628861797E-6</v>
      </c>
      <c r="H120" s="5">
        <v>2.0035136292563098E-6</v>
      </c>
      <c r="I120">
        <v>1.2755626553973499E-3</v>
      </c>
      <c r="J120">
        <v>5.23929117931647E-4</v>
      </c>
      <c r="K120">
        <v>6.3347896537328504E-3</v>
      </c>
      <c r="L120">
        <v>2.90290222979997E-3</v>
      </c>
    </row>
    <row r="121" spans="1:12" ht="16.5" x14ac:dyDescent="0.35">
      <c r="A121" t="s">
        <v>127</v>
      </c>
      <c r="B121" s="1" t="s">
        <v>149</v>
      </c>
      <c r="C121">
        <v>7.1124269772991104E-3</v>
      </c>
      <c r="D121">
        <v>2.7041027445305699E-3</v>
      </c>
      <c r="E121">
        <v>6.8450889278014E-3</v>
      </c>
      <c r="F121">
        <v>2.6208163523575101E-3</v>
      </c>
      <c r="G121">
        <v>5.6590828995466197E-3</v>
      </c>
      <c r="H121">
        <v>2.1778437967304499E-3</v>
      </c>
      <c r="I121">
        <v>5.0614430011486199E-3</v>
      </c>
      <c r="J121">
        <v>1.9563072746077502E-3</v>
      </c>
      <c r="K121">
        <v>2.2334272869803801E-3</v>
      </c>
      <c r="L121">
        <v>8.6836477443535997E-4</v>
      </c>
    </row>
    <row r="122" spans="1:12" ht="16.5" x14ac:dyDescent="0.35">
      <c r="A122" t="s">
        <v>128</v>
      </c>
      <c r="B122" s="1" t="s">
        <v>149</v>
      </c>
      <c r="C122">
        <v>3.5967470091744099E-3</v>
      </c>
      <c r="D122">
        <v>1.5407092341889401E-3</v>
      </c>
      <c r="E122">
        <v>3.4572450088475801E-3</v>
      </c>
      <c r="F122">
        <v>1.4888168294864301E-3</v>
      </c>
      <c r="G122">
        <v>2.85784638403166E-3</v>
      </c>
      <c r="H122">
        <v>1.2375604677402599E-3</v>
      </c>
      <c r="I122">
        <v>2.5641458515913199E-3</v>
      </c>
      <c r="J122">
        <v>1.1094260224838201E-3</v>
      </c>
      <c r="K122">
        <v>1.130478874006E-3</v>
      </c>
      <c r="L122">
        <v>4.9409802341407005E-4</v>
      </c>
    </row>
    <row r="123" spans="1:12" ht="16.5" x14ac:dyDescent="0.35">
      <c r="A123" t="s">
        <v>129</v>
      </c>
      <c r="B123" s="1" t="s">
        <v>149</v>
      </c>
      <c r="C123">
        <v>5.0056278707109299E-3</v>
      </c>
      <c r="D123">
        <v>2.4368960538862501E-3</v>
      </c>
      <c r="E123">
        <v>4.7650315300744204E-3</v>
      </c>
      <c r="F123">
        <v>2.35837218138398E-3</v>
      </c>
      <c r="G123">
        <v>3.9652128018951502E-3</v>
      </c>
      <c r="H123">
        <v>1.9543877835149102E-3</v>
      </c>
      <c r="I123">
        <v>3.5706099251713499E-3</v>
      </c>
      <c r="J123">
        <v>1.76764522914461E-3</v>
      </c>
      <c r="K123">
        <v>1.5782995585549701E-3</v>
      </c>
      <c r="L123">
        <v>7.7959415064114603E-4</v>
      </c>
    </row>
    <row r="124" spans="1:12" ht="16.5" x14ac:dyDescent="0.35">
      <c r="A124" t="s">
        <v>130</v>
      </c>
      <c r="B124" s="1" t="s">
        <v>149</v>
      </c>
      <c r="C124">
        <v>2.8697301653786401E-3</v>
      </c>
      <c r="D124">
        <v>1.5147669088686701E-3</v>
      </c>
      <c r="E124">
        <v>2.7944536214473399E-3</v>
      </c>
      <c r="F124">
        <v>1.4856299678566701E-3</v>
      </c>
      <c r="G124">
        <v>2.2835039519983002E-3</v>
      </c>
      <c r="H124">
        <v>1.2136549654983601E-3</v>
      </c>
      <c r="I124">
        <v>2.06662992209213E-3</v>
      </c>
      <c r="J124">
        <v>1.1033958067601401E-3</v>
      </c>
      <c r="K124">
        <v>8.9863196881350305E-4</v>
      </c>
      <c r="L124">
        <v>4.8186045271959301E-4</v>
      </c>
    </row>
    <row r="125" spans="1:12" ht="16.5" x14ac:dyDescent="0.35">
      <c r="A125" t="s">
        <v>131</v>
      </c>
      <c r="B125" s="1" t="s">
        <v>149</v>
      </c>
      <c r="C125">
        <v>4.2980386162034902E-2</v>
      </c>
      <c r="D125">
        <v>1.6960944487551002E-2</v>
      </c>
      <c r="E125">
        <v>2.4519986800085498E-2</v>
      </c>
      <c r="F125">
        <v>9.2619416239076505E-3</v>
      </c>
      <c r="G125">
        <v>3.9599302922952101E-4</v>
      </c>
      <c r="H125">
        <v>1.2810253270420499E-4</v>
      </c>
      <c r="I125">
        <v>2.8732056587812499E-2</v>
      </c>
      <c r="J125">
        <v>1.12684346342965E-2</v>
      </c>
      <c r="K125">
        <v>2.18798999731725E-4</v>
      </c>
      <c r="L125" s="5">
        <v>8.0255603794040804E-5</v>
      </c>
    </row>
    <row r="126" spans="1:12" ht="16.5" x14ac:dyDescent="0.35">
      <c r="A126" t="s">
        <v>132</v>
      </c>
      <c r="B126" s="1" t="s">
        <v>149</v>
      </c>
      <c r="C126">
        <v>2.1751567330460998E-2</v>
      </c>
      <c r="D126">
        <v>9.6504115859979197E-3</v>
      </c>
      <c r="E126">
        <v>1.2395435052102799E-2</v>
      </c>
      <c r="F126">
        <v>5.2992812035969903E-3</v>
      </c>
      <c r="G126">
        <v>1.9989061249152699E-4</v>
      </c>
      <c r="H126" s="5">
        <v>7.5138177605244406E-5</v>
      </c>
      <c r="I126">
        <v>1.44937905087616E-2</v>
      </c>
      <c r="J126">
        <v>6.37904046644522E-3</v>
      </c>
      <c r="K126">
        <v>1.10543334474363E-4</v>
      </c>
      <c r="L126" s="5">
        <v>4.6104423938770202E-5</v>
      </c>
    </row>
    <row r="127" spans="1:12" ht="16.5" x14ac:dyDescent="0.35">
      <c r="A127" t="s">
        <v>133</v>
      </c>
      <c r="B127" s="1" t="s">
        <v>149</v>
      </c>
      <c r="C127">
        <v>3.02153921692512E-2</v>
      </c>
      <c r="D127">
        <v>1.50373881282967E-2</v>
      </c>
      <c r="E127">
        <v>1.7163288946276702E-2</v>
      </c>
      <c r="F127">
        <v>8.3366592594812591E-3</v>
      </c>
      <c r="G127">
        <v>2.7661162789417297E-4</v>
      </c>
      <c r="H127">
        <v>1.21290575172279E-4</v>
      </c>
      <c r="I127">
        <v>2.0121967935708401E-2</v>
      </c>
      <c r="J127">
        <v>1.0034600360692401E-2</v>
      </c>
      <c r="K127">
        <v>1.53754291276428E-4</v>
      </c>
      <c r="L127" s="5">
        <v>7.3011290382393894E-5</v>
      </c>
    </row>
    <row r="128" spans="1:12" ht="16.5" x14ac:dyDescent="0.35">
      <c r="A128" t="s">
        <v>134</v>
      </c>
      <c r="B128" s="1" t="s">
        <v>149</v>
      </c>
      <c r="C128">
        <v>1.7255420981742702E-2</v>
      </c>
      <c r="D128">
        <v>9.2671092058823502E-3</v>
      </c>
      <c r="E128">
        <v>9.9124611941302596E-3</v>
      </c>
      <c r="F128">
        <v>5.1836059637718696E-3</v>
      </c>
      <c r="G128">
        <v>1.6065426594940999E-4</v>
      </c>
      <c r="H128" s="5">
        <v>7.7006973416959303E-5</v>
      </c>
      <c r="I128">
        <v>1.16034652074489E-2</v>
      </c>
      <c r="J128">
        <v>6.2382204540420202E-3</v>
      </c>
      <c r="K128" s="5">
        <v>8.70750989046371E-5</v>
      </c>
      <c r="L128" s="5">
        <v>4.5291888465334402E-5</v>
      </c>
    </row>
    <row r="129" spans="1:12" ht="16.5" x14ac:dyDescent="0.35">
      <c r="A129" t="s">
        <v>135</v>
      </c>
      <c r="B129" s="1" t="s">
        <v>149</v>
      </c>
      <c r="C129">
        <v>7.5287116429894096</v>
      </c>
      <c r="D129">
        <v>1.50151078268393</v>
      </c>
      <c r="E129">
        <v>4.1850547258607502</v>
      </c>
      <c r="F129">
        <v>0.713689627405522</v>
      </c>
      <c r="G129">
        <v>4.6946182909281502</v>
      </c>
      <c r="H129">
        <v>0.60443842478981202</v>
      </c>
      <c r="I129">
        <v>4.6286995789860104</v>
      </c>
      <c r="J129">
        <v>0.71131561179366298</v>
      </c>
      <c r="K129">
        <v>2.9293518779493599</v>
      </c>
      <c r="L129">
        <v>0.517466995754994</v>
      </c>
    </row>
    <row r="130" spans="1:12" ht="16.5" x14ac:dyDescent="0.35">
      <c r="A130" t="s">
        <v>136</v>
      </c>
      <c r="B130" s="1" t="s">
        <v>149</v>
      </c>
      <c r="C130">
        <v>1.4200326683614499</v>
      </c>
      <c r="D130">
        <v>0.46948476339240303</v>
      </c>
      <c r="E130">
        <v>2.1686490224122799</v>
      </c>
      <c r="F130">
        <v>0.437172477006743</v>
      </c>
      <c r="G130">
        <v>4.9338414152982102</v>
      </c>
      <c r="H130">
        <v>1.10072553288928</v>
      </c>
      <c r="I130">
        <v>1.23568937853566</v>
      </c>
      <c r="J130">
        <v>0.48046728099060598</v>
      </c>
      <c r="K130">
        <v>1.3802509595735599</v>
      </c>
      <c r="L130">
        <v>0.40656383377015798</v>
      </c>
    </row>
    <row r="131" spans="1:12" ht="16.5" x14ac:dyDescent="0.35">
      <c r="A131" t="s">
        <v>137</v>
      </c>
      <c r="B131" s="1" t="s">
        <v>149</v>
      </c>
      <c r="C131">
        <v>0.417467017070147</v>
      </c>
      <c r="D131">
        <v>0.30150903536837798</v>
      </c>
      <c r="E131">
        <v>0.105459268922833</v>
      </c>
      <c r="F131">
        <v>7.1386874412784199E-2</v>
      </c>
      <c r="G131">
        <v>0.123664632167996</v>
      </c>
      <c r="H131">
        <v>0.103164975039026</v>
      </c>
      <c r="I131">
        <v>1.3921182245577901</v>
      </c>
      <c r="J131">
        <v>0.67866012595472502</v>
      </c>
      <c r="K131">
        <v>0.27597755343616698</v>
      </c>
      <c r="L131">
        <v>0.18841962559818401</v>
      </c>
    </row>
    <row r="132" spans="1:12" ht="16.5" x14ac:dyDescent="0.35">
      <c r="A132" t="s">
        <v>138</v>
      </c>
      <c r="B132" s="1" t="s">
        <v>149</v>
      </c>
      <c r="C132">
        <v>0.61865772561688304</v>
      </c>
      <c r="D132">
        <v>0.490097229463413</v>
      </c>
      <c r="E132">
        <v>0.17762127508631301</v>
      </c>
      <c r="F132">
        <v>0.16768539267330601</v>
      </c>
      <c r="G132">
        <v>0.46418762527259499</v>
      </c>
      <c r="H132">
        <v>0.41238336912189499</v>
      </c>
      <c r="I132">
        <v>0.29438997611925899</v>
      </c>
      <c r="J132">
        <v>0.27236619279340402</v>
      </c>
      <c r="K132">
        <v>0.20205270462164199</v>
      </c>
      <c r="L132">
        <v>0.181573573685166</v>
      </c>
    </row>
    <row r="133" spans="1:12" ht="16.5" x14ac:dyDescent="0.35">
      <c r="A133" t="s">
        <v>139</v>
      </c>
      <c r="B133" s="1" t="s">
        <v>149</v>
      </c>
      <c r="C133">
        <v>0.395420502411926</v>
      </c>
      <c r="D133">
        <v>0.300249947042878</v>
      </c>
      <c r="E133">
        <v>5.3655816218529898E-2</v>
      </c>
      <c r="F133">
        <v>4.68258360243533E-2</v>
      </c>
      <c r="G133">
        <v>8.2327811965631603E-2</v>
      </c>
      <c r="H133">
        <v>7.3600605329020102E-2</v>
      </c>
      <c r="I133">
        <v>0.24033714233766401</v>
      </c>
      <c r="J133">
        <v>0.21547952453378599</v>
      </c>
      <c r="K133">
        <v>0.108239828952333</v>
      </c>
      <c r="L133">
        <v>9.8622238370464202E-2</v>
      </c>
    </row>
    <row r="134" spans="1:12" ht="16.5" x14ac:dyDescent="0.35">
      <c r="A134" t="s">
        <v>140</v>
      </c>
      <c r="B134" s="1" t="s">
        <v>149</v>
      </c>
      <c r="C134">
        <v>2.36605451470898</v>
      </c>
      <c r="D134">
        <v>1.1836815618747101</v>
      </c>
      <c r="E134">
        <v>0.319917793274694</v>
      </c>
      <c r="F134">
        <v>0.26838880885019201</v>
      </c>
      <c r="G134">
        <v>1.2342580342691301</v>
      </c>
      <c r="H134">
        <v>0.791870634196842</v>
      </c>
      <c r="I134">
        <v>0.72016346165384904</v>
      </c>
      <c r="J134">
        <v>0.48652922294579498</v>
      </c>
      <c r="K134">
        <v>0.328166274391332</v>
      </c>
      <c r="L134">
        <v>0.22613791674387501</v>
      </c>
    </row>
    <row r="135" spans="1:12" ht="16.5" x14ac:dyDescent="0.35">
      <c r="A135" t="s">
        <v>141</v>
      </c>
      <c r="B135" s="1" t="s">
        <v>149</v>
      </c>
      <c r="C135" s="2" t="s">
        <v>1</v>
      </c>
      <c r="D135" s="2" t="s">
        <v>1</v>
      </c>
      <c r="E135">
        <v>0.95040010551449505</v>
      </c>
      <c r="F135">
        <v>0.496388866969044</v>
      </c>
      <c r="G135">
        <v>2.2180851856499801</v>
      </c>
      <c r="H135">
        <v>1.0462296146535299</v>
      </c>
      <c r="I135">
        <v>0.75723169853013705</v>
      </c>
      <c r="J135">
        <v>0.49884817917987601</v>
      </c>
      <c r="K135">
        <v>0.83486849526756102</v>
      </c>
      <c r="L135">
        <v>0.39523071221675599</v>
      </c>
    </row>
    <row r="136" spans="1:12" ht="16.5" x14ac:dyDescent="0.35">
      <c r="A136" t="s">
        <v>142</v>
      </c>
      <c r="B136" s="1" t="s">
        <v>149</v>
      </c>
      <c r="C136">
        <v>0.84332169000912505</v>
      </c>
      <c r="D136">
        <v>0.72156574832811704</v>
      </c>
      <c r="E136">
        <v>6.9799257442926393E-2</v>
      </c>
      <c r="F136">
        <v>6.9736437854891198E-2</v>
      </c>
      <c r="G136">
        <v>0.22888534621919199</v>
      </c>
      <c r="H136">
        <v>0.210269059203576</v>
      </c>
      <c r="I136">
        <v>0.141707045935243</v>
      </c>
      <c r="J136">
        <v>0.13416083232308601</v>
      </c>
      <c r="K136">
        <v>9.3540818274057094E-2</v>
      </c>
      <c r="L136">
        <v>8.5447755759236299E-2</v>
      </c>
    </row>
    <row r="137" spans="1:12" ht="16.5" x14ac:dyDescent="0.35">
      <c r="A137" t="s">
        <v>143</v>
      </c>
      <c r="B137" s="1" t="s">
        <v>149</v>
      </c>
      <c r="C137">
        <v>0.31731271916566001</v>
      </c>
      <c r="D137">
        <v>0.20746726056689899</v>
      </c>
      <c r="E137">
        <v>0.61861096256480197</v>
      </c>
      <c r="F137">
        <v>0.21966878114028901</v>
      </c>
      <c r="G137">
        <v>0.42400596804982599</v>
      </c>
      <c r="H137">
        <v>3.7781264998556198E-2</v>
      </c>
      <c r="I137">
        <v>0.20563015395645101</v>
      </c>
      <c r="J137">
        <v>0.19123791531739701</v>
      </c>
      <c r="K137">
        <v>0.128605053921312</v>
      </c>
      <c r="L137">
        <v>9.7124289948697998E-2</v>
      </c>
    </row>
    <row r="138" spans="1:12" ht="16.5" x14ac:dyDescent="0.35">
      <c r="A138" t="s">
        <v>144</v>
      </c>
      <c r="B138" s="1" t="s">
        <v>149</v>
      </c>
      <c r="C138">
        <v>8.9117442026697399E-2</v>
      </c>
      <c r="D138">
        <v>5.9665555207368798E-2</v>
      </c>
      <c r="E138">
        <v>5.9870086626787999E-2</v>
      </c>
      <c r="F138">
        <v>5.5907968292537101E-2</v>
      </c>
      <c r="G138">
        <v>3.7341851391954901E-2</v>
      </c>
      <c r="H138">
        <v>2.59107935744202E-2</v>
      </c>
      <c r="I138">
        <v>4.5684719586352E-2</v>
      </c>
      <c r="J138">
        <v>2.99456399077574E-2</v>
      </c>
      <c r="K138">
        <v>8.1775704781856098E-2</v>
      </c>
      <c r="L138">
        <v>6.1379531211123203E-2</v>
      </c>
    </row>
    <row r="139" spans="1:12" ht="16.5" x14ac:dyDescent="0.35">
      <c r="A139" t="s">
        <v>145</v>
      </c>
      <c r="B139" s="1" t="s">
        <v>149</v>
      </c>
      <c r="C139">
        <v>8.2375158748601005E-2</v>
      </c>
      <c r="D139">
        <v>5.7272439407436003E-2</v>
      </c>
      <c r="E139">
        <v>0.29620052079449299</v>
      </c>
      <c r="F139">
        <v>0.128922255621997</v>
      </c>
      <c r="G139">
        <v>3.5143647213870997E-2</v>
      </c>
      <c r="H139">
        <v>2.32047558496189E-2</v>
      </c>
      <c r="I139">
        <v>4.4371590064238103E-2</v>
      </c>
      <c r="J139">
        <v>2.9990625884098499E-2</v>
      </c>
      <c r="K139">
        <v>0.100034579742789</v>
      </c>
      <c r="L139">
        <v>6.6545969648193801E-2</v>
      </c>
    </row>
    <row r="140" spans="1:12" ht="16.5" x14ac:dyDescent="0.35">
      <c r="A140" t="s">
        <v>146</v>
      </c>
      <c r="B140" s="1" t="s">
        <v>149</v>
      </c>
      <c r="C140">
        <v>0.35087307409490298</v>
      </c>
      <c r="D140">
        <v>0.28078305971209999</v>
      </c>
      <c r="E140">
        <v>6.43241339770525E-2</v>
      </c>
      <c r="F140">
        <v>6.2621690470093805E-2</v>
      </c>
      <c r="G140">
        <v>3.2753933963296901E-3</v>
      </c>
      <c r="H140">
        <v>2.3400243134681698E-3</v>
      </c>
      <c r="I140">
        <v>0.113644515003921</v>
      </c>
      <c r="J140">
        <v>0.10349112852122901</v>
      </c>
      <c r="K140">
        <v>1.87252918513987E-3</v>
      </c>
      <c r="L140">
        <v>1.2666956062428001E-3</v>
      </c>
    </row>
    <row r="141" spans="1:12" ht="16.5" x14ac:dyDescent="0.35">
      <c r="A141" t="s">
        <v>147</v>
      </c>
      <c r="B141" s="1" t="s">
        <v>149</v>
      </c>
      <c r="C141">
        <v>0.60532755038074504</v>
      </c>
      <c r="D141">
        <v>0.188561498666208</v>
      </c>
      <c r="E141">
        <v>0.67004668747423801</v>
      </c>
      <c r="F141">
        <v>0.18001166320312301</v>
      </c>
      <c r="G141">
        <v>1.27860753298696E-2</v>
      </c>
      <c r="H141">
        <v>4.2444391524543504E-3</v>
      </c>
      <c r="I141">
        <v>0.81356032740598705</v>
      </c>
      <c r="J141">
        <v>0.183647469145511</v>
      </c>
      <c r="K141">
        <v>2.0754234289276099E-3</v>
      </c>
      <c r="L141">
        <v>1.26846364777909E-3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F748-A440-4C90-85BA-8B8DAE4EB5DB}">
  <sheetPr codeName="Sheet2"/>
  <dimension ref="A1:L141"/>
  <sheetViews>
    <sheetView workbookViewId="0">
      <selection activeCell="L108" sqref="L108"/>
    </sheetView>
  </sheetViews>
  <sheetFormatPr defaultRowHeight="14.5" x14ac:dyDescent="0.35"/>
  <cols>
    <col min="1" max="2" width="19.90625" customWidth="1"/>
    <col min="3" max="12" width="15.453125" customWidth="1"/>
  </cols>
  <sheetData>
    <row r="1" spans="1:12" x14ac:dyDescent="0.35">
      <c r="A1" s="4" t="s">
        <v>8</v>
      </c>
      <c r="B1" s="4" t="s">
        <v>148</v>
      </c>
      <c r="C1" s="4" t="s">
        <v>2</v>
      </c>
      <c r="D1" s="4" t="s">
        <v>3</v>
      </c>
      <c r="E1" s="4" t="s">
        <v>4</v>
      </c>
      <c r="F1" s="4" t="s">
        <v>3</v>
      </c>
      <c r="G1" s="4" t="s">
        <v>5</v>
      </c>
      <c r="H1" s="4" t="s">
        <v>3</v>
      </c>
      <c r="I1" s="4" t="s">
        <v>6</v>
      </c>
      <c r="J1" s="4" t="s">
        <v>3</v>
      </c>
      <c r="K1" s="4" t="s">
        <v>7</v>
      </c>
      <c r="L1" s="4" t="s">
        <v>3</v>
      </c>
    </row>
    <row r="2" spans="1:12" ht="16.5" x14ac:dyDescent="0.35">
      <c r="A2" t="s">
        <v>0</v>
      </c>
      <c r="B2" s="1" t="s">
        <v>150</v>
      </c>
      <c r="C2">
        <f>ROUND(Sheet1!C2*1000,1)</f>
        <v>3075.1</v>
      </c>
      <c r="D2">
        <f>ROUND(Sheet1!D2*1000,1)</f>
        <v>652.29999999999995</v>
      </c>
      <c r="E2">
        <f>ROUND(Sheet1!E2*1000,1)</f>
        <v>3153.3</v>
      </c>
      <c r="F2">
        <f>ROUND(Sheet1!F2*1000,1)</f>
        <v>369</v>
      </c>
      <c r="G2">
        <f>ROUND(Sheet1!G2*1000,1)</f>
        <v>1422</v>
      </c>
      <c r="H2">
        <f>ROUND(Sheet1!H2*1000,1)</f>
        <v>515.9</v>
      </c>
      <c r="I2">
        <f>ROUND(Sheet1!I2*1000,1)</f>
        <v>2308.4</v>
      </c>
      <c r="J2">
        <f>ROUND(Sheet1!J2*1000,1)</f>
        <v>438.4</v>
      </c>
      <c r="K2">
        <f>ROUND(Sheet1!K2*1000,1)</f>
        <v>839.2</v>
      </c>
      <c r="L2">
        <f>ROUND(Sheet1!L2*1000,1)</f>
        <v>249.4</v>
      </c>
    </row>
    <row r="3" spans="1:12" ht="16.5" x14ac:dyDescent="0.35">
      <c r="A3" t="s">
        <v>9</v>
      </c>
      <c r="B3" s="1" t="s">
        <v>150</v>
      </c>
      <c r="C3">
        <f>ROUND(Sheet1!C3*1000,1)</f>
        <v>4400.3</v>
      </c>
      <c r="D3">
        <f>ROUND(Sheet1!D3*1000,1)</f>
        <v>2475</v>
      </c>
      <c r="E3">
        <f>ROUND(Sheet1!E3*1000,1)</f>
        <v>2271</v>
      </c>
      <c r="F3">
        <f>ROUND(Sheet1!F3*1000,1)</f>
        <v>1466.8</v>
      </c>
      <c r="G3">
        <f>ROUND(Sheet1!G3*1000,1)</f>
        <v>2562.1</v>
      </c>
      <c r="H3">
        <f>ROUND(Sheet1!H3*1000,1)</f>
        <v>2147.1</v>
      </c>
      <c r="I3">
        <f>ROUND(Sheet1!I3*1000,1)</f>
        <v>3222</v>
      </c>
      <c r="J3">
        <f>ROUND(Sheet1!J3*1000,1)</f>
        <v>1868.8</v>
      </c>
      <c r="K3">
        <f>ROUND(Sheet1!K3*1000,1)</f>
        <v>1798.3</v>
      </c>
      <c r="L3">
        <f>ROUND(Sheet1!L3*1000,1)</f>
        <v>1133.8</v>
      </c>
    </row>
    <row r="4" spans="1:12" ht="16.5" x14ac:dyDescent="0.35">
      <c r="A4" t="s">
        <v>10</v>
      </c>
      <c r="B4" s="1" t="s">
        <v>150</v>
      </c>
      <c r="C4">
        <f>ROUND(Sheet1!C4*1000,1)</f>
        <v>1823.1</v>
      </c>
      <c r="D4">
        <f>ROUND(Sheet1!D4*1000,1)</f>
        <v>1162.4000000000001</v>
      </c>
      <c r="E4">
        <f>ROUND(Sheet1!E4*1000,1)</f>
        <v>2218.6999999999998</v>
      </c>
      <c r="F4">
        <f>ROUND(Sheet1!F4*1000,1)</f>
        <v>1439.1</v>
      </c>
      <c r="G4">
        <f>ROUND(Sheet1!G4*1000,1)</f>
        <v>6141.8</v>
      </c>
      <c r="H4">
        <f>ROUND(Sheet1!H4*1000,1)</f>
        <v>2393.4</v>
      </c>
      <c r="I4">
        <f>ROUND(Sheet1!I4*1000,1)</f>
        <v>1281.9000000000001</v>
      </c>
      <c r="J4">
        <f>ROUND(Sheet1!J4*1000,1)</f>
        <v>754</v>
      </c>
      <c r="K4">
        <f>ROUND(Sheet1!K4*1000,1)</f>
        <v>1922.7</v>
      </c>
      <c r="L4">
        <f>ROUND(Sheet1!L4*1000,1)</f>
        <v>1090.2</v>
      </c>
    </row>
    <row r="5" spans="1:12" ht="16.5" x14ac:dyDescent="0.35">
      <c r="A5" t="s">
        <v>11</v>
      </c>
      <c r="B5" s="1" t="s">
        <v>150</v>
      </c>
      <c r="C5">
        <f>ROUND(Sheet1!C5*1000,1)</f>
        <v>3112.2</v>
      </c>
      <c r="D5">
        <f>ROUND(Sheet1!D5*1000,1)</f>
        <v>1992.5</v>
      </c>
      <c r="E5">
        <f>ROUND(Sheet1!E5*1000,1)</f>
        <v>672.9</v>
      </c>
      <c r="F5">
        <f>ROUND(Sheet1!F5*1000,1)</f>
        <v>432</v>
      </c>
      <c r="G5">
        <f>ROUND(Sheet1!G5*1000,1)</f>
        <v>361.8</v>
      </c>
      <c r="H5">
        <f>ROUND(Sheet1!H5*1000,1)</f>
        <v>256.2</v>
      </c>
      <c r="I5">
        <f>ROUND(Sheet1!I5*1000,1)</f>
        <v>279.39999999999998</v>
      </c>
      <c r="J5">
        <f>ROUND(Sheet1!J5*1000,1)</f>
        <v>171.5</v>
      </c>
      <c r="K5">
        <f>ROUND(Sheet1!K5*1000,1)</f>
        <v>317.7</v>
      </c>
      <c r="L5">
        <f>ROUND(Sheet1!L5*1000,1)</f>
        <v>208.3</v>
      </c>
    </row>
    <row r="6" spans="1:12" ht="16.5" x14ac:dyDescent="0.35">
      <c r="A6" t="s">
        <v>12</v>
      </c>
      <c r="B6" s="1" t="s">
        <v>150</v>
      </c>
      <c r="C6">
        <f>ROUND(Sheet1!C6*1000,1)</f>
        <v>1787.8</v>
      </c>
      <c r="D6">
        <f>ROUND(Sheet1!D6*1000,1)</f>
        <v>1131.4000000000001</v>
      </c>
      <c r="E6">
        <f>ROUND(Sheet1!E6*1000,1)</f>
        <v>1071.0999999999999</v>
      </c>
      <c r="F6">
        <f>ROUND(Sheet1!F6*1000,1)</f>
        <v>724.1</v>
      </c>
      <c r="G6">
        <f>ROUND(Sheet1!G6*1000,1)</f>
        <v>348.3</v>
      </c>
      <c r="H6">
        <f>ROUND(Sheet1!H6*1000,1)</f>
        <v>249.4</v>
      </c>
      <c r="I6">
        <f>ROUND(Sheet1!I6*1000,1)</f>
        <v>2834.6</v>
      </c>
      <c r="J6">
        <f>ROUND(Sheet1!J6*1000,1)</f>
        <v>1798.2</v>
      </c>
      <c r="K6">
        <f>ROUND(Sheet1!K6*1000,1)</f>
        <v>550.79999999999995</v>
      </c>
      <c r="L6">
        <f>ROUND(Sheet1!L6*1000,1)</f>
        <v>389.4</v>
      </c>
    </row>
    <row r="7" spans="1:12" ht="16.5" x14ac:dyDescent="0.35">
      <c r="A7" t="s">
        <v>13</v>
      </c>
      <c r="B7" s="1" t="s">
        <v>150</v>
      </c>
      <c r="C7">
        <f>ROUND(Sheet1!C7*1000,1)</f>
        <v>2161.4</v>
      </c>
      <c r="D7">
        <f>ROUND(Sheet1!D7*1000,1)</f>
        <v>1179.5</v>
      </c>
      <c r="E7">
        <f>ROUND(Sheet1!E7*1000,1)</f>
        <v>3354.6</v>
      </c>
      <c r="F7">
        <f>ROUND(Sheet1!F7*1000,1)</f>
        <v>1469.8</v>
      </c>
      <c r="G7">
        <f>ROUND(Sheet1!G7*1000,1)</f>
        <v>3083</v>
      </c>
      <c r="H7">
        <f>ROUND(Sheet1!H7*1000,1)</f>
        <v>2386</v>
      </c>
      <c r="I7">
        <f>ROUND(Sheet1!I7*1000,1)</f>
        <v>1328.3</v>
      </c>
      <c r="J7">
        <f>ROUND(Sheet1!J7*1000,1)</f>
        <v>753.7</v>
      </c>
      <c r="K7">
        <f>ROUND(Sheet1!K7*1000,1)</f>
        <v>1735.4</v>
      </c>
      <c r="L7">
        <f>ROUND(Sheet1!L7*1000,1)</f>
        <v>1094.5</v>
      </c>
    </row>
    <row r="8" spans="1:12" ht="16.5" x14ac:dyDescent="0.35">
      <c r="A8" t="s">
        <v>14</v>
      </c>
      <c r="B8" s="1" t="s">
        <v>150</v>
      </c>
      <c r="C8">
        <f>ROUND(Sheet1!C8*1000,1)</f>
        <v>3478.7</v>
      </c>
      <c r="D8">
        <f>ROUND(Sheet1!D8*1000,1)</f>
        <v>2017</v>
      </c>
      <c r="E8">
        <f>ROUND(Sheet1!E8*1000,1)</f>
        <v>702</v>
      </c>
      <c r="F8">
        <f>ROUND(Sheet1!F8*1000,1)</f>
        <v>436.4</v>
      </c>
      <c r="G8">
        <f>ROUND(Sheet1!G8*1000,1)</f>
        <v>523.5</v>
      </c>
      <c r="H8">
        <f>ROUND(Sheet1!H8*1000,1)</f>
        <v>265.60000000000002</v>
      </c>
      <c r="I8">
        <f>ROUND(Sheet1!I8*1000,1)</f>
        <v>283.39999999999998</v>
      </c>
      <c r="J8">
        <f>ROUND(Sheet1!J8*1000,1)</f>
        <v>172.6</v>
      </c>
      <c r="K8">
        <f>ROUND(Sheet1!K8*1000,1)</f>
        <v>350.1</v>
      </c>
      <c r="L8">
        <f>ROUND(Sheet1!L8*1000,1)</f>
        <v>212.6</v>
      </c>
    </row>
    <row r="9" spans="1:12" ht="16.5" x14ac:dyDescent="0.35">
      <c r="A9" t="s">
        <v>15</v>
      </c>
      <c r="B9" s="1" t="s">
        <v>150</v>
      </c>
      <c r="C9">
        <f>ROUND(Sheet1!C9*1000,1)</f>
        <v>1835.4</v>
      </c>
      <c r="D9">
        <f>ROUND(Sheet1!D9*1000,1)</f>
        <v>1145.2</v>
      </c>
      <c r="E9">
        <f>ROUND(Sheet1!E9*1000,1)</f>
        <v>1367.7</v>
      </c>
      <c r="F9">
        <f>ROUND(Sheet1!F9*1000,1)</f>
        <v>766</v>
      </c>
      <c r="G9">
        <f>ROUND(Sheet1!G9*1000,1)</f>
        <v>377.5</v>
      </c>
      <c r="H9">
        <f>ROUND(Sheet1!H9*1000,1)</f>
        <v>257.3</v>
      </c>
      <c r="I9">
        <f>ROUND(Sheet1!I9*1000,1)</f>
        <v>3918.7</v>
      </c>
      <c r="J9">
        <f>ROUND(Sheet1!J9*1000,1)</f>
        <v>1817.3</v>
      </c>
      <c r="K9">
        <f>ROUND(Sheet1!K9*1000,1)</f>
        <v>552</v>
      </c>
      <c r="L9">
        <f>ROUND(Sheet1!L9*1000,1)</f>
        <v>378.8</v>
      </c>
    </row>
    <row r="10" spans="1:12" ht="16.5" x14ac:dyDescent="0.35">
      <c r="A10" t="s">
        <v>16</v>
      </c>
      <c r="B10" s="1" t="s">
        <v>150</v>
      </c>
      <c r="C10">
        <f>ROUND(Sheet1!C10*1000,1)</f>
        <v>306.10000000000002</v>
      </c>
      <c r="D10">
        <f>ROUND(Sheet1!D10*1000,1)</f>
        <v>214.9</v>
      </c>
      <c r="E10">
        <f>ROUND(Sheet1!E10*1000,1)</f>
        <v>350.2</v>
      </c>
      <c r="F10">
        <f>ROUND(Sheet1!F10*1000,1)</f>
        <v>227.3</v>
      </c>
      <c r="G10">
        <f>ROUND(Sheet1!G10*1000,1)</f>
        <v>211.5</v>
      </c>
      <c r="H10">
        <f>ROUND(Sheet1!H10*1000,1)</f>
        <v>166.7</v>
      </c>
      <c r="I10">
        <f>ROUND(Sheet1!I10*1000,1)</f>
        <v>280.10000000000002</v>
      </c>
      <c r="J10">
        <f>ROUND(Sheet1!J10*1000,1)</f>
        <v>212.2</v>
      </c>
      <c r="K10">
        <f>ROUND(Sheet1!K10*1000,1)</f>
        <v>181.5</v>
      </c>
      <c r="L10">
        <f>ROUND(Sheet1!L10*1000,1)</f>
        <v>130.1</v>
      </c>
    </row>
    <row r="11" spans="1:12" ht="16.5" x14ac:dyDescent="0.35">
      <c r="A11" t="s">
        <v>17</v>
      </c>
      <c r="B11" s="1" t="s">
        <v>150</v>
      </c>
      <c r="C11">
        <f>ROUND(Sheet1!C11*1000,1)</f>
        <v>404.2</v>
      </c>
      <c r="D11">
        <f>ROUND(Sheet1!D11*1000,1)</f>
        <v>241.6</v>
      </c>
      <c r="E11">
        <f>ROUND(Sheet1!E11*1000,1)</f>
        <v>389.1</v>
      </c>
      <c r="F11">
        <f>ROUND(Sheet1!F11*1000,1)</f>
        <v>235.4</v>
      </c>
      <c r="G11">
        <f>ROUND(Sheet1!G11*1000,1)</f>
        <v>560.70000000000005</v>
      </c>
      <c r="H11">
        <f>ROUND(Sheet1!H11*1000,1)</f>
        <v>242</v>
      </c>
      <c r="I11">
        <f>ROUND(Sheet1!I11*1000,1)</f>
        <v>475.7</v>
      </c>
      <c r="J11">
        <f>ROUND(Sheet1!J11*1000,1)</f>
        <v>267.5</v>
      </c>
      <c r="K11">
        <f>ROUND(Sheet1!K11*1000,1)</f>
        <v>223.8</v>
      </c>
      <c r="L11">
        <f>ROUND(Sheet1!L11*1000,1)</f>
        <v>144.30000000000001</v>
      </c>
    </row>
    <row r="12" spans="1:12" ht="16.5" x14ac:dyDescent="0.35">
      <c r="A12" t="s">
        <v>18</v>
      </c>
      <c r="B12" s="1" t="s">
        <v>150</v>
      </c>
      <c r="C12">
        <f>ROUND(Sheet1!C12*1000,1)</f>
        <v>177.9</v>
      </c>
      <c r="D12">
        <f>ROUND(Sheet1!D12*1000,1)</f>
        <v>154.4</v>
      </c>
      <c r="E12">
        <f>ROUND(Sheet1!E12*1000,1)</f>
        <v>89.8</v>
      </c>
      <c r="F12">
        <f>ROUND(Sheet1!F12*1000,1)</f>
        <v>73.5</v>
      </c>
      <c r="G12">
        <f>ROUND(Sheet1!G12*1000,1)</f>
        <v>145.19999999999999</v>
      </c>
      <c r="H12">
        <f>ROUND(Sheet1!H12*1000,1)</f>
        <v>106.3</v>
      </c>
      <c r="I12">
        <f>ROUND(Sheet1!I12*1000,1)</f>
        <v>225.1</v>
      </c>
      <c r="J12">
        <f>ROUND(Sheet1!J12*1000,1)</f>
        <v>189.6</v>
      </c>
      <c r="K12">
        <f>ROUND(Sheet1!K12*1000,1)</f>
        <v>132.19999999999999</v>
      </c>
      <c r="L12">
        <f>ROUND(Sheet1!L12*1000,1)</f>
        <v>108.6</v>
      </c>
    </row>
    <row r="13" spans="1:12" ht="16.5" x14ac:dyDescent="0.35">
      <c r="A13" t="s">
        <v>19</v>
      </c>
      <c r="B13" s="1" t="s">
        <v>150</v>
      </c>
      <c r="C13">
        <f>ROUND(Sheet1!C13*1000,1)</f>
        <v>6640.5</v>
      </c>
      <c r="D13">
        <f>ROUND(Sheet1!D13*1000,1)</f>
        <v>1503.8</v>
      </c>
      <c r="E13">
        <f>ROUND(Sheet1!E13*1000,1)</f>
        <v>3356</v>
      </c>
      <c r="F13">
        <f>ROUND(Sheet1!F13*1000,1)</f>
        <v>700.3</v>
      </c>
      <c r="G13">
        <f>ROUND(Sheet1!G13*1000,1)</f>
        <v>3777.3</v>
      </c>
      <c r="H13">
        <f>ROUND(Sheet1!H13*1000,1)</f>
        <v>600.29999999999995</v>
      </c>
      <c r="I13">
        <f>ROUND(Sheet1!I13*1000,1)</f>
        <v>3647.8</v>
      </c>
      <c r="J13">
        <f>ROUND(Sheet1!J13*1000,1)</f>
        <v>681.9</v>
      </c>
      <c r="K13">
        <f>ROUND(Sheet1!K13*1000,1)</f>
        <v>2391.8000000000002</v>
      </c>
      <c r="L13">
        <f>ROUND(Sheet1!L13*1000,1)</f>
        <v>514.79999999999995</v>
      </c>
    </row>
    <row r="14" spans="1:12" ht="16.5" x14ac:dyDescent="0.35">
      <c r="A14" t="s">
        <v>20</v>
      </c>
      <c r="B14" s="1" t="s">
        <v>150</v>
      </c>
      <c r="C14">
        <f>ROUND(Sheet1!C14*1000,1)</f>
        <v>1576.4</v>
      </c>
      <c r="D14">
        <f>ROUND(Sheet1!D14*1000,1)</f>
        <v>468.6</v>
      </c>
      <c r="E14">
        <f>ROUND(Sheet1!E14*1000,1)</f>
        <v>2198.6999999999998</v>
      </c>
      <c r="F14">
        <f>ROUND(Sheet1!F14*1000,1)</f>
        <v>459.1</v>
      </c>
      <c r="G14">
        <f>ROUND(Sheet1!G14*1000,1)</f>
        <v>6320.4</v>
      </c>
      <c r="H14">
        <f>ROUND(Sheet1!H14*1000,1)</f>
        <v>904.4</v>
      </c>
      <c r="I14">
        <f>ROUND(Sheet1!I14*1000,1)</f>
        <v>1311.1</v>
      </c>
      <c r="J14">
        <f>ROUND(Sheet1!J14*1000,1)</f>
        <v>412.9</v>
      </c>
      <c r="K14">
        <f>ROUND(Sheet1!K14*1000,1)</f>
        <v>1742.7</v>
      </c>
      <c r="L14">
        <f>ROUND(Sheet1!L14*1000,1)</f>
        <v>383.1</v>
      </c>
    </row>
    <row r="15" spans="1:12" ht="16.5" x14ac:dyDescent="0.35">
      <c r="A15" t="s">
        <v>21</v>
      </c>
      <c r="B15" s="1" t="s">
        <v>150</v>
      </c>
      <c r="C15">
        <f>ROUND(Sheet1!C15*1000,1)</f>
        <v>241</v>
      </c>
      <c r="D15">
        <f>ROUND(Sheet1!D15*1000,1)</f>
        <v>218.6</v>
      </c>
      <c r="E15">
        <f>ROUND(Sheet1!E15*1000,1)</f>
        <v>103.4</v>
      </c>
      <c r="F15">
        <f>ROUND(Sheet1!F15*1000,1)</f>
        <v>81.599999999999994</v>
      </c>
      <c r="G15">
        <f>ROUND(Sheet1!G15*1000,1)</f>
        <v>48.1</v>
      </c>
      <c r="H15">
        <f>ROUND(Sheet1!H15*1000,1)</f>
        <v>32.6</v>
      </c>
      <c r="I15">
        <f>ROUND(Sheet1!I15*1000,1)</f>
        <v>294.60000000000002</v>
      </c>
      <c r="J15">
        <f>ROUND(Sheet1!J15*1000,1)</f>
        <v>262.3</v>
      </c>
      <c r="K15">
        <f>ROUND(Sheet1!K15*1000,1)</f>
        <v>212.5</v>
      </c>
      <c r="L15">
        <f>ROUND(Sheet1!L15*1000,1)</f>
        <v>184.4</v>
      </c>
    </row>
    <row r="16" spans="1:12" ht="16.5" x14ac:dyDescent="0.35">
      <c r="A16" t="s">
        <v>22</v>
      </c>
      <c r="B16" s="1" t="s">
        <v>150</v>
      </c>
      <c r="C16">
        <f>ROUND(Sheet1!C16*1000,1)</f>
        <v>559.4</v>
      </c>
      <c r="D16">
        <f>ROUND(Sheet1!D16*1000,1)</f>
        <v>400</v>
      </c>
      <c r="E16">
        <f>ROUND(Sheet1!E16*1000,1)</f>
        <v>851</v>
      </c>
      <c r="F16">
        <f>ROUND(Sheet1!F16*1000,1)</f>
        <v>487.4</v>
      </c>
      <c r="G16">
        <f>ROUND(Sheet1!G16*1000,1)</f>
        <v>238.7</v>
      </c>
      <c r="H16">
        <f>ROUND(Sheet1!H16*1000,1)</f>
        <v>192.5</v>
      </c>
      <c r="I16">
        <f>ROUND(Sheet1!I16*1000,1)</f>
        <v>387.8</v>
      </c>
      <c r="J16">
        <f>ROUND(Sheet1!J16*1000,1)</f>
        <v>297.60000000000002</v>
      </c>
      <c r="K16">
        <f>ROUND(Sheet1!K16*1000,1)</f>
        <v>390.1</v>
      </c>
      <c r="L16">
        <f>ROUND(Sheet1!L16*1000,1)</f>
        <v>270.39999999999998</v>
      </c>
    </row>
    <row r="17" spans="1:12" ht="16.5" x14ac:dyDescent="0.35">
      <c r="A17" t="s">
        <v>23</v>
      </c>
      <c r="B17" s="1" t="s">
        <v>150</v>
      </c>
      <c r="C17">
        <f>ROUND(Sheet1!C17*1000,1)</f>
        <v>68.900000000000006</v>
      </c>
      <c r="D17">
        <f>ROUND(Sheet1!D17*1000,1)</f>
        <v>33.700000000000003</v>
      </c>
      <c r="E17">
        <f>ROUND(Sheet1!E17*1000,1)</f>
        <v>208.7</v>
      </c>
      <c r="F17">
        <f>ROUND(Sheet1!F17*1000,1)</f>
        <v>125.9</v>
      </c>
      <c r="G17">
        <f>ROUND(Sheet1!G17*1000,1)</f>
        <v>3.7</v>
      </c>
      <c r="H17">
        <f>ROUND(Sheet1!H17*1000,1)</f>
        <v>2.2000000000000002</v>
      </c>
      <c r="I17">
        <f>ROUND(Sheet1!I17*1000,1)</f>
        <v>71</v>
      </c>
      <c r="J17">
        <f>ROUND(Sheet1!J17*1000,1)</f>
        <v>36.299999999999997</v>
      </c>
      <c r="K17">
        <f>ROUND(Sheet1!K17*1000,1)</f>
        <v>0.5</v>
      </c>
      <c r="L17">
        <f>ROUND(Sheet1!L17*1000,1)</f>
        <v>0.3</v>
      </c>
    </row>
    <row r="18" spans="1:12" ht="16.5" x14ac:dyDescent="0.35">
      <c r="A18" t="s">
        <v>24</v>
      </c>
      <c r="B18" s="1" t="s">
        <v>150</v>
      </c>
      <c r="C18">
        <f>ROUND(Sheet1!C18*1000,1)</f>
        <v>789.8</v>
      </c>
      <c r="D18">
        <f>ROUND(Sheet1!D18*1000,1)</f>
        <v>420.6</v>
      </c>
      <c r="E18">
        <f>ROUND(Sheet1!E18*1000,1)</f>
        <v>1400.2</v>
      </c>
      <c r="F18">
        <f>ROUND(Sheet1!F18*1000,1)</f>
        <v>600.20000000000005</v>
      </c>
      <c r="G18">
        <f>ROUND(Sheet1!G18*1000,1)</f>
        <v>673.8</v>
      </c>
      <c r="H18">
        <f>ROUND(Sheet1!H18*1000,1)</f>
        <v>457.2</v>
      </c>
      <c r="I18">
        <f>ROUND(Sheet1!I18*1000,1)</f>
        <v>247</v>
      </c>
      <c r="J18">
        <f>ROUND(Sheet1!J18*1000,1)</f>
        <v>173.5</v>
      </c>
      <c r="K18">
        <f>ROUND(Sheet1!K18*1000,1)</f>
        <v>892.8</v>
      </c>
      <c r="L18">
        <f>ROUND(Sheet1!L18*1000,1)</f>
        <v>430.8</v>
      </c>
    </row>
    <row r="19" spans="1:12" ht="16.5" x14ac:dyDescent="0.35">
      <c r="A19" t="s">
        <v>25</v>
      </c>
      <c r="B19" s="1" t="s">
        <v>150</v>
      </c>
      <c r="C19">
        <f>ROUND(Sheet1!C19*1000,1)</f>
        <v>749.1</v>
      </c>
      <c r="D19">
        <f>ROUND(Sheet1!D19*1000,1)</f>
        <v>477.1</v>
      </c>
      <c r="E19">
        <f>ROUND(Sheet1!E19*1000,1)</f>
        <v>811.3</v>
      </c>
      <c r="F19">
        <f>ROUND(Sheet1!F19*1000,1)</f>
        <v>358.7</v>
      </c>
      <c r="G19">
        <f>ROUND(Sheet1!G19*1000,1)</f>
        <v>1940.1</v>
      </c>
      <c r="H19">
        <f>ROUND(Sheet1!H19*1000,1)</f>
        <v>868.8</v>
      </c>
      <c r="I19">
        <f>ROUND(Sheet1!I19*1000,1)</f>
        <v>298.60000000000002</v>
      </c>
      <c r="J19">
        <f>ROUND(Sheet1!J19*1000,1)</f>
        <v>253.4</v>
      </c>
      <c r="K19">
        <f>ROUND(Sheet1!K19*1000,1)</f>
        <v>419.6</v>
      </c>
      <c r="L19">
        <f>ROUND(Sheet1!L19*1000,1)</f>
        <v>283</v>
      </c>
    </row>
    <row r="20" spans="1:12" ht="16.5" x14ac:dyDescent="0.35">
      <c r="A20" t="s">
        <v>26</v>
      </c>
      <c r="B20" s="1" t="s">
        <v>150</v>
      </c>
      <c r="C20">
        <f>ROUND(Sheet1!C20*1000,1)</f>
        <v>867.1</v>
      </c>
      <c r="D20">
        <f>ROUND(Sheet1!D20*1000,1)</f>
        <v>464.9</v>
      </c>
      <c r="E20">
        <f>ROUND(Sheet1!E20*1000,1)</f>
        <v>67.8</v>
      </c>
      <c r="F20">
        <f>ROUND(Sheet1!F20*1000,1)</f>
        <v>32.1</v>
      </c>
      <c r="G20">
        <f>ROUND(Sheet1!G20*1000,1)</f>
        <v>95</v>
      </c>
      <c r="H20">
        <f>ROUND(Sheet1!H20*1000,1)</f>
        <v>83</v>
      </c>
      <c r="I20">
        <f>ROUND(Sheet1!I20*1000,1)</f>
        <v>132.69999999999999</v>
      </c>
      <c r="J20">
        <f>ROUND(Sheet1!J20*1000,1)</f>
        <v>81.2</v>
      </c>
      <c r="K20">
        <f>ROUND(Sheet1!K20*1000,1)</f>
        <v>95.5</v>
      </c>
      <c r="L20">
        <f>ROUND(Sheet1!L20*1000,1)</f>
        <v>71.7</v>
      </c>
    </row>
    <row r="21" spans="1:12" ht="16.5" x14ac:dyDescent="0.35">
      <c r="A21" t="s">
        <v>27</v>
      </c>
      <c r="B21" s="1" t="s">
        <v>150</v>
      </c>
      <c r="C21">
        <f>ROUND(Sheet1!C21*1000,1)</f>
        <v>554</v>
      </c>
      <c r="D21">
        <f>ROUND(Sheet1!D21*1000,1)</f>
        <v>302.10000000000002</v>
      </c>
      <c r="E21">
        <f>ROUND(Sheet1!E21*1000,1)</f>
        <v>152.80000000000001</v>
      </c>
      <c r="F21">
        <f>ROUND(Sheet1!F21*1000,1)</f>
        <v>137</v>
      </c>
      <c r="G21">
        <f>ROUND(Sheet1!G21*1000,1)</f>
        <v>82.8</v>
      </c>
      <c r="H21">
        <f>ROUND(Sheet1!H21*1000,1)</f>
        <v>71.2</v>
      </c>
      <c r="I21">
        <f>ROUND(Sheet1!I21*1000,1)</f>
        <v>88.6</v>
      </c>
      <c r="J21">
        <f>ROUND(Sheet1!J21*1000,1)</f>
        <v>70.7</v>
      </c>
      <c r="K21">
        <f>ROUND(Sheet1!K21*1000,1)</f>
        <v>96</v>
      </c>
      <c r="L21">
        <f>ROUND(Sheet1!L21*1000,1)</f>
        <v>82.2</v>
      </c>
    </row>
    <row r="22" spans="1:12" ht="16.5" x14ac:dyDescent="0.35">
      <c r="A22" t="s">
        <v>28</v>
      </c>
      <c r="B22" s="1" t="s">
        <v>150</v>
      </c>
      <c r="C22" t="e">
        <f>ROUND(Sheet1!C22*1000,1)</f>
        <v>#VALUE!</v>
      </c>
      <c r="D22" t="e">
        <f>ROUND(Sheet1!D22*1000,1)</f>
        <v>#VALUE!</v>
      </c>
      <c r="E22">
        <f>ROUND(Sheet1!E22*1000,1)</f>
        <v>141.80000000000001</v>
      </c>
      <c r="F22">
        <f>ROUND(Sheet1!F22*1000,1)</f>
        <v>124.8</v>
      </c>
      <c r="G22">
        <f>ROUND(Sheet1!G22*1000,1)</f>
        <v>56.7</v>
      </c>
      <c r="H22">
        <f>ROUND(Sheet1!H22*1000,1)</f>
        <v>43.7</v>
      </c>
      <c r="I22">
        <f>ROUND(Sheet1!I22*1000,1)</f>
        <v>62.7</v>
      </c>
      <c r="J22">
        <f>ROUND(Sheet1!J22*1000,1)</f>
        <v>52.6</v>
      </c>
      <c r="K22">
        <f>ROUND(Sheet1!K22*1000,1)</f>
        <v>89.7</v>
      </c>
      <c r="L22">
        <f>ROUND(Sheet1!L22*1000,1)</f>
        <v>75.900000000000006</v>
      </c>
    </row>
    <row r="23" spans="1:12" ht="16.5" x14ac:dyDescent="0.35">
      <c r="A23" t="s">
        <v>29</v>
      </c>
      <c r="B23" s="1" t="s">
        <v>150</v>
      </c>
      <c r="C23">
        <f>ROUND(Sheet1!C23*1000,1)</f>
        <v>19.100000000000001</v>
      </c>
      <c r="D23">
        <f>ROUND(Sheet1!D23*1000,1)</f>
        <v>15</v>
      </c>
      <c r="E23">
        <f>ROUND(Sheet1!E23*1000,1)</f>
        <v>41.8</v>
      </c>
      <c r="F23">
        <f>ROUND(Sheet1!F23*1000,1)</f>
        <v>35.200000000000003</v>
      </c>
      <c r="G23">
        <f>ROUND(Sheet1!G23*1000,1)</f>
        <v>7.3</v>
      </c>
      <c r="H23">
        <f>ROUND(Sheet1!H23*1000,1)</f>
        <v>5.8</v>
      </c>
      <c r="I23">
        <f>ROUND(Sheet1!I23*1000,1)</f>
        <v>10.1</v>
      </c>
      <c r="J23">
        <f>ROUND(Sheet1!J23*1000,1)</f>
        <v>8.1999999999999993</v>
      </c>
      <c r="K23">
        <f>ROUND(Sheet1!K23*1000,1)</f>
        <v>20.399999999999999</v>
      </c>
      <c r="L23">
        <f>ROUND(Sheet1!L23*1000,1)</f>
        <v>16.2</v>
      </c>
    </row>
    <row r="24" spans="1:12" ht="16.5" x14ac:dyDescent="0.35">
      <c r="A24" t="s">
        <v>30</v>
      </c>
      <c r="B24" s="1" t="s">
        <v>150</v>
      </c>
      <c r="C24">
        <f>ROUND(Sheet1!C24*1000,1)</f>
        <v>10.199999999999999</v>
      </c>
      <c r="D24">
        <f>ROUND(Sheet1!D24*1000,1)</f>
        <v>8.1</v>
      </c>
      <c r="E24">
        <f>ROUND(Sheet1!E24*1000,1)</f>
        <v>33</v>
      </c>
      <c r="F24">
        <f>ROUND(Sheet1!F24*1000,1)</f>
        <v>27.2</v>
      </c>
      <c r="G24">
        <f>ROUND(Sheet1!G24*1000,1)</f>
        <v>5.0999999999999996</v>
      </c>
      <c r="H24">
        <f>ROUND(Sheet1!H24*1000,1)</f>
        <v>4.0999999999999996</v>
      </c>
      <c r="I24">
        <f>ROUND(Sheet1!I24*1000,1)</f>
        <v>6.5</v>
      </c>
      <c r="J24">
        <f>ROUND(Sheet1!J24*1000,1)</f>
        <v>5.4</v>
      </c>
      <c r="K24">
        <f>ROUND(Sheet1!K24*1000,1)</f>
        <v>0.8</v>
      </c>
      <c r="L24">
        <f>ROUND(Sheet1!L24*1000,1)</f>
        <v>0.7</v>
      </c>
    </row>
    <row r="25" spans="1:12" ht="16.5" x14ac:dyDescent="0.35">
      <c r="A25" t="s">
        <v>31</v>
      </c>
      <c r="B25" s="1" t="s">
        <v>150</v>
      </c>
      <c r="C25">
        <f>ROUND(Sheet1!C25*1000,1)</f>
        <v>1003.8</v>
      </c>
      <c r="D25">
        <f>ROUND(Sheet1!D25*1000,1)</f>
        <v>410.9</v>
      </c>
      <c r="E25">
        <f>ROUND(Sheet1!E25*1000,1)</f>
        <v>151.5</v>
      </c>
      <c r="F25">
        <f>ROUND(Sheet1!F25*1000,1)</f>
        <v>132</v>
      </c>
      <c r="G25">
        <f>ROUND(Sheet1!G25*1000,2)</f>
        <v>0.02</v>
      </c>
      <c r="H25">
        <f>ROUND(Sheet1!H25*1000,2)</f>
        <v>0.01</v>
      </c>
      <c r="I25">
        <f>ROUND(Sheet1!I25*1000,2)</f>
        <v>0.01</v>
      </c>
      <c r="J25">
        <f>ROUND(Sheet1!J25*1000,3)</f>
        <v>5.0000000000000001E-3</v>
      </c>
      <c r="K25">
        <f>ROUND(Sheet1!K25*1000,1)</f>
        <v>1.5</v>
      </c>
      <c r="L25">
        <f>ROUND(Sheet1!L25*1000,1)</f>
        <v>1.1000000000000001</v>
      </c>
    </row>
    <row r="26" spans="1:12" ht="16.5" x14ac:dyDescent="0.35">
      <c r="A26" t="s">
        <v>32</v>
      </c>
      <c r="B26" s="1" t="s">
        <v>150</v>
      </c>
      <c r="C26">
        <f>ROUND(Sheet1!C26*1000,1)</f>
        <v>1560.8</v>
      </c>
      <c r="D26">
        <f>ROUND(Sheet1!D26*1000,1)</f>
        <v>840.5</v>
      </c>
      <c r="E26">
        <f>ROUND(Sheet1!E26*1000,1)</f>
        <v>326</v>
      </c>
      <c r="F26">
        <f>ROUND(Sheet1!F26*1000,1)</f>
        <v>170.7</v>
      </c>
      <c r="G26">
        <f>ROUND(Sheet1!G26*1000,1)</f>
        <v>124.1</v>
      </c>
      <c r="H26">
        <f>ROUND(Sheet1!H26*1000,1)</f>
        <v>80.900000000000006</v>
      </c>
      <c r="I26">
        <f>ROUND(Sheet1!I26*1000,1)</f>
        <v>111</v>
      </c>
      <c r="J26">
        <f>ROUND(Sheet1!J26*1000,1)</f>
        <v>60.5</v>
      </c>
      <c r="K26">
        <f>ROUND(Sheet1!K26*1000,1)</f>
        <v>145.80000000000001</v>
      </c>
      <c r="L26">
        <f>ROUND(Sheet1!L26*1000,1)</f>
        <v>78.599999999999994</v>
      </c>
    </row>
    <row r="27" spans="1:12" ht="16.5" x14ac:dyDescent="0.35">
      <c r="A27" t="s">
        <v>33</v>
      </c>
      <c r="B27" s="1" t="s">
        <v>150</v>
      </c>
      <c r="C27">
        <f>ROUND(Sheet1!C27*1000,1)</f>
        <v>2576</v>
      </c>
      <c r="D27">
        <f>ROUND(Sheet1!D27*1000,1)</f>
        <v>998.4</v>
      </c>
      <c r="E27">
        <f>ROUND(Sheet1!E27*1000,1)</f>
        <v>460.1</v>
      </c>
      <c r="F27">
        <f>ROUND(Sheet1!F27*1000,1)</f>
        <v>234.9</v>
      </c>
      <c r="G27">
        <f>ROUND(Sheet1!G27*1000,1)</f>
        <v>514.4</v>
      </c>
      <c r="H27">
        <f>ROUND(Sheet1!H27*1000,1)</f>
        <v>173.3</v>
      </c>
      <c r="I27">
        <f>ROUND(Sheet1!I27*1000,1)</f>
        <v>151.1</v>
      </c>
      <c r="J27">
        <f>ROUND(Sheet1!J27*1000,1)</f>
        <v>103.4</v>
      </c>
      <c r="K27">
        <f>ROUND(Sheet1!K27*1000,1)</f>
        <v>218.2</v>
      </c>
      <c r="L27">
        <f>ROUND(Sheet1!L27*1000,1)</f>
        <v>135</v>
      </c>
    </row>
    <row r="28" spans="1:12" ht="16.5" x14ac:dyDescent="0.35">
      <c r="A28" t="s">
        <v>34</v>
      </c>
      <c r="B28" s="1" t="s">
        <v>150</v>
      </c>
      <c r="C28">
        <f>ROUND(Sheet1!C28*1000,1)</f>
        <v>493.6</v>
      </c>
      <c r="D28">
        <f>ROUND(Sheet1!D28*1000,1)</f>
        <v>366.2</v>
      </c>
      <c r="E28">
        <f>ROUND(Sheet1!E28*1000,1)</f>
        <v>99.4</v>
      </c>
      <c r="F28">
        <f>ROUND(Sheet1!F28*1000,1)</f>
        <v>78.099999999999994</v>
      </c>
      <c r="G28">
        <f>ROUND(Sheet1!G28*1000,1)</f>
        <v>427.7</v>
      </c>
      <c r="H28">
        <f>ROUND(Sheet1!H28*1000,1)</f>
        <v>183.3</v>
      </c>
      <c r="I28">
        <f>ROUND(Sheet1!I28*1000,1)</f>
        <v>3518.3</v>
      </c>
      <c r="J28">
        <f>ROUND(Sheet1!J28*1000,1)</f>
        <v>589.70000000000005</v>
      </c>
      <c r="K28">
        <f>ROUND(Sheet1!K28*1000,1)</f>
        <v>587.70000000000005</v>
      </c>
      <c r="L28">
        <f>ROUND(Sheet1!L28*1000,1)</f>
        <v>271.3</v>
      </c>
    </row>
    <row r="29" spans="1:12" ht="16.5" x14ac:dyDescent="0.35">
      <c r="A29" t="s">
        <v>35</v>
      </c>
      <c r="B29" s="1" t="s">
        <v>150</v>
      </c>
      <c r="C29">
        <f>ROUND(Sheet1!C29*1000,1)</f>
        <v>429.8</v>
      </c>
      <c r="D29">
        <f>ROUND(Sheet1!D29*1000,1)</f>
        <v>287.39999999999998</v>
      </c>
      <c r="E29">
        <f>ROUND(Sheet1!E29*1000,1)</f>
        <v>845.3</v>
      </c>
      <c r="F29">
        <f>ROUND(Sheet1!F29*1000,1)</f>
        <v>293.10000000000002</v>
      </c>
      <c r="G29">
        <f>ROUND(Sheet1!G29*1000,1)</f>
        <v>254.9</v>
      </c>
      <c r="H29">
        <f>ROUND(Sheet1!H29*1000,1)</f>
        <v>109.1</v>
      </c>
      <c r="I29">
        <f>ROUND(Sheet1!I29*1000,1)</f>
        <v>290.7</v>
      </c>
      <c r="J29">
        <f>ROUND(Sheet1!J29*1000,1)</f>
        <v>125.2</v>
      </c>
      <c r="K29">
        <f>ROUND(Sheet1!K29*1000,1)</f>
        <v>348.7</v>
      </c>
      <c r="L29">
        <f>ROUND(Sheet1!L29*1000,1)</f>
        <v>154.19999999999999</v>
      </c>
    </row>
    <row r="30" spans="1:12" ht="16.5" x14ac:dyDescent="0.35">
      <c r="A30" t="s">
        <v>36</v>
      </c>
      <c r="B30" s="1" t="s">
        <v>150</v>
      </c>
      <c r="C30" t="e">
        <f>ROUND(Sheet1!C30*1000,1)</f>
        <v>#VALUE!</v>
      </c>
      <c r="D30" t="e">
        <f>ROUND(Sheet1!D30*1000,1)</f>
        <v>#VALUE!</v>
      </c>
      <c r="E30">
        <f>ROUND(Sheet1!E30*1000,1)</f>
        <v>512.1</v>
      </c>
      <c r="F30">
        <f>ROUND(Sheet1!F30*1000,1)</f>
        <v>222.6</v>
      </c>
      <c r="G30">
        <f>ROUND(Sheet1!G30*1000,1)</f>
        <v>94.6</v>
      </c>
      <c r="H30">
        <f>ROUND(Sheet1!H30*1000,1)</f>
        <v>49.9</v>
      </c>
      <c r="I30">
        <f>ROUND(Sheet1!I30*1000,1)</f>
        <v>112.1</v>
      </c>
      <c r="J30">
        <f>ROUND(Sheet1!J30*1000,1)</f>
        <v>78.7</v>
      </c>
      <c r="K30">
        <f>ROUND(Sheet1!K30*1000,1)</f>
        <v>251.8</v>
      </c>
      <c r="L30">
        <f>ROUND(Sheet1!L30*1000,1)</f>
        <v>127.4</v>
      </c>
    </row>
    <row r="31" spans="1:12" ht="16.5" x14ac:dyDescent="0.35">
      <c r="A31" t="s">
        <v>37</v>
      </c>
      <c r="B31" s="1" t="s">
        <v>150</v>
      </c>
      <c r="C31">
        <f>ROUND(Sheet1!C31*1000,1)</f>
        <v>18.899999999999999</v>
      </c>
      <c r="D31">
        <f>ROUND(Sheet1!D31*1000,1)</f>
        <v>14.8</v>
      </c>
      <c r="E31">
        <f>ROUND(Sheet1!E31*1000,1)</f>
        <v>56</v>
      </c>
      <c r="F31">
        <f>ROUND(Sheet1!F31*1000,1)</f>
        <v>41.2</v>
      </c>
      <c r="G31">
        <f>ROUND(Sheet1!G31*1000,1)</f>
        <v>8.9</v>
      </c>
      <c r="H31">
        <f>ROUND(Sheet1!H31*1000,1)</f>
        <v>6.9</v>
      </c>
      <c r="I31">
        <f>ROUND(Sheet1!I31*1000,1)</f>
        <v>9.6</v>
      </c>
      <c r="J31">
        <f>ROUND(Sheet1!J31*1000,1)</f>
        <v>7.7</v>
      </c>
      <c r="K31">
        <f>ROUND(Sheet1!K31*1000,1)</f>
        <v>23.5</v>
      </c>
      <c r="L31">
        <f>ROUND(Sheet1!L31*1000,1)</f>
        <v>17.7</v>
      </c>
    </row>
    <row r="32" spans="1:12" ht="16.5" x14ac:dyDescent="0.35">
      <c r="A32" t="s">
        <v>38</v>
      </c>
      <c r="B32" s="1" t="s">
        <v>150</v>
      </c>
      <c r="C32">
        <f>ROUND(Sheet1!C32*1000,1)</f>
        <v>10.199999999999999</v>
      </c>
      <c r="D32">
        <f>ROUND(Sheet1!D32*1000,1)</f>
        <v>8.1</v>
      </c>
      <c r="E32">
        <f>ROUND(Sheet1!E32*1000,1)</f>
        <v>39.4</v>
      </c>
      <c r="F32">
        <f>ROUND(Sheet1!F32*1000,1)</f>
        <v>30.5</v>
      </c>
      <c r="G32">
        <f>ROUND(Sheet1!G32*1000,1)</f>
        <v>5.6</v>
      </c>
      <c r="H32">
        <f>ROUND(Sheet1!H32*1000,1)</f>
        <v>4.3</v>
      </c>
      <c r="I32">
        <f>ROUND(Sheet1!I32*1000,1)</f>
        <v>6.4</v>
      </c>
      <c r="J32">
        <f>ROUND(Sheet1!J32*1000,1)</f>
        <v>5.3</v>
      </c>
      <c r="K32">
        <f>ROUND(Sheet1!K32*1000,1)</f>
        <v>0.8</v>
      </c>
      <c r="L32">
        <f>ROUND(Sheet1!L32*1000,1)</f>
        <v>0.7</v>
      </c>
    </row>
    <row r="33" spans="1:12" ht="16.5" x14ac:dyDescent="0.35">
      <c r="A33" t="s">
        <v>39</v>
      </c>
      <c r="B33" s="1" t="s">
        <v>150</v>
      </c>
      <c r="C33">
        <f>ROUND(Sheet1!C33*1000,1)</f>
        <v>2419.4</v>
      </c>
      <c r="D33">
        <f>ROUND(Sheet1!D33*1000,1)</f>
        <v>630.70000000000005</v>
      </c>
      <c r="E33">
        <f>ROUND(Sheet1!E33*1000,1)</f>
        <v>1194.5999999999999</v>
      </c>
      <c r="F33">
        <f>ROUND(Sheet1!F33*1000,1)</f>
        <v>369.3</v>
      </c>
      <c r="G33">
        <f>ROUND(Sheet1!G33*1000,1)</f>
        <v>42.4</v>
      </c>
      <c r="H33">
        <f>ROUND(Sheet1!H33*1000,1)</f>
        <v>14.5</v>
      </c>
      <c r="I33">
        <f>ROUND(Sheet1!I33*1000,1)</f>
        <v>1800.3</v>
      </c>
      <c r="J33">
        <f>ROUND(Sheet1!J33*1000,1)</f>
        <v>405.6</v>
      </c>
      <c r="K33">
        <f>ROUND(Sheet1!K33*1000,1)</f>
        <v>7.8</v>
      </c>
      <c r="L33">
        <f>ROUND(Sheet1!L33*1000,1)</f>
        <v>1.8</v>
      </c>
    </row>
    <row r="34" spans="1:12" ht="16.5" x14ac:dyDescent="0.35">
      <c r="A34" t="s">
        <v>40</v>
      </c>
      <c r="B34" s="1" t="s">
        <v>150</v>
      </c>
      <c r="C34">
        <f>ROUND(Sheet1!C34*1000,1)</f>
        <v>865.7</v>
      </c>
      <c r="D34">
        <f>ROUND(Sheet1!D34*1000,1)</f>
        <v>456.3</v>
      </c>
      <c r="E34">
        <f>ROUND(Sheet1!E34*1000,1)</f>
        <v>609.79999999999995</v>
      </c>
      <c r="F34">
        <f>ROUND(Sheet1!F34*1000,1)</f>
        <v>277.2</v>
      </c>
      <c r="G34">
        <f>ROUND(Sheet1!G34*1000,1)</f>
        <v>181</v>
      </c>
      <c r="H34">
        <f>ROUND(Sheet1!H34*1000,1)</f>
        <v>96.1</v>
      </c>
      <c r="I34">
        <f>ROUND(Sheet1!I34*1000,1)</f>
        <v>1476.6</v>
      </c>
      <c r="J34">
        <f>ROUND(Sheet1!J34*1000,1)</f>
        <v>655.5</v>
      </c>
      <c r="K34">
        <f>ROUND(Sheet1!K34*1000,1)</f>
        <v>273.7</v>
      </c>
      <c r="L34">
        <f>ROUND(Sheet1!L34*1000,1)</f>
        <v>149.5</v>
      </c>
    </row>
    <row r="35" spans="1:12" ht="16.5" x14ac:dyDescent="0.35">
      <c r="A35" t="s">
        <v>41</v>
      </c>
      <c r="B35" s="1" t="s">
        <v>150</v>
      </c>
      <c r="C35">
        <f>ROUND(Sheet1!C35*1000,1)</f>
        <v>251.1</v>
      </c>
      <c r="D35">
        <f>ROUND(Sheet1!D35*1000,1)</f>
        <v>157.69999999999999</v>
      </c>
      <c r="E35">
        <f>ROUND(Sheet1!E35*1000,1)</f>
        <v>283.3</v>
      </c>
      <c r="F35">
        <f>ROUND(Sheet1!F35*1000,1)</f>
        <v>159.19999999999999</v>
      </c>
      <c r="G35">
        <f>ROUND(Sheet1!G35*1000,1)</f>
        <v>161</v>
      </c>
      <c r="H35">
        <f>ROUND(Sheet1!H35*1000,1)</f>
        <v>107.4</v>
      </c>
      <c r="I35">
        <f>ROUND(Sheet1!I35*1000,1)</f>
        <v>207.1</v>
      </c>
      <c r="J35">
        <f>ROUND(Sheet1!J35*1000,1)</f>
        <v>134.6</v>
      </c>
      <c r="K35">
        <f>ROUND(Sheet1!K35*1000,1)</f>
        <v>180.5</v>
      </c>
      <c r="L35">
        <f>ROUND(Sheet1!L35*1000,1)</f>
        <v>117.1</v>
      </c>
    </row>
    <row r="36" spans="1:12" ht="16.5" x14ac:dyDescent="0.35">
      <c r="A36" t="s">
        <v>42</v>
      </c>
      <c r="B36" s="1" t="s">
        <v>150</v>
      </c>
      <c r="C36">
        <f>ROUND(Sheet1!C36*1000,1)</f>
        <v>200.3</v>
      </c>
      <c r="D36">
        <f>ROUND(Sheet1!D36*1000,1)</f>
        <v>177.1</v>
      </c>
      <c r="E36">
        <f>ROUND(Sheet1!E36*1000,1)</f>
        <v>64.400000000000006</v>
      </c>
      <c r="F36">
        <f>ROUND(Sheet1!F36*1000,1)</f>
        <v>55.4</v>
      </c>
      <c r="G36">
        <f>ROUND(Sheet1!G36*1000,1)</f>
        <v>83.8</v>
      </c>
      <c r="H36">
        <f>ROUND(Sheet1!H36*1000,1)</f>
        <v>76</v>
      </c>
      <c r="I36">
        <f>ROUND(Sheet1!I36*1000,1)</f>
        <v>173.8</v>
      </c>
      <c r="J36">
        <f>ROUND(Sheet1!J36*1000,1)</f>
        <v>162.4</v>
      </c>
      <c r="K36">
        <f>ROUND(Sheet1!K36*1000,1)</f>
        <v>125.8</v>
      </c>
      <c r="L36">
        <f>ROUND(Sheet1!L36*1000,1)</f>
        <v>117</v>
      </c>
    </row>
    <row r="37" spans="1:12" ht="16.5" x14ac:dyDescent="0.35">
      <c r="A37" t="s">
        <v>43</v>
      </c>
      <c r="B37" s="1" t="s">
        <v>150</v>
      </c>
      <c r="C37">
        <f>ROUND(Sheet1!C37*1000,1)</f>
        <v>331.1</v>
      </c>
      <c r="D37">
        <f>ROUND(Sheet1!D37*1000,1)</f>
        <v>254.7</v>
      </c>
      <c r="E37">
        <f>ROUND(Sheet1!E37*1000,1)</f>
        <v>292.39999999999998</v>
      </c>
      <c r="F37">
        <f>ROUND(Sheet1!F37*1000,1)</f>
        <v>246.3</v>
      </c>
      <c r="G37">
        <f>ROUND(Sheet1!G37*1000,1)</f>
        <v>1984</v>
      </c>
      <c r="H37">
        <f>ROUND(Sheet1!H37*1000,1)</f>
        <v>791.6</v>
      </c>
      <c r="I37">
        <f>ROUND(Sheet1!I37*1000,1)</f>
        <v>302</v>
      </c>
      <c r="J37">
        <f>ROUND(Sheet1!J37*1000,1)</f>
        <v>235.9</v>
      </c>
      <c r="K37">
        <f>ROUND(Sheet1!K37*1000,1)</f>
        <v>307</v>
      </c>
      <c r="L37">
        <f>ROUND(Sheet1!L37*1000,1)</f>
        <v>225.4</v>
      </c>
    </row>
    <row r="38" spans="1:12" ht="16.5" x14ac:dyDescent="0.35">
      <c r="A38" t="s">
        <v>44</v>
      </c>
      <c r="B38" s="1" t="s">
        <v>150</v>
      </c>
      <c r="C38" t="e">
        <f>ROUND(Sheet1!C38*1000,1)</f>
        <v>#VALUE!</v>
      </c>
      <c r="D38" t="e">
        <f>ROUND(Sheet1!D38*1000,1)</f>
        <v>#VALUE!</v>
      </c>
      <c r="E38">
        <f>ROUND(Sheet1!E38*1000,1)</f>
        <v>902.5</v>
      </c>
      <c r="F38">
        <f>ROUND(Sheet1!F38*1000,1)</f>
        <v>371.6</v>
      </c>
      <c r="G38">
        <f>ROUND(Sheet1!G38*1000,1)</f>
        <v>2109.6999999999998</v>
      </c>
      <c r="H38">
        <f>ROUND(Sheet1!H38*1000,1)</f>
        <v>800.7</v>
      </c>
      <c r="I38">
        <f>ROUND(Sheet1!I38*1000,1)</f>
        <v>322.3</v>
      </c>
      <c r="J38">
        <f>ROUND(Sheet1!J38*1000,1)</f>
        <v>248.3</v>
      </c>
      <c r="K38">
        <f>ROUND(Sheet1!K38*1000,1)</f>
        <v>621</v>
      </c>
      <c r="L38">
        <f>ROUND(Sheet1!L38*1000,1)</f>
        <v>287.60000000000002</v>
      </c>
    </row>
    <row r="39" spans="1:12" ht="16.5" x14ac:dyDescent="0.35">
      <c r="A39" t="s">
        <v>45</v>
      </c>
      <c r="B39" s="1" t="s">
        <v>150</v>
      </c>
      <c r="C39">
        <f>ROUND(Sheet1!C39*1000,1)</f>
        <v>26.6</v>
      </c>
      <c r="D39">
        <f>ROUND(Sheet1!D39*1000,1)</f>
        <v>21.8</v>
      </c>
      <c r="E39">
        <f>ROUND(Sheet1!E39*1000,1)</f>
        <v>86.8</v>
      </c>
      <c r="F39">
        <f>ROUND(Sheet1!F39*1000,1)</f>
        <v>67</v>
      </c>
      <c r="G39">
        <f>ROUND(Sheet1!G39*1000,1)</f>
        <v>16.8</v>
      </c>
      <c r="H39">
        <f>ROUND(Sheet1!H39*1000,1)</f>
        <v>13.8</v>
      </c>
      <c r="I39">
        <f>ROUND(Sheet1!I39*1000,1)</f>
        <v>20.7</v>
      </c>
      <c r="J39">
        <f>ROUND(Sheet1!J39*1000,1)</f>
        <v>18</v>
      </c>
      <c r="K39">
        <f>ROUND(Sheet1!K39*1000,1)</f>
        <v>109.3</v>
      </c>
      <c r="L39">
        <f>ROUND(Sheet1!L39*1000,1)</f>
        <v>88.5</v>
      </c>
    </row>
    <row r="40" spans="1:12" ht="16.5" x14ac:dyDescent="0.35">
      <c r="A40" t="s">
        <v>46</v>
      </c>
      <c r="B40" s="1" t="s">
        <v>150</v>
      </c>
      <c r="C40">
        <f>ROUND(Sheet1!C40*1000,1)</f>
        <v>157</v>
      </c>
      <c r="D40">
        <f>ROUND(Sheet1!D40*1000,1)</f>
        <v>106.6</v>
      </c>
      <c r="E40">
        <f>ROUND(Sheet1!E40*1000,1)</f>
        <v>282.8</v>
      </c>
      <c r="F40">
        <f>ROUND(Sheet1!F40*1000,1)</f>
        <v>177.7</v>
      </c>
      <c r="G40">
        <f>ROUND(Sheet1!G40*1000,1)</f>
        <v>53.1</v>
      </c>
      <c r="H40">
        <f>ROUND(Sheet1!H40*1000,1)</f>
        <v>28.1</v>
      </c>
      <c r="I40">
        <f>ROUND(Sheet1!I40*1000,1)</f>
        <v>46.8</v>
      </c>
      <c r="J40">
        <f>ROUND(Sheet1!J40*1000,1)</f>
        <v>36.4</v>
      </c>
      <c r="K40">
        <f>ROUND(Sheet1!K40*1000,1)</f>
        <v>0.9</v>
      </c>
      <c r="L40">
        <f>ROUND(Sheet1!L40*1000,1)</f>
        <v>0.7</v>
      </c>
    </row>
    <row r="41" spans="1:12" ht="16.5" x14ac:dyDescent="0.35">
      <c r="A41" t="s">
        <v>47</v>
      </c>
      <c r="B41" s="1" t="s">
        <v>150</v>
      </c>
      <c r="C41">
        <f>ROUND(Sheet1!C41*1000,1)</f>
        <v>345</v>
      </c>
      <c r="D41">
        <f>ROUND(Sheet1!D41*1000,1)</f>
        <v>263.7</v>
      </c>
      <c r="E41">
        <f>ROUND(Sheet1!E41*1000,1)</f>
        <v>165.7</v>
      </c>
      <c r="F41">
        <f>ROUND(Sheet1!F41*1000,1)</f>
        <v>152.4</v>
      </c>
      <c r="G41">
        <f>ROUND(Sheet1!G41*1000,1)</f>
        <v>9.8000000000000007</v>
      </c>
      <c r="H41">
        <f>ROUND(Sheet1!H41*1000,1)</f>
        <v>7.1</v>
      </c>
      <c r="I41">
        <f>ROUND(Sheet1!I41*1000,1)</f>
        <v>143.4</v>
      </c>
      <c r="J41">
        <f>ROUND(Sheet1!J41*1000,1)</f>
        <v>129</v>
      </c>
      <c r="K41">
        <f>ROUND(Sheet1!K41*1000,1)</f>
        <v>0.6</v>
      </c>
      <c r="L41">
        <f>ROUND(Sheet1!L41*1000,1)</f>
        <v>0.5</v>
      </c>
    </row>
    <row r="42" spans="1:12" ht="16.5" x14ac:dyDescent="0.35">
      <c r="A42" t="s">
        <v>48</v>
      </c>
      <c r="B42" s="1" t="s">
        <v>150</v>
      </c>
      <c r="C42">
        <f>ROUND(Sheet1!C42*1000,1)</f>
        <v>993.1</v>
      </c>
      <c r="D42">
        <f>ROUND(Sheet1!D42*1000,1)</f>
        <v>302.3</v>
      </c>
      <c r="E42">
        <f>ROUND(Sheet1!E42*1000,1)</f>
        <v>1109.2</v>
      </c>
      <c r="F42">
        <f>ROUND(Sheet1!F42*1000,1)</f>
        <v>204.3</v>
      </c>
      <c r="G42">
        <f>ROUND(Sheet1!G42*1000,1)</f>
        <v>2803.9</v>
      </c>
      <c r="H42">
        <f>ROUND(Sheet1!H42*1000,1)</f>
        <v>400.8</v>
      </c>
      <c r="I42">
        <f>ROUND(Sheet1!I42*1000,1)</f>
        <v>797.5</v>
      </c>
      <c r="J42">
        <f>ROUND(Sheet1!J42*1000,1)</f>
        <v>230.7</v>
      </c>
      <c r="K42">
        <f>ROUND(Sheet1!K42*1000,1)</f>
        <v>833.2</v>
      </c>
      <c r="L42">
        <f>ROUND(Sheet1!L42*1000,1)</f>
        <v>177.6</v>
      </c>
    </row>
    <row r="43" spans="1:12" ht="16.5" x14ac:dyDescent="0.35">
      <c r="A43" t="s">
        <v>49</v>
      </c>
      <c r="B43" s="1" t="s">
        <v>150</v>
      </c>
      <c r="C43">
        <f>ROUND(Sheet1!C43*1000,1)</f>
        <v>546.29999999999995</v>
      </c>
      <c r="D43">
        <f>ROUND(Sheet1!D43*1000,1)</f>
        <v>187.3</v>
      </c>
      <c r="E43">
        <f>ROUND(Sheet1!E43*1000,1)</f>
        <v>623</v>
      </c>
      <c r="F43">
        <f>ROUND(Sheet1!F43*1000,1)</f>
        <v>146.6</v>
      </c>
      <c r="G43">
        <f>ROUND(Sheet1!G43*1000,1)</f>
        <v>1554.5</v>
      </c>
      <c r="H43">
        <f>ROUND(Sheet1!H43*1000,1)</f>
        <v>309.3</v>
      </c>
      <c r="I43">
        <f>ROUND(Sheet1!I43*1000,1)</f>
        <v>450.7</v>
      </c>
      <c r="J43">
        <f>ROUND(Sheet1!J43*1000,1)</f>
        <v>151.19999999999999</v>
      </c>
      <c r="K43">
        <f>ROUND(Sheet1!K43*1000,1)</f>
        <v>470.7</v>
      </c>
      <c r="L43">
        <f>ROUND(Sheet1!L43*1000,1)</f>
        <v>124.6</v>
      </c>
    </row>
    <row r="44" spans="1:12" ht="16.5" x14ac:dyDescent="0.35">
      <c r="A44" t="s">
        <v>50</v>
      </c>
      <c r="B44" s="1" t="s">
        <v>150</v>
      </c>
      <c r="C44">
        <f>ROUND(Sheet1!C44*1000,1)</f>
        <v>801.1</v>
      </c>
      <c r="D44">
        <f>ROUND(Sheet1!D44*1000,1)</f>
        <v>357.8</v>
      </c>
      <c r="E44">
        <f>ROUND(Sheet1!E44*1000,1)</f>
        <v>1229.8</v>
      </c>
      <c r="F44">
        <f>ROUND(Sheet1!F44*1000,1)</f>
        <v>336.3</v>
      </c>
      <c r="G44">
        <f>ROUND(Sheet1!G44*1000,1)</f>
        <v>3199.4</v>
      </c>
      <c r="H44">
        <f>ROUND(Sheet1!H44*1000,1)</f>
        <v>1002.3</v>
      </c>
      <c r="I44">
        <f>ROUND(Sheet1!I44*1000,1)</f>
        <v>765.2</v>
      </c>
      <c r="J44">
        <f>ROUND(Sheet1!J44*1000,1)</f>
        <v>333.3</v>
      </c>
      <c r="K44">
        <f>ROUND(Sheet1!K44*1000,1)</f>
        <v>878.3</v>
      </c>
      <c r="L44">
        <f>ROUND(Sheet1!L44*1000,1)</f>
        <v>325.3</v>
      </c>
    </row>
    <row r="45" spans="1:12" ht="16.5" x14ac:dyDescent="0.35">
      <c r="A45" t="s">
        <v>51</v>
      </c>
      <c r="B45" s="1" t="s">
        <v>150</v>
      </c>
      <c r="C45">
        <f>ROUND(Sheet1!C45*1000,1)</f>
        <v>312.5</v>
      </c>
      <c r="D45">
        <f>ROUND(Sheet1!D45*1000,1)</f>
        <v>215.1</v>
      </c>
      <c r="E45">
        <f>ROUND(Sheet1!E45*1000,1)</f>
        <v>38.299999999999997</v>
      </c>
      <c r="F45">
        <f>ROUND(Sheet1!F45*1000,1)</f>
        <v>32.9</v>
      </c>
      <c r="G45">
        <f>ROUND(Sheet1!G45*1000,1)</f>
        <v>82</v>
      </c>
      <c r="H45">
        <f>ROUND(Sheet1!H45*1000,1)</f>
        <v>56.3</v>
      </c>
      <c r="I45">
        <f>ROUND(Sheet1!I45*1000,1)</f>
        <v>830</v>
      </c>
      <c r="J45">
        <f>ROUND(Sheet1!J45*1000,1)</f>
        <v>478.7</v>
      </c>
      <c r="K45">
        <f>ROUND(Sheet1!K45*1000,1)</f>
        <v>167.2</v>
      </c>
      <c r="L45">
        <f>ROUND(Sheet1!L45*1000,1)</f>
        <v>123.1</v>
      </c>
    </row>
    <row r="46" spans="1:12" ht="16.5" x14ac:dyDescent="0.35">
      <c r="A46" t="s">
        <v>52</v>
      </c>
      <c r="B46" s="1" t="s">
        <v>150</v>
      </c>
      <c r="C46" t="e">
        <f>ROUND(Sheet1!C46*1000,1)</f>
        <v>#VALUE!</v>
      </c>
      <c r="D46" t="e">
        <f>ROUND(Sheet1!D46*1000,1)</f>
        <v>#VALUE!</v>
      </c>
      <c r="E46">
        <f>ROUND(Sheet1!E46*1000,1)</f>
        <v>45.2</v>
      </c>
      <c r="F46">
        <f>ROUND(Sheet1!F46*1000,1)</f>
        <v>37.200000000000003</v>
      </c>
      <c r="G46">
        <f>ROUND(Sheet1!G46*1000,1)</f>
        <v>151.1</v>
      </c>
      <c r="H46">
        <f>ROUND(Sheet1!H46*1000,1)</f>
        <v>42.9</v>
      </c>
      <c r="I46">
        <f>ROUND(Sheet1!I46*1000,1)</f>
        <v>929.8</v>
      </c>
      <c r="J46">
        <f>ROUND(Sheet1!J46*1000,1)</f>
        <v>495.4</v>
      </c>
      <c r="K46">
        <f>ROUND(Sheet1!K46*1000,1)</f>
        <v>225.4</v>
      </c>
      <c r="L46">
        <f>ROUND(Sheet1!L46*1000,1)</f>
        <v>139.19999999999999</v>
      </c>
    </row>
    <row r="47" spans="1:12" ht="16.5" x14ac:dyDescent="0.35">
      <c r="A47" t="s">
        <v>53</v>
      </c>
      <c r="B47" s="1" t="s">
        <v>150</v>
      </c>
      <c r="C47">
        <f>ROUND(Sheet1!C47*1000,1)</f>
        <v>26.1</v>
      </c>
      <c r="D47">
        <f>ROUND(Sheet1!D47*1000,1)</f>
        <v>21.4</v>
      </c>
      <c r="E47">
        <f>ROUND(Sheet1!E47*1000,1)</f>
        <v>33.200000000000003</v>
      </c>
      <c r="F47">
        <f>ROUND(Sheet1!F47*1000,1)</f>
        <v>28.7</v>
      </c>
      <c r="G47">
        <f>ROUND(Sheet1!G47*1000,1)</f>
        <v>16.7</v>
      </c>
      <c r="H47">
        <f>ROUND(Sheet1!H47*1000,1)</f>
        <v>13.6</v>
      </c>
      <c r="I47">
        <f>ROUND(Sheet1!I47*1000,1)</f>
        <v>25.3</v>
      </c>
      <c r="J47">
        <f>ROUND(Sheet1!J47*1000,1)</f>
        <v>22.6</v>
      </c>
      <c r="K47">
        <f>ROUND(Sheet1!K47*1000,1)</f>
        <v>92.9</v>
      </c>
      <c r="L47">
        <f>ROUND(Sheet1!L47*1000,1)</f>
        <v>74.8</v>
      </c>
    </row>
    <row r="48" spans="1:12" ht="16.5" x14ac:dyDescent="0.35">
      <c r="A48" t="s">
        <v>54</v>
      </c>
      <c r="B48" s="1" t="s">
        <v>150</v>
      </c>
      <c r="C48">
        <f>ROUND(Sheet1!C48*1000,1)</f>
        <v>168.6</v>
      </c>
      <c r="D48">
        <f>ROUND(Sheet1!D48*1000,1)</f>
        <v>109.7</v>
      </c>
      <c r="E48">
        <f>ROUND(Sheet1!E48*1000,1)</f>
        <v>42.2</v>
      </c>
      <c r="F48">
        <f>ROUND(Sheet1!F48*1000,1)</f>
        <v>35.299999999999997</v>
      </c>
      <c r="G48">
        <f>ROUND(Sheet1!G48*1000,1)</f>
        <v>46.2</v>
      </c>
      <c r="H48">
        <f>ROUND(Sheet1!H48*1000,1)</f>
        <v>33.6</v>
      </c>
      <c r="I48">
        <f>ROUND(Sheet1!I48*1000,1)</f>
        <v>52.8</v>
      </c>
      <c r="J48">
        <f>ROUND(Sheet1!J48*1000,1)</f>
        <v>39.200000000000003</v>
      </c>
      <c r="K48">
        <f>ROUND(Sheet1!K48*1000,1)</f>
        <v>0.9</v>
      </c>
      <c r="L48">
        <f>ROUND(Sheet1!L48*1000,1)</f>
        <v>0.8</v>
      </c>
    </row>
    <row r="49" spans="1:12" ht="16.5" x14ac:dyDescent="0.35">
      <c r="A49" t="s">
        <v>55</v>
      </c>
      <c r="B49" s="1" t="s">
        <v>150</v>
      </c>
      <c r="C49">
        <f>ROUND(Sheet1!C49*1000,1)</f>
        <v>322.60000000000002</v>
      </c>
      <c r="D49">
        <f>ROUND(Sheet1!D49*1000,1)</f>
        <v>222</v>
      </c>
      <c r="E49">
        <f>ROUND(Sheet1!E49*1000,1)</f>
        <v>34.5</v>
      </c>
      <c r="F49">
        <f>ROUND(Sheet1!F49*1000,1)</f>
        <v>29.6</v>
      </c>
      <c r="G49">
        <f>ROUND(Sheet1!G49*1000,1)</f>
        <v>9</v>
      </c>
      <c r="H49">
        <f>ROUND(Sheet1!H49*1000,1)</f>
        <v>7</v>
      </c>
      <c r="I49">
        <f>ROUND(Sheet1!I49*1000,1)</f>
        <v>216.5</v>
      </c>
      <c r="J49">
        <f>ROUND(Sheet1!J49*1000,1)</f>
        <v>183.5</v>
      </c>
      <c r="K49">
        <f>ROUND(Sheet1!K49*1000,1)</f>
        <v>0.6</v>
      </c>
      <c r="L49">
        <f>ROUND(Sheet1!L49*1000,1)</f>
        <v>0.5</v>
      </c>
    </row>
    <row r="50" spans="1:12" ht="16.5" x14ac:dyDescent="0.35">
      <c r="A50" t="s">
        <v>56</v>
      </c>
      <c r="B50" s="1" t="s">
        <v>150</v>
      </c>
      <c r="C50">
        <f>ROUND(Sheet1!C50*1000,1)</f>
        <v>848.9</v>
      </c>
      <c r="D50">
        <f>ROUND(Sheet1!D50*1000,1)</f>
        <v>220</v>
      </c>
      <c r="E50">
        <f>ROUND(Sheet1!E50*1000,1)</f>
        <v>169.7</v>
      </c>
      <c r="F50">
        <f>ROUND(Sheet1!F50*1000,1)</f>
        <v>39.799999999999997</v>
      </c>
      <c r="G50">
        <f>ROUND(Sheet1!G50*1000,1)</f>
        <v>311.5</v>
      </c>
      <c r="H50">
        <f>ROUND(Sheet1!H50*1000,1)</f>
        <v>74</v>
      </c>
      <c r="I50">
        <f>ROUND(Sheet1!I50*1000,1)</f>
        <v>1448.2</v>
      </c>
      <c r="J50">
        <f>ROUND(Sheet1!J50*1000,1)</f>
        <v>275.7</v>
      </c>
      <c r="K50">
        <f>ROUND(Sheet1!K50*1000,1)</f>
        <v>430.7</v>
      </c>
      <c r="L50">
        <f>ROUND(Sheet1!L50*1000,1)</f>
        <v>102.8</v>
      </c>
    </row>
    <row r="51" spans="1:12" ht="16.5" x14ac:dyDescent="0.35">
      <c r="A51" t="s">
        <v>57</v>
      </c>
      <c r="B51" s="1" t="s">
        <v>150</v>
      </c>
      <c r="C51">
        <f>ROUND(Sheet1!C51*1000,1)</f>
        <v>459.3</v>
      </c>
      <c r="D51">
        <f>ROUND(Sheet1!D51*1000,1)</f>
        <v>136.30000000000001</v>
      </c>
      <c r="E51">
        <f>ROUND(Sheet1!E51*1000,1)</f>
        <v>93.6</v>
      </c>
      <c r="F51">
        <f>ROUND(Sheet1!F51*1000,1)</f>
        <v>26.4</v>
      </c>
      <c r="G51">
        <f>ROUND(Sheet1!G51*1000,1)</f>
        <v>168.1</v>
      </c>
      <c r="H51">
        <f>ROUND(Sheet1!H51*1000,1)</f>
        <v>49</v>
      </c>
      <c r="I51">
        <f>ROUND(Sheet1!I51*1000,1)</f>
        <v>823.3</v>
      </c>
      <c r="J51">
        <f>ROUND(Sheet1!J51*1000,1)</f>
        <v>203</v>
      </c>
      <c r="K51">
        <f>ROUND(Sheet1!K51*1000,1)</f>
        <v>240.2</v>
      </c>
      <c r="L51">
        <f>ROUND(Sheet1!L51*1000,1)</f>
        <v>68.7</v>
      </c>
    </row>
    <row r="52" spans="1:12" ht="16.5" x14ac:dyDescent="0.35">
      <c r="A52" t="s">
        <v>58</v>
      </c>
      <c r="B52" s="1" t="s">
        <v>150</v>
      </c>
      <c r="C52">
        <f>ROUND(Sheet1!C52*1000,1)</f>
        <v>654.9</v>
      </c>
      <c r="D52">
        <f>ROUND(Sheet1!D52*1000,1)</f>
        <v>248.7</v>
      </c>
      <c r="E52">
        <f>ROUND(Sheet1!E52*1000,1)</f>
        <v>127.3</v>
      </c>
      <c r="F52">
        <f>ROUND(Sheet1!F52*1000,1)</f>
        <v>45.6</v>
      </c>
      <c r="G52">
        <f>ROUND(Sheet1!G52*1000,1)</f>
        <v>221.2</v>
      </c>
      <c r="H52">
        <f>ROUND(Sheet1!H52*1000,1)</f>
        <v>87.5</v>
      </c>
      <c r="I52">
        <f>ROUND(Sheet1!I52*1000,1)</f>
        <v>1651.2</v>
      </c>
      <c r="J52">
        <f>ROUND(Sheet1!J52*1000,1)</f>
        <v>496.4</v>
      </c>
      <c r="K52">
        <f>ROUND(Sheet1!K52*1000,1)</f>
        <v>379.8</v>
      </c>
      <c r="L52">
        <f>ROUND(Sheet1!L52*1000,1)</f>
        <v>135.6</v>
      </c>
    </row>
    <row r="53" spans="1:12" ht="16.5" x14ac:dyDescent="0.35">
      <c r="A53" t="s">
        <v>59</v>
      </c>
      <c r="B53" s="1" t="s">
        <v>150</v>
      </c>
      <c r="C53">
        <f>ROUND(Sheet1!C53*1000,1)</f>
        <v>1575.7</v>
      </c>
      <c r="D53">
        <f>ROUND(Sheet1!D53*1000,1)</f>
        <v>943.4</v>
      </c>
      <c r="E53">
        <f>ROUND(Sheet1!E53*1000,1)</f>
        <v>153.6</v>
      </c>
      <c r="F53">
        <f>ROUND(Sheet1!F53*1000,1)</f>
        <v>138.1</v>
      </c>
      <c r="G53">
        <f>ROUND(Sheet1!G53*1000,1)</f>
        <v>631.29999999999995</v>
      </c>
      <c r="H53">
        <f>ROUND(Sheet1!H53*1000,1)</f>
        <v>566.79999999999995</v>
      </c>
      <c r="I53">
        <f>ROUND(Sheet1!I53*1000,1)</f>
        <v>433.5</v>
      </c>
      <c r="J53">
        <f>ROUND(Sheet1!J53*1000,1)</f>
        <v>349.8</v>
      </c>
      <c r="K53">
        <f>ROUND(Sheet1!K53*1000,1)</f>
        <v>127.5</v>
      </c>
      <c r="L53">
        <f>ROUND(Sheet1!L53*1000,1)</f>
        <v>110</v>
      </c>
    </row>
    <row r="54" spans="1:12" ht="16.5" x14ac:dyDescent="0.35">
      <c r="A54" t="s">
        <v>60</v>
      </c>
      <c r="B54" s="1" t="s">
        <v>150</v>
      </c>
      <c r="C54" t="e">
        <f>ROUND(Sheet1!C54*1000,1)</f>
        <v>#VALUE!</v>
      </c>
      <c r="D54" t="e">
        <f>ROUND(Sheet1!D54*1000,1)</f>
        <v>#VALUE!</v>
      </c>
      <c r="E54">
        <f>ROUND(Sheet1!E54*1000,1)</f>
        <v>207.8</v>
      </c>
      <c r="F54">
        <f>ROUND(Sheet1!F54*1000,1)</f>
        <v>156</v>
      </c>
      <c r="G54">
        <f>ROUND(Sheet1!G54*1000,1)</f>
        <v>519.5</v>
      </c>
      <c r="H54">
        <f>ROUND(Sheet1!H54*1000,1)</f>
        <v>397.6</v>
      </c>
      <c r="I54">
        <f>ROUND(Sheet1!I54*1000,1)</f>
        <v>305.39999999999998</v>
      </c>
      <c r="J54">
        <f>ROUND(Sheet1!J54*1000,1)</f>
        <v>214.3</v>
      </c>
      <c r="K54">
        <f>ROUND(Sheet1!K54*1000,1)</f>
        <v>250.9</v>
      </c>
      <c r="L54">
        <f>ROUND(Sheet1!L54*1000,1)</f>
        <v>150.19999999999999</v>
      </c>
    </row>
    <row r="55" spans="1:12" ht="16.5" x14ac:dyDescent="0.35">
      <c r="A55" t="s">
        <v>61</v>
      </c>
      <c r="B55" s="1" t="s">
        <v>150</v>
      </c>
      <c r="C55">
        <f>ROUND(Sheet1!C55*1000,1)</f>
        <v>23.5</v>
      </c>
      <c r="D55">
        <f>ROUND(Sheet1!D55*1000,1)</f>
        <v>18.5</v>
      </c>
      <c r="E55">
        <f>ROUND(Sheet1!E55*1000,1)</f>
        <v>62.3</v>
      </c>
      <c r="F55">
        <f>ROUND(Sheet1!F55*1000,1)</f>
        <v>53.1</v>
      </c>
      <c r="G55">
        <f>ROUND(Sheet1!G55*1000,1)</f>
        <v>21.2</v>
      </c>
      <c r="H55">
        <f>ROUND(Sheet1!H55*1000,1)</f>
        <v>16.7</v>
      </c>
      <c r="I55">
        <f>ROUND(Sheet1!I55*1000,1)</f>
        <v>19.600000000000001</v>
      </c>
      <c r="J55">
        <f>ROUND(Sheet1!J55*1000,1)</f>
        <v>16.5</v>
      </c>
      <c r="K55">
        <f>ROUND(Sheet1!K55*1000,1)</f>
        <v>78.3</v>
      </c>
      <c r="L55">
        <f>ROUND(Sheet1!L55*1000,1)</f>
        <v>65</v>
      </c>
    </row>
    <row r="56" spans="1:12" ht="16.5" x14ac:dyDescent="0.35">
      <c r="A56" t="s">
        <v>62</v>
      </c>
      <c r="B56" s="1" t="s">
        <v>150</v>
      </c>
      <c r="C56">
        <f>ROUND(Sheet1!C56*1000,1)</f>
        <v>96.1</v>
      </c>
      <c r="D56">
        <f>ROUND(Sheet1!D56*1000,1)</f>
        <v>73.2</v>
      </c>
      <c r="E56">
        <f>ROUND(Sheet1!E56*1000,1)</f>
        <v>112.8</v>
      </c>
      <c r="F56">
        <f>ROUND(Sheet1!F56*1000,1)</f>
        <v>94.4</v>
      </c>
      <c r="G56">
        <f>ROUND(Sheet1!G56*1000,1)</f>
        <v>46.2</v>
      </c>
      <c r="H56">
        <f>ROUND(Sheet1!H56*1000,1)</f>
        <v>35.5</v>
      </c>
      <c r="I56">
        <f>ROUND(Sheet1!I56*1000,1)</f>
        <v>36.6</v>
      </c>
      <c r="J56">
        <f>ROUND(Sheet1!J56*1000,1)</f>
        <v>29.6</v>
      </c>
      <c r="K56">
        <f>ROUND(Sheet1!K56*1000,1)</f>
        <v>1</v>
      </c>
      <c r="L56">
        <f>ROUND(Sheet1!L56*1000,1)</f>
        <v>0.8</v>
      </c>
    </row>
    <row r="57" spans="1:12" ht="16.5" x14ac:dyDescent="0.35">
      <c r="A57" t="s">
        <v>63</v>
      </c>
      <c r="B57" s="1" t="s">
        <v>150</v>
      </c>
      <c r="C57">
        <f>ROUND(Sheet1!C57*1000,1)</f>
        <v>9.6</v>
      </c>
      <c r="D57">
        <f>ROUND(Sheet1!D57*1000,1)</f>
        <v>8.4</v>
      </c>
      <c r="E57">
        <f>ROUND(Sheet1!E57*1000,1)</f>
        <v>41.3</v>
      </c>
      <c r="F57">
        <f>ROUND(Sheet1!F57*1000,1)</f>
        <v>33.5</v>
      </c>
      <c r="G57">
        <f>ROUND(Sheet1!G57*1000,1)</f>
        <v>2.1</v>
      </c>
      <c r="H57">
        <f>ROUND(Sheet1!H57*1000,1)</f>
        <v>1.9</v>
      </c>
      <c r="I57">
        <f>ROUND(Sheet1!I57*1000,1)</f>
        <v>3.6</v>
      </c>
      <c r="J57">
        <f>ROUND(Sheet1!J57*1000,1)</f>
        <v>3.3</v>
      </c>
      <c r="K57">
        <f>ROUND(Sheet1!K57*1000,1)</f>
        <v>26.9</v>
      </c>
      <c r="L57">
        <f>ROUND(Sheet1!L57*1000,1)</f>
        <v>21.8</v>
      </c>
    </row>
    <row r="58" spans="1:12" ht="16.5" x14ac:dyDescent="0.35">
      <c r="A58" t="s">
        <v>64</v>
      </c>
      <c r="B58" s="1" t="s">
        <v>150</v>
      </c>
      <c r="C58">
        <f>ROUND(Sheet1!C58*1000,1)</f>
        <v>69.7</v>
      </c>
      <c r="D58">
        <f>ROUND(Sheet1!D58*1000,1)</f>
        <v>27.8</v>
      </c>
      <c r="E58">
        <f>ROUND(Sheet1!E58*1000,1)</f>
        <v>32</v>
      </c>
      <c r="F58">
        <f>ROUND(Sheet1!F58*1000,1)</f>
        <v>14.3</v>
      </c>
      <c r="G58">
        <f>ROUND(Sheet1!G58*1000,1)</f>
        <v>100.8</v>
      </c>
      <c r="H58">
        <f>ROUND(Sheet1!H58*1000,1)</f>
        <v>39.299999999999997</v>
      </c>
      <c r="I58">
        <f>ROUND(Sheet1!I58*1000,1)</f>
        <v>46.5</v>
      </c>
      <c r="J58">
        <f>ROUND(Sheet1!J58*1000,1)</f>
        <v>19.8</v>
      </c>
      <c r="K58">
        <f>ROUND(Sheet1!K58*1000,1)</f>
        <v>8.1</v>
      </c>
      <c r="L58">
        <f>ROUND(Sheet1!L58*1000,1)</f>
        <v>3.5</v>
      </c>
    </row>
    <row r="59" spans="1:12" ht="16.5" x14ac:dyDescent="0.35">
      <c r="A59" t="s">
        <v>65</v>
      </c>
      <c r="B59" s="1" t="s">
        <v>150</v>
      </c>
      <c r="C59">
        <f>ROUND(Sheet1!C59*1000,1)</f>
        <v>6.3</v>
      </c>
      <c r="D59">
        <f>ROUND(Sheet1!D59*1000,1)</f>
        <v>2.9</v>
      </c>
      <c r="E59">
        <f>ROUND(Sheet1!E59*1000,1)</f>
        <v>3.3</v>
      </c>
      <c r="F59">
        <f>ROUND(Sheet1!F59*1000,1)</f>
        <v>1.5</v>
      </c>
      <c r="G59">
        <f>ROUND(Sheet1!G59*1000,1)</f>
        <v>9</v>
      </c>
      <c r="H59">
        <f>ROUND(Sheet1!H59*1000,1)</f>
        <v>4.3</v>
      </c>
      <c r="I59">
        <f>ROUND(Sheet1!I59*1000,1)</f>
        <v>4.5</v>
      </c>
      <c r="J59">
        <f>ROUND(Sheet1!J59*1000,1)</f>
        <v>2.1</v>
      </c>
      <c r="K59">
        <f>ROUND(Sheet1!K59*1000,1)</f>
        <v>0.8</v>
      </c>
      <c r="L59">
        <f>ROUND(Sheet1!L59*1000,1)</f>
        <v>0.4</v>
      </c>
    </row>
    <row r="60" spans="1:12" ht="16.5" x14ac:dyDescent="0.35">
      <c r="A60" t="s">
        <v>66</v>
      </c>
      <c r="B60" s="1" t="s">
        <v>150</v>
      </c>
      <c r="C60">
        <f>ROUND(Sheet1!C60*1000,1)</f>
        <v>1572.6</v>
      </c>
      <c r="D60">
        <f>ROUND(Sheet1!D60*1000,1)</f>
        <v>566.4</v>
      </c>
      <c r="E60">
        <f>ROUND(Sheet1!E60*1000,1)</f>
        <v>465</v>
      </c>
      <c r="F60">
        <f>ROUND(Sheet1!F60*1000,1)</f>
        <v>106.3</v>
      </c>
      <c r="G60">
        <f>ROUND(Sheet1!G60*1000,1)</f>
        <v>1282.9000000000001</v>
      </c>
      <c r="H60">
        <f>ROUND(Sheet1!H60*1000,1)</f>
        <v>217.7</v>
      </c>
      <c r="I60">
        <f>ROUND(Sheet1!I60*1000,1)</f>
        <v>737.8</v>
      </c>
      <c r="J60">
        <f>ROUND(Sheet1!J60*1000,1)</f>
        <v>193.8</v>
      </c>
      <c r="K60">
        <f>ROUND(Sheet1!K60*1000,1)</f>
        <v>363</v>
      </c>
      <c r="L60">
        <f>ROUND(Sheet1!L60*1000,1)</f>
        <v>59.4</v>
      </c>
    </row>
    <row r="61" spans="1:12" ht="16.5" x14ac:dyDescent="0.35">
      <c r="A61" t="s">
        <v>67</v>
      </c>
      <c r="B61" s="1" t="s">
        <v>150</v>
      </c>
      <c r="C61">
        <f>ROUND(Sheet1!C61*1000,1)</f>
        <v>869.4</v>
      </c>
      <c r="D61">
        <f>ROUND(Sheet1!D61*1000,1)</f>
        <v>368</v>
      </c>
      <c r="E61">
        <f>ROUND(Sheet1!E61*1000,1)</f>
        <v>259.10000000000002</v>
      </c>
      <c r="F61">
        <f>ROUND(Sheet1!F61*1000,1)</f>
        <v>71.5</v>
      </c>
      <c r="G61">
        <f>ROUND(Sheet1!G61*1000,1)</f>
        <v>657.8</v>
      </c>
      <c r="H61">
        <f>ROUND(Sheet1!H61*1000,1)</f>
        <v>195.7</v>
      </c>
      <c r="I61">
        <f>ROUND(Sheet1!I61*1000,1)</f>
        <v>410.5</v>
      </c>
      <c r="J61">
        <f>ROUND(Sheet1!J61*1000,1)</f>
        <v>132.1</v>
      </c>
      <c r="K61">
        <f>ROUND(Sheet1!K61*1000,1)</f>
        <v>222.4</v>
      </c>
      <c r="L61">
        <f>ROUND(Sheet1!L61*1000,1)</f>
        <v>62.7</v>
      </c>
    </row>
    <row r="62" spans="1:12" ht="16.5" x14ac:dyDescent="0.35">
      <c r="A62" t="s">
        <v>68</v>
      </c>
      <c r="B62" s="1" t="s">
        <v>150</v>
      </c>
      <c r="C62">
        <f>ROUND(Sheet1!C62*1000,1)</f>
        <v>1346.1</v>
      </c>
      <c r="D62">
        <f>ROUND(Sheet1!D62*1000,1)</f>
        <v>673.5</v>
      </c>
      <c r="E62">
        <f>ROUND(Sheet1!E62*1000,1)</f>
        <v>647.1</v>
      </c>
      <c r="F62">
        <f>ROUND(Sheet1!F62*1000,1)</f>
        <v>230.2</v>
      </c>
      <c r="G62">
        <f>ROUND(Sheet1!G62*1000,1)</f>
        <v>1480.1</v>
      </c>
      <c r="H62">
        <f>ROUND(Sheet1!H62*1000,1)</f>
        <v>707.4</v>
      </c>
      <c r="I62">
        <f>ROUND(Sheet1!I62*1000,1)</f>
        <v>967.3</v>
      </c>
      <c r="J62">
        <f>ROUND(Sheet1!J62*1000,1)</f>
        <v>406.8</v>
      </c>
      <c r="K62">
        <f>ROUND(Sheet1!K62*1000,1)</f>
        <v>481.6</v>
      </c>
      <c r="L62">
        <f>ROUND(Sheet1!L62*1000,1)</f>
        <v>168.2</v>
      </c>
    </row>
    <row r="63" spans="1:12" ht="16.5" x14ac:dyDescent="0.35">
      <c r="A63" t="s">
        <v>69</v>
      </c>
      <c r="B63" s="1" t="s">
        <v>150</v>
      </c>
      <c r="C63" t="e">
        <f>ROUND(Sheet1!C63*1000,1)</f>
        <v>#VALUE!</v>
      </c>
      <c r="D63" t="e">
        <f>ROUND(Sheet1!D63*1000,1)</f>
        <v>#VALUE!</v>
      </c>
      <c r="E63">
        <f>ROUND(Sheet1!E63*1000,1)</f>
        <v>182</v>
      </c>
      <c r="F63">
        <f>ROUND(Sheet1!F63*1000,1)</f>
        <v>154.5</v>
      </c>
      <c r="G63">
        <f>ROUND(Sheet1!G63*1000,1)</f>
        <v>481.7</v>
      </c>
      <c r="H63">
        <f>ROUND(Sheet1!H63*1000,1)</f>
        <v>334</v>
      </c>
      <c r="I63">
        <f>ROUND(Sheet1!I63*1000,1)</f>
        <v>300.2</v>
      </c>
      <c r="J63">
        <f>ROUND(Sheet1!J63*1000,1)</f>
        <v>223</v>
      </c>
      <c r="K63">
        <f>ROUND(Sheet1!K63*1000,1)</f>
        <v>186</v>
      </c>
      <c r="L63">
        <f>ROUND(Sheet1!L63*1000,1)</f>
        <v>144.30000000000001</v>
      </c>
    </row>
    <row r="64" spans="1:12" ht="16.5" x14ac:dyDescent="0.35">
      <c r="A64" t="s">
        <v>70</v>
      </c>
      <c r="B64" s="1" t="s">
        <v>150</v>
      </c>
      <c r="C64" t="e">
        <f>ROUND(Sheet1!C64*1000,1)</f>
        <v>#VALUE!</v>
      </c>
      <c r="D64" t="e">
        <f>ROUND(Sheet1!D64*1000,1)</f>
        <v>#VALUE!</v>
      </c>
      <c r="E64">
        <f>ROUND(Sheet1!E64*1000,1)</f>
        <v>384.9</v>
      </c>
      <c r="F64">
        <f>ROUND(Sheet1!F64*1000,1)</f>
        <v>283</v>
      </c>
      <c r="G64">
        <f>ROUND(Sheet1!G64*1000,1)</f>
        <v>782.2</v>
      </c>
      <c r="H64">
        <f>ROUND(Sheet1!H64*1000,1)</f>
        <v>566</v>
      </c>
      <c r="I64">
        <f>ROUND(Sheet1!I64*1000,1)</f>
        <v>436.4</v>
      </c>
      <c r="J64">
        <f>ROUND(Sheet1!J64*1000,1)</f>
        <v>321.10000000000002</v>
      </c>
      <c r="K64">
        <f>ROUND(Sheet1!K64*1000,1)</f>
        <v>367.3</v>
      </c>
      <c r="L64">
        <f>ROUND(Sheet1!L64*1000,1)</f>
        <v>236.1</v>
      </c>
    </row>
    <row r="65" spans="1:12" ht="16.5" x14ac:dyDescent="0.35">
      <c r="A65" t="s">
        <v>71</v>
      </c>
      <c r="B65" s="1" t="s">
        <v>150</v>
      </c>
      <c r="C65" t="e">
        <f>ROUND(Sheet1!C65*1000,1)</f>
        <v>#VALUE!</v>
      </c>
      <c r="D65" t="e">
        <f>ROUND(Sheet1!D65*1000,1)</f>
        <v>#VALUE!</v>
      </c>
      <c r="E65">
        <f>ROUND(Sheet1!E65*1000,1)</f>
        <v>67.900000000000006</v>
      </c>
      <c r="F65">
        <f>ROUND(Sheet1!F65*1000,1)</f>
        <v>57.1</v>
      </c>
      <c r="G65">
        <f>ROUND(Sheet1!G65*1000,1)</f>
        <v>20.9</v>
      </c>
      <c r="H65">
        <f>ROUND(Sheet1!H65*1000,1)</f>
        <v>16.5</v>
      </c>
      <c r="I65">
        <f>ROUND(Sheet1!I65*1000,1)</f>
        <v>19.7</v>
      </c>
      <c r="J65">
        <f>ROUND(Sheet1!J65*1000,1)</f>
        <v>16.600000000000001</v>
      </c>
      <c r="K65">
        <f>ROUND(Sheet1!K65*1000,1)</f>
        <v>99.2</v>
      </c>
      <c r="L65">
        <f>ROUND(Sheet1!L65*1000,1)</f>
        <v>78.8</v>
      </c>
    </row>
    <row r="66" spans="1:12" ht="16.5" x14ac:dyDescent="0.35">
      <c r="A66" t="s">
        <v>72</v>
      </c>
      <c r="B66" s="1" t="s">
        <v>150</v>
      </c>
      <c r="C66" t="e">
        <f>ROUND(Sheet1!C66*1000,1)</f>
        <v>#VALUE!</v>
      </c>
      <c r="D66" t="e">
        <f>ROUND(Sheet1!D66*1000,1)</f>
        <v>#VALUE!</v>
      </c>
      <c r="E66">
        <f>ROUND(Sheet1!E66*1000,1)</f>
        <v>134.30000000000001</v>
      </c>
      <c r="F66">
        <f>ROUND(Sheet1!F66*1000,1)</f>
        <v>113.9</v>
      </c>
      <c r="G66">
        <f>ROUND(Sheet1!G66*1000,1)</f>
        <v>44.8</v>
      </c>
      <c r="H66">
        <f>ROUND(Sheet1!H66*1000,1)</f>
        <v>35.299999999999997</v>
      </c>
      <c r="I66">
        <f>ROUND(Sheet1!I66*1000,1)</f>
        <v>35.700000000000003</v>
      </c>
      <c r="J66">
        <f>ROUND(Sheet1!J66*1000,1)</f>
        <v>29.5</v>
      </c>
      <c r="K66">
        <f>ROUND(Sheet1!K66*1000,1)</f>
        <v>1</v>
      </c>
      <c r="L66">
        <f>ROUND(Sheet1!L66*1000,1)</f>
        <v>0.8</v>
      </c>
    </row>
    <row r="67" spans="1:12" ht="16.5" x14ac:dyDescent="0.35">
      <c r="A67" t="s">
        <v>73</v>
      </c>
      <c r="B67" s="1" t="s">
        <v>150</v>
      </c>
      <c r="C67" t="e">
        <f>ROUND(Sheet1!C67*1000,1)</f>
        <v>#VALUE!</v>
      </c>
      <c r="D67" t="e">
        <f>ROUND(Sheet1!D67*1000,1)</f>
        <v>#VALUE!</v>
      </c>
      <c r="E67">
        <f>ROUND(Sheet1!E67*1000,1)</f>
        <v>43.3</v>
      </c>
      <c r="F67">
        <f>ROUND(Sheet1!F67*1000,1)</f>
        <v>34.700000000000003</v>
      </c>
      <c r="G67">
        <f>ROUND(Sheet1!G67*1000,1)</f>
        <v>2.1</v>
      </c>
      <c r="H67">
        <f>ROUND(Sheet1!H67*1000,1)</f>
        <v>1.9</v>
      </c>
      <c r="I67">
        <f>ROUND(Sheet1!I67*1000,1)</f>
        <v>3.6</v>
      </c>
      <c r="J67">
        <f>ROUND(Sheet1!J67*1000,1)</f>
        <v>3.3</v>
      </c>
      <c r="K67">
        <f>ROUND(Sheet1!K67*1000,1)</f>
        <v>29.3</v>
      </c>
      <c r="L67">
        <f>ROUND(Sheet1!L67*1000,1)</f>
        <v>23</v>
      </c>
    </row>
    <row r="68" spans="1:12" ht="16.5" x14ac:dyDescent="0.35">
      <c r="A68" t="s">
        <v>74</v>
      </c>
      <c r="B68" s="1" t="s">
        <v>150</v>
      </c>
      <c r="C68" t="e">
        <f>ROUND(Sheet1!C68*1000,1)</f>
        <v>#VALUE!</v>
      </c>
      <c r="D68" t="e">
        <f>ROUND(Sheet1!D68*1000,1)</f>
        <v>#VALUE!</v>
      </c>
      <c r="E68">
        <f>ROUND(Sheet1!E68*1000,1)</f>
        <v>110.6</v>
      </c>
      <c r="F68">
        <f>ROUND(Sheet1!F68*1000,1)</f>
        <v>43.8</v>
      </c>
      <c r="G68">
        <f>ROUND(Sheet1!G68*1000,1)</f>
        <v>125</v>
      </c>
      <c r="H68">
        <f>ROUND(Sheet1!H68*1000,1)</f>
        <v>44.6</v>
      </c>
      <c r="I68">
        <f>ROUND(Sheet1!I68*1000,1)</f>
        <v>32.6</v>
      </c>
      <c r="J68">
        <f>ROUND(Sheet1!J68*1000,1)</f>
        <v>14.2</v>
      </c>
      <c r="K68">
        <f>ROUND(Sheet1!K68*1000,1)</f>
        <v>99.5</v>
      </c>
      <c r="L68">
        <f>ROUND(Sheet1!L68*1000,1)</f>
        <v>26.5</v>
      </c>
    </row>
    <row r="69" spans="1:12" ht="16.5" x14ac:dyDescent="0.35">
      <c r="A69" t="s">
        <v>75</v>
      </c>
      <c r="B69" s="1" t="s">
        <v>150</v>
      </c>
      <c r="C69" t="e">
        <f>ROUND(Sheet1!C69*1000,1)</f>
        <v>#VALUE!</v>
      </c>
      <c r="D69" t="e">
        <f>ROUND(Sheet1!D69*1000,1)</f>
        <v>#VALUE!</v>
      </c>
      <c r="E69">
        <f>ROUND(Sheet1!E69*1000,1)</f>
        <v>10.5</v>
      </c>
      <c r="F69">
        <f>ROUND(Sheet1!F69*1000,1)</f>
        <v>4.9000000000000004</v>
      </c>
      <c r="G69">
        <f>ROUND(Sheet1!G69*1000,1)</f>
        <v>10.5</v>
      </c>
      <c r="H69">
        <f>ROUND(Sheet1!H69*1000,1)</f>
        <v>5</v>
      </c>
      <c r="I69">
        <f>ROUND(Sheet1!I69*1000,1)</f>
        <v>3.2</v>
      </c>
      <c r="J69">
        <f>ROUND(Sheet1!J69*1000,1)</f>
        <v>1.5</v>
      </c>
      <c r="K69">
        <f>ROUND(Sheet1!K69*1000,1)</f>
        <v>7</v>
      </c>
      <c r="L69">
        <f>ROUND(Sheet1!L69*1000,1)</f>
        <v>3.3</v>
      </c>
    </row>
    <row r="70" spans="1:12" ht="16.5" x14ac:dyDescent="0.35">
      <c r="A70" t="s">
        <v>76</v>
      </c>
      <c r="B70" s="1" t="s">
        <v>150</v>
      </c>
      <c r="C70" t="e">
        <f>ROUND(Sheet1!C70*1000,1)</f>
        <v>#VALUE!</v>
      </c>
      <c r="D70" t="e">
        <f>ROUND(Sheet1!D70*1000,1)</f>
        <v>#VALUE!</v>
      </c>
      <c r="E70">
        <f>ROUND(Sheet1!E70*1000,1)</f>
        <v>499.6</v>
      </c>
      <c r="F70">
        <f>ROUND(Sheet1!F70*1000,1)</f>
        <v>266.5</v>
      </c>
      <c r="G70">
        <f>ROUND(Sheet1!G70*1000,1)</f>
        <v>1072.4000000000001</v>
      </c>
      <c r="H70">
        <f>ROUND(Sheet1!H70*1000,1)</f>
        <v>446.1</v>
      </c>
      <c r="I70">
        <f>ROUND(Sheet1!I70*1000,1)</f>
        <v>432.5</v>
      </c>
      <c r="J70">
        <f>ROUND(Sheet1!J70*1000,1)</f>
        <v>254.2</v>
      </c>
      <c r="K70">
        <f>ROUND(Sheet1!K70*1000,1)</f>
        <v>358.6</v>
      </c>
      <c r="L70">
        <f>ROUND(Sheet1!L70*1000,1)</f>
        <v>206.1</v>
      </c>
    </row>
    <row r="71" spans="1:12" ht="16.5" x14ac:dyDescent="0.35">
      <c r="A71" t="s">
        <v>77</v>
      </c>
      <c r="B71" s="1" t="s">
        <v>150</v>
      </c>
      <c r="C71" t="e">
        <f>ROUND(Sheet1!C71*1000,1)</f>
        <v>#VALUE!</v>
      </c>
      <c r="D71" t="e">
        <f>ROUND(Sheet1!D71*1000,1)</f>
        <v>#VALUE!</v>
      </c>
      <c r="E71">
        <f>ROUND(Sheet1!E71*1000,1)</f>
        <v>203.9</v>
      </c>
      <c r="F71">
        <f>ROUND(Sheet1!F71*1000,1)</f>
        <v>126.1</v>
      </c>
      <c r="G71">
        <f>ROUND(Sheet1!G71*1000,1)</f>
        <v>523.6</v>
      </c>
      <c r="H71">
        <f>ROUND(Sheet1!H71*1000,1)</f>
        <v>272.7</v>
      </c>
      <c r="I71">
        <f>ROUND(Sheet1!I71*1000,1)</f>
        <v>230.7</v>
      </c>
      <c r="J71">
        <f>ROUND(Sheet1!J71*1000,1)</f>
        <v>146.9</v>
      </c>
      <c r="K71">
        <f>ROUND(Sheet1!K71*1000,1)</f>
        <v>186.8</v>
      </c>
      <c r="L71">
        <f>ROUND(Sheet1!L71*1000,1)</f>
        <v>121.7</v>
      </c>
    </row>
    <row r="72" spans="1:12" ht="16.5" x14ac:dyDescent="0.35">
      <c r="A72" t="s">
        <v>78</v>
      </c>
      <c r="B72" s="1" t="s">
        <v>150</v>
      </c>
      <c r="C72" t="e">
        <f>ROUND(Sheet1!C72*1000,1)</f>
        <v>#VALUE!</v>
      </c>
      <c r="D72" t="e">
        <f>ROUND(Sheet1!D72*1000,1)</f>
        <v>#VALUE!</v>
      </c>
      <c r="E72">
        <f>ROUND(Sheet1!E72*1000,1)</f>
        <v>905.2</v>
      </c>
      <c r="F72">
        <f>ROUND(Sheet1!F72*1000,1)</f>
        <v>429.1</v>
      </c>
      <c r="G72">
        <f>ROUND(Sheet1!G72*1000,1)</f>
        <v>2193.1</v>
      </c>
      <c r="H72">
        <f>ROUND(Sheet1!H72*1000,1)</f>
        <v>956.5</v>
      </c>
      <c r="I72">
        <f>ROUND(Sheet1!I72*1000,1)</f>
        <v>946.7</v>
      </c>
      <c r="J72">
        <f>ROUND(Sheet1!J72*1000,1)</f>
        <v>418.7</v>
      </c>
      <c r="K72">
        <f>ROUND(Sheet1!K72*1000,1)</f>
        <v>793.5</v>
      </c>
      <c r="L72">
        <f>ROUND(Sheet1!L72*1000,1)</f>
        <v>338.6</v>
      </c>
    </row>
    <row r="73" spans="1:12" ht="16.5" x14ac:dyDescent="0.35">
      <c r="A73" t="s">
        <v>79</v>
      </c>
      <c r="B73" s="1" t="s">
        <v>150</v>
      </c>
      <c r="C73" t="e">
        <f>ROUND(Sheet1!C73*1000,1)</f>
        <v>#VALUE!</v>
      </c>
      <c r="D73" t="e">
        <f>ROUND(Sheet1!D73*1000,1)</f>
        <v>#VALUE!</v>
      </c>
      <c r="E73">
        <f>ROUND(Sheet1!E73*1000,1)</f>
        <v>420.2</v>
      </c>
      <c r="F73">
        <f>ROUND(Sheet1!F73*1000,1)</f>
        <v>265.3</v>
      </c>
      <c r="G73">
        <f>ROUND(Sheet1!G73*1000,1)</f>
        <v>401.5</v>
      </c>
      <c r="H73">
        <f>ROUND(Sheet1!H73*1000,1)</f>
        <v>387.1</v>
      </c>
      <c r="I73">
        <f>ROUND(Sheet1!I73*1000,1)</f>
        <v>297.3</v>
      </c>
      <c r="J73">
        <f>ROUND(Sheet1!J73*1000,1)</f>
        <v>225.3</v>
      </c>
      <c r="K73">
        <f>ROUND(Sheet1!K73*1000,1)</f>
        <v>336.2</v>
      </c>
      <c r="L73">
        <f>ROUND(Sheet1!L73*1000,1)</f>
        <v>202.6</v>
      </c>
    </row>
    <row r="74" spans="1:12" ht="16.5" x14ac:dyDescent="0.35">
      <c r="A74" t="s">
        <v>80</v>
      </c>
      <c r="B74" s="1" t="s">
        <v>150</v>
      </c>
      <c r="C74" t="e">
        <f>ROUND(Sheet1!C74*1000,1)</f>
        <v>#VALUE!</v>
      </c>
      <c r="D74" t="e">
        <f>ROUND(Sheet1!D74*1000,1)</f>
        <v>#VALUE!</v>
      </c>
      <c r="E74">
        <f>ROUND(Sheet1!E74*1000,1)</f>
        <v>182.3</v>
      </c>
      <c r="F74">
        <f>ROUND(Sheet1!F74*1000,1)</f>
        <v>122.7</v>
      </c>
      <c r="G74">
        <f>ROUND(Sheet1!G74*1000,1)</f>
        <v>273.89999999999998</v>
      </c>
      <c r="H74">
        <f>ROUND(Sheet1!H74*1000,1)</f>
        <v>237.3</v>
      </c>
      <c r="I74">
        <f>ROUND(Sheet1!I74*1000,1)</f>
        <v>187.2</v>
      </c>
      <c r="J74">
        <f>ROUND(Sheet1!J74*1000,1)</f>
        <v>140.5</v>
      </c>
      <c r="K74">
        <f>ROUND(Sheet1!K74*1000,1)</f>
        <v>176.5</v>
      </c>
      <c r="L74">
        <f>ROUND(Sheet1!L74*1000,1)</f>
        <v>116.3</v>
      </c>
    </row>
    <row r="75" spans="1:12" ht="16.5" x14ac:dyDescent="0.35">
      <c r="A75" t="s">
        <v>81</v>
      </c>
      <c r="B75" s="1" t="s">
        <v>150</v>
      </c>
      <c r="C75">
        <f>ROUND(Sheet1!C75*1000,1)</f>
        <v>22.9</v>
      </c>
      <c r="D75">
        <f>ROUND(Sheet1!D75*1000,1)</f>
        <v>7.7</v>
      </c>
      <c r="E75">
        <f>ROUND(Sheet1!E75*1000,1)</f>
        <v>80</v>
      </c>
      <c r="F75">
        <f>ROUND(Sheet1!F75*1000,1)</f>
        <v>29.6</v>
      </c>
      <c r="G75">
        <f>ROUND(Sheet1!G75*1000,1)</f>
        <v>11.3</v>
      </c>
      <c r="H75">
        <f>ROUND(Sheet1!H75*1000,1)</f>
        <v>3.1</v>
      </c>
      <c r="I75">
        <f>ROUND(Sheet1!I75*1000,1)</f>
        <v>17.2</v>
      </c>
      <c r="J75">
        <f>ROUND(Sheet1!J75*1000,1)</f>
        <v>5.0999999999999996</v>
      </c>
      <c r="K75">
        <f>ROUND(Sheet1!K75*1000,1)</f>
        <v>78.599999999999994</v>
      </c>
      <c r="L75">
        <f>ROUND(Sheet1!L75*1000,1)</f>
        <v>25</v>
      </c>
    </row>
    <row r="76" spans="1:12" ht="16.5" x14ac:dyDescent="0.35">
      <c r="A76" t="s">
        <v>82</v>
      </c>
      <c r="B76" s="1" t="s">
        <v>150</v>
      </c>
      <c r="C76">
        <f>ROUND(Sheet1!C76*1000,1)</f>
        <v>1.4</v>
      </c>
      <c r="D76">
        <f>ROUND(Sheet1!D76*1000,1)</f>
        <v>0.6</v>
      </c>
      <c r="E76">
        <f>ROUND(Sheet1!E76*1000,1)</f>
        <v>4.7</v>
      </c>
      <c r="F76">
        <f>ROUND(Sheet1!F76*1000,1)</f>
        <v>2.1</v>
      </c>
      <c r="G76">
        <f>ROUND(Sheet1!G76*1000,1)</f>
        <v>3.4</v>
      </c>
      <c r="H76">
        <f>ROUND(Sheet1!H76*1000,1)</f>
        <v>1.3</v>
      </c>
      <c r="I76">
        <f>ROUND(Sheet1!I76*1000,1)</f>
        <v>1.4</v>
      </c>
      <c r="J76">
        <f>ROUND(Sheet1!J76*1000,1)</f>
        <v>0.6</v>
      </c>
      <c r="K76">
        <f>ROUND(Sheet1!K76*1000,1)</f>
        <v>7.5</v>
      </c>
      <c r="L76">
        <f>ROUND(Sheet1!L76*1000,1)</f>
        <v>3.2</v>
      </c>
    </row>
    <row r="77" spans="1:12" ht="16.5" x14ac:dyDescent="0.35">
      <c r="A77" t="s">
        <v>83</v>
      </c>
      <c r="B77" s="1" t="s">
        <v>150</v>
      </c>
      <c r="C77">
        <f>ROUND(Sheet1!C77*1000,1)</f>
        <v>0.5</v>
      </c>
      <c r="D77">
        <f>ROUND(Sheet1!D77*1000,1)</f>
        <v>0.2</v>
      </c>
      <c r="E77">
        <f>ROUND(Sheet1!E77*1000,1)</f>
        <v>1.5</v>
      </c>
      <c r="F77">
        <f>ROUND(Sheet1!F77*1000,1)</f>
        <v>0.7</v>
      </c>
      <c r="G77">
        <f>ROUND(Sheet1!G77*1000,1)</f>
        <v>0.9</v>
      </c>
      <c r="H77">
        <f>ROUND(Sheet1!H77*1000,1)</f>
        <v>0.4</v>
      </c>
      <c r="I77">
        <f>ROUND(Sheet1!I77*1000,1)</f>
        <v>0.4</v>
      </c>
      <c r="J77">
        <f>ROUND(Sheet1!J77*1000,1)</f>
        <v>0.2</v>
      </c>
      <c r="K77">
        <f>ROUND(Sheet1!K77*1000,1)</f>
        <v>2.2999999999999998</v>
      </c>
      <c r="L77">
        <f>ROUND(Sheet1!L77*1000,1)</f>
        <v>1</v>
      </c>
    </row>
    <row r="78" spans="1:12" ht="16.5" x14ac:dyDescent="0.35">
      <c r="A78" t="s">
        <v>84</v>
      </c>
      <c r="B78" s="1" t="s">
        <v>150</v>
      </c>
      <c r="C78">
        <f>ROUND(Sheet1!C78*1000,1)</f>
        <v>28.9</v>
      </c>
      <c r="D78">
        <f>ROUND(Sheet1!D78*1000,1)</f>
        <v>4.5</v>
      </c>
      <c r="E78">
        <f>ROUND(Sheet1!E78*1000,1)</f>
        <v>88.1</v>
      </c>
      <c r="F78">
        <f>ROUND(Sheet1!F78*1000,1)</f>
        <v>16.5</v>
      </c>
      <c r="G78">
        <f>ROUND(Sheet1!G78*1000,1)</f>
        <v>33.5</v>
      </c>
      <c r="H78">
        <f>ROUND(Sheet1!H78*1000,1)</f>
        <v>11.8</v>
      </c>
      <c r="I78">
        <f>ROUND(Sheet1!I78*1000,1)</f>
        <v>29.6</v>
      </c>
      <c r="J78">
        <f>ROUND(Sheet1!J78*1000,1)</f>
        <v>6</v>
      </c>
      <c r="K78">
        <f>ROUND(Sheet1!K78*1000,1)</f>
        <v>124.3</v>
      </c>
      <c r="L78">
        <f>ROUND(Sheet1!L78*1000,1)</f>
        <v>31.5</v>
      </c>
    </row>
    <row r="79" spans="1:12" ht="16.5" x14ac:dyDescent="0.35">
      <c r="A79" t="s">
        <v>85</v>
      </c>
      <c r="B79" s="1" t="s">
        <v>150</v>
      </c>
      <c r="C79">
        <f>ROUND(Sheet1!C79*1000,1)</f>
        <v>19.7</v>
      </c>
      <c r="D79">
        <f>ROUND(Sheet1!D79*1000,1)</f>
        <v>6.1</v>
      </c>
      <c r="E79">
        <f>ROUND(Sheet1!E79*1000,1)</f>
        <v>56.5</v>
      </c>
      <c r="F79">
        <f>ROUND(Sheet1!F79*1000,1)</f>
        <v>18.7</v>
      </c>
      <c r="G79">
        <f>ROUND(Sheet1!G79*1000,1)</f>
        <v>17.100000000000001</v>
      </c>
      <c r="H79">
        <f>ROUND(Sheet1!H79*1000,1)</f>
        <v>6.9</v>
      </c>
      <c r="I79">
        <f>ROUND(Sheet1!I79*1000,1)</f>
        <v>19.100000000000001</v>
      </c>
      <c r="J79">
        <f>ROUND(Sheet1!J79*1000,1)</f>
        <v>6.8</v>
      </c>
      <c r="K79">
        <f>ROUND(Sheet1!K79*1000,1)</f>
        <v>74.8</v>
      </c>
      <c r="L79">
        <f>ROUND(Sheet1!L79*1000,1)</f>
        <v>29</v>
      </c>
    </row>
    <row r="80" spans="1:12" ht="16.5" x14ac:dyDescent="0.35">
      <c r="A80" t="s">
        <v>86</v>
      </c>
      <c r="B80" s="1" t="s">
        <v>150</v>
      </c>
      <c r="C80">
        <f>ROUND(Sheet1!C80*1000,1)</f>
        <v>40.799999999999997</v>
      </c>
      <c r="D80">
        <f>ROUND(Sheet1!D80*1000,1)</f>
        <v>17</v>
      </c>
      <c r="E80">
        <f>ROUND(Sheet1!E80*1000,1)</f>
        <v>117.3</v>
      </c>
      <c r="F80">
        <f>ROUND(Sheet1!F80*1000,1)</f>
        <v>51.3</v>
      </c>
      <c r="G80">
        <f>ROUND(Sheet1!G80*1000,1)</f>
        <v>25.4</v>
      </c>
      <c r="H80">
        <f>ROUND(Sheet1!H80*1000,1)</f>
        <v>12</v>
      </c>
      <c r="I80">
        <f>ROUND(Sheet1!I80*1000,1)</f>
        <v>37.4</v>
      </c>
      <c r="J80">
        <f>ROUND(Sheet1!J80*1000,1)</f>
        <v>17.600000000000001</v>
      </c>
      <c r="K80">
        <f>ROUND(Sheet1!K80*1000,1)</f>
        <v>136.19999999999999</v>
      </c>
      <c r="L80">
        <f>ROUND(Sheet1!L80*1000,1)</f>
        <v>65.3</v>
      </c>
    </row>
    <row r="81" spans="1:12" ht="16.5" x14ac:dyDescent="0.35">
      <c r="A81" t="s">
        <v>87</v>
      </c>
      <c r="B81" s="1" t="s">
        <v>150</v>
      </c>
      <c r="C81">
        <f>ROUND(Sheet1!C81*1000,1)</f>
        <v>2.4</v>
      </c>
      <c r="D81">
        <f>ROUND(Sheet1!D81*1000,1)</f>
        <v>1</v>
      </c>
      <c r="E81">
        <f>ROUND(Sheet1!E81*1000,1)</f>
        <v>1.8</v>
      </c>
      <c r="F81">
        <f>ROUND(Sheet1!F81*1000,1)</f>
        <v>0.8</v>
      </c>
      <c r="G81">
        <f>ROUND(Sheet1!G81*1000,1)</f>
        <v>1.4</v>
      </c>
      <c r="H81">
        <f>ROUND(Sheet1!H81*1000,1)</f>
        <v>0.6</v>
      </c>
      <c r="I81">
        <f>ROUND(Sheet1!I81*1000,1)</f>
        <v>0.7</v>
      </c>
      <c r="J81">
        <f>ROUND(Sheet1!J81*1000,1)</f>
        <v>0.3</v>
      </c>
      <c r="K81">
        <f>ROUND(Sheet1!K81*1000,2)</f>
        <v>0.02</v>
      </c>
      <c r="L81">
        <f>ROUND(Sheet1!L81*1000,2)</f>
        <v>0.01</v>
      </c>
    </row>
    <row r="82" spans="1:12" ht="16.5" x14ac:dyDescent="0.35">
      <c r="A82" t="s">
        <v>88</v>
      </c>
      <c r="B82" s="1" t="s">
        <v>150</v>
      </c>
      <c r="C82">
        <f>ROUND(Sheet1!C82*1000,1)</f>
        <v>31</v>
      </c>
      <c r="D82">
        <f>ROUND(Sheet1!D82*1000,1)</f>
        <v>11.6</v>
      </c>
      <c r="E82">
        <f>ROUND(Sheet1!E82*1000,1)</f>
        <v>112</v>
      </c>
      <c r="F82">
        <f>ROUND(Sheet1!F82*1000,1)</f>
        <v>40.4</v>
      </c>
      <c r="G82">
        <f>ROUND(Sheet1!G82*1000,1)</f>
        <v>3.6</v>
      </c>
      <c r="H82">
        <f>ROUND(Sheet1!H82*1000,1)</f>
        <v>2.7</v>
      </c>
      <c r="I82">
        <f>ROUND(Sheet1!I82*1000,1)</f>
        <v>17.5</v>
      </c>
      <c r="J82">
        <f>ROUND(Sheet1!J82*1000,1)</f>
        <v>6.1</v>
      </c>
      <c r="K82">
        <f>ROUND(Sheet1!K82*1000,1)</f>
        <v>1.1000000000000001</v>
      </c>
      <c r="L82">
        <f>ROUND(Sheet1!L82*1000,1)</f>
        <v>0.4</v>
      </c>
    </row>
    <row r="83" spans="1:12" ht="16.5" x14ac:dyDescent="0.35">
      <c r="A83" t="s">
        <v>89</v>
      </c>
      <c r="B83" s="1" t="s">
        <v>150</v>
      </c>
      <c r="C83">
        <f>ROUND(Sheet1!C83*1000,1)</f>
        <v>33.799999999999997</v>
      </c>
      <c r="D83">
        <f>ROUND(Sheet1!D83*1000,1)</f>
        <v>10.1</v>
      </c>
      <c r="E83">
        <f>ROUND(Sheet1!E83*1000,1)</f>
        <v>19.399999999999999</v>
      </c>
      <c r="F83">
        <f>ROUND(Sheet1!F83*1000,1)</f>
        <v>8.3000000000000007</v>
      </c>
      <c r="G83">
        <f>ROUND(Sheet1!G83*1000,1)</f>
        <v>23.2</v>
      </c>
      <c r="H83">
        <f>ROUND(Sheet1!H83*1000,1)</f>
        <v>5.0999999999999996</v>
      </c>
      <c r="I83">
        <f>ROUND(Sheet1!I83*1000,1)</f>
        <v>10.199999999999999</v>
      </c>
      <c r="J83">
        <f>ROUND(Sheet1!J83*1000,1)</f>
        <v>3.3</v>
      </c>
      <c r="K83">
        <f>ROUND(Sheet1!K83*1000,1)</f>
        <v>0.2</v>
      </c>
      <c r="L83">
        <f>ROUND(Sheet1!L83*1000,1)</f>
        <v>0.1</v>
      </c>
    </row>
    <row r="84" spans="1:12" ht="16.5" x14ac:dyDescent="0.35">
      <c r="A84" t="s">
        <v>90</v>
      </c>
      <c r="B84" s="1" t="s">
        <v>150</v>
      </c>
      <c r="C84">
        <f>ROUND(Sheet1!C84*1000,1)</f>
        <v>8.1999999999999993</v>
      </c>
      <c r="D84">
        <f>ROUND(Sheet1!D84*1000,1)</f>
        <v>3.4</v>
      </c>
      <c r="E84">
        <f>ROUND(Sheet1!E84*1000,1)</f>
        <v>5.8</v>
      </c>
      <c r="F84">
        <f>ROUND(Sheet1!F84*1000,1)</f>
        <v>2.7</v>
      </c>
      <c r="G84">
        <f>ROUND(Sheet1!G84*1000,1)</f>
        <v>5.0999999999999996</v>
      </c>
      <c r="H84">
        <f>ROUND(Sheet1!H84*1000,1)</f>
        <v>2</v>
      </c>
      <c r="I84">
        <f>ROUND(Sheet1!I84*1000,1)</f>
        <v>2.6</v>
      </c>
      <c r="J84">
        <f>ROUND(Sheet1!J84*1000,1)</f>
        <v>1.1000000000000001</v>
      </c>
      <c r="K84">
        <f>ROUND(Sheet1!K84*1000,1)</f>
        <v>0.1</v>
      </c>
      <c r="L84">
        <f>ROUND(Sheet1!L84*1000,2)</f>
        <v>0.03</v>
      </c>
    </row>
    <row r="85" spans="1:12" ht="16.5" x14ac:dyDescent="0.35">
      <c r="A85" t="s">
        <v>91</v>
      </c>
      <c r="B85" s="1" t="s">
        <v>150</v>
      </c>
      <c r="C85">
        <f>ROUND(Sheet1!C85*1000,1)</f>
        <v>84.2</v>
      </c>
      <c r="D85">
        <f>ROUND(Sheet1!D85*1000,1)</f>
        <v>57.1</v>
      </c>
      <c r="E85">
        <f>ROUND(Sheet1!E85*1000,1)</f>
        <v>93.6</v>
      </c>
      <c r="F85">
        <f>ROUND(Sheet1!F85*1000,1)</f>
        <v>63.6</v>
      </c>
      <c r="G85">
        <f>ROUND(Sheet1!G85*1000,1)</f>
        <v>44.6</v>
      </c>
      <c r="H85">
        <f>ROUND(Sheet1!H85*1000,1)</f>
        <v>26.6</v>
      </c>
      <c r="I85">
        <f>ROUND(Sheet1!I85*1000,1)</f>
        <v>36.6</v>
      </c>
      <c r="J85">
        <f>ROUND(Sheet1!J85*1000,1)</f>
        <v>24.6</v>
      </c>
      <c r="K85">
        <f>ROUND(Sheet1!K85*1000,1)</f>
        <v>1.2</v>
      </c>
      <c r="L85" s="5">
        <v>3.1E-14</v>
      </c>
    </row>
    <row r="86" spans="1:12" ht="16.5" x14ac:dyDescent="0.35">
      <c r="A86" t="s">
        <v>92</v>
      </c>
      <c r="B86" s="1" t="s">
        <v>150</v>
      </c>
      <c r="C86">
        <f>ROUND(Sheet1!C86*1000,1)</f>
        <v>44.7</v>
      </c>
      <c r="D86">
        <f>ROUND(Sheet1!D86*1000,1)</f>
        <v>32.4</v>
      </c>
      <c r="E86">
        <f>ROUND(Sheet1!E86*1000,1)</f>
        <v>56.5</v>
      </c>
      <c r="F86">
        <f>ROUND(Sheet1!F86*1000,1)</f>
        <v>41.4</v>
      </c>
      <c r="G86">
        <f>ROUND(Sheet1!G86*1000,1)</f>
        <v>20.8</v>
      </c>
      <c r="H86">
        <f>ROUND(Sheet1!H86*1000,1)</f>
        <v>14.9</v>
      </c>
      <c r="I86">
        <f>ROUND(Sheet1!I86*1000,1)</f>
        <v>19.100000000000001</v>
      </c>
      <c r="J86">
        <f>ROUND(Sheet1!J86*1000,1)</f>
        <v>13.9</v>
      </c>
      <c r="K86">
        <f>ROUND(Sheet1!K86*1000,1)</f>
        <v>0.6</v>
      </c>
      <c r="L86" s="5">
        <v>3.9000000000000003E-15</v>
      </c>
    </row>
    <row r="87" spans="1:12" ht="16.5" x14ac:dyDescent="0.35">
      <c r="A87" t="s">
        <v>93</v>
      </c>
      <c r="B87" s="1" t="s">
        <v>150</v>
      </c>
      <c r="C87">
        <f>ROUND(Sheet1!C87*1000,1)</f>
        <v>109.5</v>
      </c>
      <c r="D87">
        <f>ROUND(Sheet1!D87*1000,1)</f>
        <v>52.5</v>
      </c>
      <c r="E87">
        <f>ROUND(Sheet1!E87*1000,1)</f>
        <v>206</v>
      </c>
      <c r="F87">
        <f>ROUND(Sheet1!F87*1000,1)</f>
        <v>109.1</v>
      </c>
      <c r="G87">
        <f>ROUND(Sheet1!G87*1000,1)</f>
        <v>45.1</v>
      </c>
      <c r="H87">
        <f>ROUND(Sheet1!H87*1000,1)</f>
        <v>21.2</v>
      </c>
      <c r="I87">
        <f>ROUND(Sheet1!I87*1000,1)</f>
        <v>46.3</v>
      </c>
      <c r="J87">
        <f>ROUND(Sheet1!J87*1000,1)</f>
        <v>22.7</v>
      </c>
      <c r="K87">
        <f>ROUND(Sheet1!K87*1000,1)</f>
        <v>2</v>
      </c>
      <c r="L87">
        <f>ROUND(Sheet1!L87*1000,1)</f>
        <v>0.5</v>
      </c>
    </row>
    <row r="88" spans="1:12" ht="16.5" x14ac:dyDescent="0.35">
      <c r="A88" t="s">
        <v>94</v>
      </c>
      <c r="B88" s="1" t="s">
        <v>150</v>
      </c>
      <c r="C88">
        <f>ROUND(Sheet1!C88*1000,1)</f>
        <v>83.5</v>
      </c>
      <c r="D88">
        <f>ROUND(Sheet1!D88*1000,1)</f>
        <v>56.8</v>
      </c>
      <c r="E88">
        <f>ROUND(Sheet1!E88*1000,1)</f>
        <v>96.3</v>
      </c>
      <c r="F88">
        <f>ROUND(Sheet1!F88*1000,1)</f>
        <v>66.400000000000006</v>
      </c>
      <c r="G88">
        <f>ROUND(Sheet1!G88*1000,1)</f>
        <v>37.200000000000003</v>
      </c>
      <c r="H88">
        <f>ROUND(Sheet1!H88*1000,1)</f>
        <v>23.8</v>
      </c>
      <c r="I88">
        <f>ROUND(Sheet1!I88*1000,1)</f>
        <v>33.299999999999997</v>
      </c>
      <c r="J88">
        <f>ROUND(Sheet1!J88*1000,1)</f>
        <v>23.8</v>
      </c>
      <c r="K88">
        <f>ROUND(Sheet1!K88*1000,2)</f>
        <v>0.04</v>
      </c>
      <c r="L88" s="5">
        <v>2.4E-16</v>
      </c>
    </row>
    <row r="89" spans="1:12" ht="16.5" x14ac:dyDescent="0.35">
      <c r="A89" t="s">
        <v>95</v>
      </c>
      <c r="B89" s="1" t="s">
        <v>150</v>
      </c>
      <c r="C89">
        <f>ROUND(Sheet1!C89*1000,1)</f>
        <v>44.9</v>
      </c>
      <c r="D89">
        <f>ROUND(Sheet1!D89*1000,1)</f>
        <v>32.4</v>
      </c>
      <c r="E89">
        <f>ROUND(Sheet1!E89*1000,1)</f>
        <v>52.9</v>
      </c>
      <c r="F89">
        <f>ROUND(Sheet1!F89*1000,1)</f>
        <v>39.4</v>
      </c>
      <c r="G89">
        <f>ROUND(Sheet1!G89*1000,1)</f>
        <v>20</v>
      </c>
      <c r="H89">
        <f>ROUND(Sheet1!H89*1000,1)</f>
        <v>14.5</v>
      </c>
      <c r="I89">
        <f>ROUND(Sheet1!I89*1000,1)</f>
        <v>18.5</v>
      </c>
      <c r="J89">
        <f>ROUND(Sheet1!J89*1000,1)</f>
        <v>13.7</v>
      </c>
      <c r="K89">
        <f>ROUND(Sheet1!K89*1000,2)</f>
        <v>0.03</v>
      </c>
      <c r="L89" s="5">
        <v>2.8999999999999998E-16</v>
      </c>
    </row>
    <row r="90" spans="1:12" ht="16.5" x14ac:dyDescent="0.35">
      <c r="A90" t="s">
        <v>96</v>
      </c>
      <c r="B90" s="1" t="s">
        <v>150</v>
      </c>
      <c r="C90">
        <f>ROUND(Sheet1!C90*1000,1)</f>
        <v>14.4</v>
      </c>
      <c r="D90">
        <f>ROUND(Sheet1!D90*1000,1)</f>
        <v>4</v>
      </c>
      <c r="E90">
        <f>ROUND(Sheet1!E90*1000,1)</f>
        <v>0.6</v>
      </c>
      <c r="F90">
        <f>ROUND(Sheet1!F90*1000,1)</f>
        <v>0.3</v>
      </c>
      <c r="G90">
        <f>ROUND(Sheet1!G90*1000,2)</f>
        <v>0.03</v>
      </c>
      <c r="H90">
        <f>ROUND(Sheet1!H90*1000,2)</f>
        <v>0.01</v>
      </c>
      <c r="I90">
        <f>ROUND(Sheet1!I90*1000,1)</f>
        <v>4.5</v>
      </c>
      <c r="J90">
        <f>ROUND(Sheet1!J90*1000,1)</f>
        <v>0.4</v>
      </c>
      <c r="K90">
        <f>ROUND(Sheet1!K90*1000,1)</f>
        <v>23.8</v>
      </c>
      <c r="L90">
        <f>ROUND(Sheet1!L90*1000,1)</f>
        <v>3.9</v>
      </c>
    </row>
    <row r="91" spans="1:12" ht="16.5" x14ac:dyDescent="0.35">
      <c r="A91" t="s">
        <v>97</v>
      </c>
      <c r="B91" s="1" t="s">
        <v>150</v>
      </c>
      <c r="C91">
        <f>ROUND(Sheet1!C91*1000,1)</f>
        <v>0.2</v>
      </c>
      <c r="D91">
        <f>ROUND(Sheet1!D91*1000,1)</f>
        <v>0.1</v>
      </c>
      <c r="E91">
        <f>ROUND(Sheet1!E91*1000,1)</f>
        <v>24.2</v>
      </c>
      <c r="F91">
        <f>ROUND(Sheet1!F91*1000,1)</f>
        <v>2.8</v>
      </c>
      <c r="G91">
        <f>ROUND(Sheet1!G91*1000,1)</f>
        <v>1.7</v>
      </c>
      <c r="H91">
        <f>ROUND(Sheet1!H91*1000,1)</f>
        <v>0.1</v>
      </c>
      <c r="I91">
        <f>ROUND(Sheet1!I91*1000,1)</f>
        <v>1.1000000000000001</v>
      </c>
      <c r="J91">
        <f>ROUND(Sheet1!J91*1000,1)</f>
        <v>0.3</v>
      </c>
      <c r="K91">
        <f>ROUND(Sheet1!K91*1000,1)</f>
        <v>0.4</v>
      </c>
      <c r="L91">
        <f>ROUND(Sheet1!L91*1000,1)</f>
        <v>0.2</v>
      </c>
    </row>
    <row r="92" spans="1:12" ht="16.5" x14ac:dyDescent="0.35">
      <c r="A92" t="s">
        <v>98</v>
      </c>
      <c r="B92" s="1" t="s">
        <v>150</v>
      </c>
      <c r="C92">
        <f>ROUND(Sheet1!C92*1000,1)</f>
        <v>0.1</v>
      </c>
      <c r="D92">
        <f>ROUND(Sheet1!D92*1000,2)</f>
        <v>0.05</v>
      </c>
      <c r="E92">
        <f>ROUND(Sheet1!E92*1000,1)</f>
        <v>9.5</v>
      </c>
      <c r="F92">
        <f>ROUND(Sheet1!F92*1000,1)</f>
        <v>2.1</v>
      </c>
      <c r="G92">
        <f>ROUND(Sheet1!G92*1000,1)</f>
        <v>0.6</v>
      </c>
      <c r="H92">
        <f>ROUND(Sheet1!H92*1000,1)</f>
        <v>0.1</v>
      </c>
      <c r="I92">
        <f>ROUND(Sheet1!I92*1000,1)</f>
        <v>0.5</v>
      </c>
      <c r="J92">
        <f>ROUND(Sheet1!J92*1000,1)</f>
        <v>0.2</v>
      </c>
      <c r="K92">
        <f>ROUND(Sheet1!K92*1000,1)</f>
        <v>0.3</v>
      </c>
      <c r="L92">
        <f>ROUND(Sheet1!L92*1000,1)</f>
        <v>0.1</v>
      </c>
    </row>
    <row r="93" spans="1:12" ht="16.5" x14ac:dyDescent="0.35">
      <c r="A93" t="s">
        <v>99</v>
      </c>
      <c r="B93" s="1" t="s">
        <v>150</v>
      </c>
      <c r="C93">
        <f>ROUND(Sheet1!C93*1000,1)</f>
        <v>0.1</v>
      </c>
      <c r="D93">
        <f>ROUND(Sheet1!D93*1000,2)</f>
        <v>0.04</v>
      </c>
      <c r="E93">
        <f>ROUND(Sheet1!E93*1000,1)</f>
        <v>8</v>
      </c>
      <c r="F93">
        <f>ROUND(Sheet1!F93*1000,1)</f>
        <v>1.9</v>
      </c>
      <c r="G93">
        <f>ROUND(Sheet1!G93*1000,1)</f>
        <v>0.5</v>
      </c>
      <c r="H93">
        <f>ROUND(Sheet1!H93*1000,2)</f>
        <v>0.05</v>
      </c>
      <c r="I93">
        <f>ROUND(Sheet1!I93*1000,1)</f>
        <v>0.4</v>
      </c>
      <c r="J93">
        <f>ROUND(Sheet1!J93*1000,1)</f>
        <v>0.1</v>
      </c>
      <c r="K93">
        <f>ROUND(Sheet1!K93*1000,1)</f>
        <v>0.2</v>
      </c>
      <c r="L93">
        <f>ROUND(Sheet1!L93*1000,1)</f>
        <v>0.1</v>
      </c>
    </row>
    <row r="94" spans="1:12" ht="16.5" x14ac:dyDescent="0.35">
      <c r="A94" t="s">
        <v>100</v>
      </c>
      <c r="B94" s="1" t="s">
        <v>150</v>
      </c>
      <c r="C94">
        <f>ROUND(Sheet1!C94*1000,1)</f>
        <v>21.6</v>
      </c>
      <c r="D94">
        <f>ROUND(Sheet1!D94*1000,1)</f>
        <v>6</v>
      </c>
      <c r="E94">
        <f>ROUND(Sheet1!E94*1000,1)</f>
        <v>169.6</v>
      </c>
      <c r="F94">
        <f>ROUND(Sheet1!F94*1000,1)</f>
        <v>4.3</v>
      </c>
      <c r="G94">
        <f>ROUND(Sheet1!G94*1000,1)</f>
        <v>12.3</v>
      </c>
      <c r="H94">
        <f>ROUND(Sheet1!H94*1000,2)</f>
        <v>0.03</v>
      </c>
      <c r="I94">
        <f>ROUND(Sheet1!I94*1000,1)</f>
        <v>25.4</v>
      </c>
      <c r="J94">
        <f>ROUND(Sheet1!J94*1000,1)</f>
        <v>0.8</v>
      </c>
      <c r="K94">
        <f>ROUND(Sheet1!K94*1000,1)</f>
        <v>48.8</v>
      </c>
      <c r="L94">
        <f>ROUND(Sheet1!L94*1000,1)</f>
        <v>15.4</v>
      </c>
    </row>
    <row r="95" spans="1:12" ht="16.5" x14ac:dyDescent="0.35">
      <c r="A95" t="s">
        <v>101</v>
      </c>
      <c r="B95" s="1" t="s">
        <v>150</v>
      </c>
      <c r="C95">
        <f>ROUND(Sheet1!C95*1000,1)</f>
        <v>11.3</v>
      </c>
      <c r="D95">
        <f>ROUND(Sheet1!D95*1000,1)</f>
        <v>3.7</v>
      </c>
      <c r="E95">
        <f>ROUND(Sheet1!E95*1000,1)</f>
        <v>32.1</v>
      </c>
      <c r="F95">
        <f>ROUND(Sheet1!F95*1000,1)</f>
        <v>5</v>
      </c>
      <c r="G95">
        <f>ROUND(Sheet1!G95*1000,1)</f>
        <v>1.9</v>
      </c>
      <c r="H95">
        <f>ROUND(Sheet1!H95*1000,2)</f>
        <v>0.04</v>
      </c>
      <c r="I95">
        <f>ROUND(Sheet1!I95*1000,1)</f>
        <v>5.0999999999999996</v>
      </c>
      <c r="J95">
        <f>ROUND(Sheet1!J95*1000,1)</f>
        <v>0.9</v>
      </c>
      <c r="K95">
        <f>ROUND(Sheet1!K95*1000,1)</f>
        <v>25.2</v>
      </c>
      <c r="L95">
        <f>ROUND(Sheet1!L95*1000,1)</f>
        <v>9.1999999999999993</v>
      </c>
    </row>
    <row r="96" spans="1:12" ht="16.5" x14ac:dyDescent="0.35">
      <c r="A96" t="s">
        <v>102</v>
      </c>
      <c r="B96" s="1" t="s">
        <v>150</v>
      </c>
      <c r="C96">
        <f>ROUND(Sheet1!C96*1000,1)</f>
        <v>15.8</v>
      </c>
      <c r="D96">
        <f>ROUND(Sheet1!D96*1000,1)</f>
        <v>6.5</v>
      </c>
      <c r="E96">
        <f>ROUND(Sheet1!E96*1000,1)</f>
        <v>32.5</v>
      </c>
      <c r="F96">
        <f>ROUND(Sheet1!F96*1000,1)</f>
        <v>5.4</v>
      </c>
      <c r="G96">
        <f>ROUND(Sheet1!G96*1000,1)</f>
        <v>1.9</v>
      </c>
      <c r="H96">
        <f>ROUND(Sheet1!H96*1000,2)</f>
        <v>0.04</v>
      </c>
      <c r="I96">
        <f>ROUND(Sheet1!I96*1000,1)</f>
        <v>5.0999999999999996</v>
      </c>
      <c r="J96">
        <f>ROUND(Sheet1!J96*1000,1)</f>
        <v>1</v>
      </c>
      <c r="K96">
        <f>ROUND(Sheet1!K96*1000,1)</f>
        <v>37.200000000000003</v>
      </c>
      <c r="L96">
        <f>ROUND(Sheet1!L96*1000,1)</f>
        <v>16.100000000000001</v>
      </c>
    </row>
    <row r="97" spans="1:12" ht="16.5" x14ac:dyDescent="0.35">
      <c r="A97" t="s">
        <v>103</v>
      </c>
      <c r="B97" s="1" t="s">
        <v>150</v>
      </c>
      <c r="C97">
        <f>ROUND(Sheet1!C97*1000,1)</f>
        <v>16</v>
      </c>
      <c r="D97">
        <f>ROUND(Sheet1!D97*1000,1)</f>
        <v>4.7</v>
      </c>
      <c r="E97">
        <f>ROUND(Sheet1!E97*1000,1)</f>
        <v>16</v>
      </c>
      <c r="F97">
        <f>ROUND(Sheet1!F97*1000,1)</f>
        <v>4.7</v>
      </c>
      <c r="G97">
        <f>ROUND(Sheet1!G97*1000,1)</f>
        <v>13.4</v>
      </c>
      <c r="H97">
        <f>ROUND(Sheet1!H97*1000,1)</f>
        <v>3.9</v>
      </c>
      <c r="I97">
        <f>ROUND(Sheet1!I97*1000,1)</f>
        <v>12.5</v>
      </c>
      <c r="J97">
        <f>ROUND(Sheet1!J97*1000,1)</f>
        <v>3.5</v>
      </c>
      <c r="K97">
        <f>ROUND(Sheet1!K97*1000,1)</f>
        <v>5.6</v>
      </c>
      <c r="L97">
        <f>ROUND(Sheet1!L97*1000,1)</f>
        <v>1.6</v>
      </c>
    </row>
    <row r="98" spans="1:12" ht="16.5" x14ac:dyDescent="0.35">
      <c r="A98" t="s">
        <v>104</v>
      </c>
      <c r="B98" s="1" t="s">
        <v>150</v>
      </c>
      <c r="C98">
        <f>ROUND(Sheet1!C98*1000,1)</f>
        <v>66.3</v>
      </c>
      <c r="D98">
        <f>ROUND(Sheet1!D98*1000,1)</f>
        <v>44.7</v>
      </c>
      <c r="E98">
        <f>ROUND(Sheet1!E98*1000,1)</f>
        <v>57.7</v>
      </c>
      <c r="F98">
        <f>ROUND(Sheet1!F98*1000,1)</f>
        <v>39.6</v>
      </c>
      <c r="G98">
        <f>ROUND(Sheet1!G98*1000,1)</f>
        <v>61.8</v>
      </c>
      <c r="H98">
        <f>ROUND(Sheet1!H98*1000,1)</f>
        <v>40.5</v>
      </c>
      <c r="I98">
        <f>ROUND(Sheet1!I98*1000,1)</f>
        <v>54.5</v>
      </c>
      <c r="J98">
        <f>ROUND(Sheet1!J98*1000,1)</f>
        <v>34.299999999999997</v>
      </c>
      <c r="K98">
        <f>ROUND(Sheet1!K98*1000,1)</f>
        <v>25.9</v>
      </c>
      <c r="L98">
        <f>ROUND(Sheet1!L98*1000,1)</f>
        <v>18</v>
      </c>
    </row>
    <row r="99" spans="1:12" ht="16.5" x14ac:dyDescent="0.35">
      <c r="A99" t="s">
        <v>105</v>
      </c>
      <c r="B99" s="1" t="s">
        <v>150</v>
      </c>
      <c r="C99">
        <f>ROUND(Sheet1!C99*1000,1)</f>
        <v>34.6</v>
      </c>
      <c r="D99">
        <f>ROUND(Sheet1!D99*1000,1)</f>
        <v>25</v>
      </c>
      <c r="E99">
        <f>ROUND(Sheet1!E99*1000,1)</f>
        <v>28</v>
      </c>
      <c r="F99">
        <f>ROUND(Sheet1!F99*1000,1)</f>
        <v>21.4</v>
      </c>
      <c r="G99">
        <f>ROUND(Sheet1!G99*1000,1)</f>
        <v>29.7</v>
      </c>
      <c r="H99">
        <f>ROUND(Sheet1!H99*1000,1)</f>
        <v>22.3</v>
      </c>
      <c r="I99">
        <f>ROUND(Sheet1!I99*1000,1)</f>
        <v>25.7</v>
      </c>
      <c r="J99">
        <f>ROUND(Sheet1!J99*1000,1)</f>
        <v>18.5</v>
      </c>
      <c r="K99">
        <f>ROUND(Sheet1!K99*1000,1)</f>
        <v>11.1</v>
      </c>
      <c r="L99">
        <f>ROUND(Sheet1!L99*1000,1)</f>
        <v>9.1</v>
      </c>
    </row>
    <row r="100" spans="1:12" ht="16.5" x14ac:dyDescent="0.35">
      <c r="A100" t="s">
        <v>106</v>
      </c>
      <c r="B100" s="1" t="s">
        <v>150</v>
      </c>
      <c r="C100">
        <f>ROUND(Sheet1!C100*1000,1)</f>
        <v>62.2</v>
      </c>
      <c r="D100">
        <f>ROUND(Sheet1!D100*1000,1)</f>
        <v>43.4</v>
      </c>
      <c r="E100">
        <f>ROUND(Sheet1!E100*1000,1)</f>
        <v>57.2</v>
      </c>
      <c r="F100">
        <f>ROUND(Sheet1!F100*1000,1)</f>
        <v>39.200000000000003</v>
      </c>
      <c r="G100">
        <f>ROUND(Sheet1!G100*1000,1)</f>
        <v>48.2</v>
      </c>
      <c r="H100">
        <f>ROUND(Sheet1!H100*1000,1)</f>
        <v>29.8</v>
      </c>
      <c r="I100">
        <f>ROUND(Sheet1!I100*1000,1)</f>
        <v>41</v>
      </c>
      <c r="J100">
        <f>ROUND(Sheet1!J100*1000,1)</f>
        <v>30.6</v>
      </c>
      <c r="K100">
        <f>ROUND(Sheet1!K100*1000,1)</f>
        <v>24.1</v>
      </c>
      <c r="L100">
        <f>ROUND(Sheet1!L100*1000,1)</f>
        <v>17.399999999999999</v>
      </c>
    </row>
    <row r="101" spans="1:12" ht="16.5" x14ac:dyDescent="0.35">
      <c r="A101" t="s">
        <v>107</v>
      </c>
      <c r="B101" s="1" t="s">
        <v>150</v>
      </c>
      <c r="C101">
        <f>ROUND(Sheet1!C101*1000,1)</f>
        <v>33.5</v>
      </c>
      <c r="D101">
        <f>ROUND(Sheet1!D101*1000,1)</f>
        <v>24.5</v>
      </c>
      <c r="E101">
        <f>ROUND(Sheet1!E101*1000,1)</f>
        <v>27.6</v>
      </c>
      <c r="F101">
        <f>ROUND(Sheet1!F101*1000,1)</f>
        <v>21</v>
      </c>
      <c r="G101">
        <f>ROUND(Sheet1!G101*1000,1)</f>
        <v>22.9</v>
      </c>
      <c r="H101">
        <f>ROUND(Sheet1!H101*1000,1)</f>
        <v>19.5</v>
      </c>
      <c r="I101">
        <f>ROUND(Sheet1!I101*1000,1)</f>
        <v>22.6</v>
      </c>
      <c r="J101">
        <f>ROUND(Sheet1!J101*1000,1)</f>
        <v>17.2</v>
      </c>
      <c r="K101">
        <f>ROUND(Sheet1!K101*1000,1)</f>
        <v>11.3</v>
      </c>
      <c r="L101">
        <f>ROUND(Sheet1!L101*1000,1)</f>
        <v>9.3000000000000007</v>
      </c>
    </row>
    <row r="102" spans="1:12" ht="16.5" x14ac:dyDescent="0.35">
      <c r="A102" t="s">
        <v>108</v>
      </c>
      <c r="B102" s="1" t="s">
        <v>150</v>
      </c>
      <c r="C102">
        <f>ROUND(Sheet1!C102*1000,1)</f>
        <v>75.099999999999994</v>
      </c>
      <c r="D102">
        <f>ROUND(Sheet1!D102*1000,1)</f>
        <v>35.700000000000003</v>
      </c>
      <c r="E102">
        <f>ROUND(Sheet1!E102*1000,1)</f>
        <v>67</v>
      </c>
      <c r="F102">
        <f>ROUND(Sheet1!F102*1000,1)</f>
        <v>31.7</v>
      </c>
      <c r="G102">
        <f>ROUND(Sheet1!G102*1000,1)</f>
        <v>56.9</v>
      </c>
      <c r="H102">
        <f>ROUND(Sheet1!H102*1000,1)</f>
        <v>28.1</v>
      </c>
      <c r="I102">
        <f>ROUND(Sheet1!I102*1000,1)</f>
        <v>53.5</v>
      </c>
      <c r="J102">
        <f>ROUND(Sheet1!J102*1000,1)</f>
        <v>25.4</v>
      </c>
      <c r="K102">
        <f>ROUND(Sheet1!K102*1000,1)</f>
        <v>29.3</v>
      </c>
      <c r="L102">
        <f>ROUND(Sheet1!L102*1000,1)</f>
        <v>14.4</v>
      </c>
    </row>
    <row r="103" spans="1:12" ht="16.5" x14ac:dyDescent="0.35">
      <c r="A103" t="s">
        <v>109</v>
      </c>
      <c r="B103" s="1" t="s">
        <v>150</v>
      </c>
      <c r="C103">
        <f>ROUND(Sheet1!C103*1000,1)</f>
        <v>30.8</v>
      </c>
      <c r="D103">
        <f>ROUND(Sheet1!D103*1000,1)</f>
        <v>22.6</v>
      </c>
      <c r="E103">
        <f>ROUND(Sheet1!E103*1000,1)</f>
        <v>27.4</v>
      </c>
      <c r="F103">
        <f>ROUND(Sheet1!F103*1000,1)</f>
        <v>20</v>
      </c>
      <c r="G103">
        <f>ROUND(Sheet1!G103*1000,1)</f>
        <v>22</v>
      </c>
      <c r="H103">
        <f>ROUND(Sheet1!H103*1000,1)</f>
        <v>17.399999999999999</v>
      </c>
      <c r="I103">
        <f>ROUND(Sheet1!I103*1000,1)</f>
        <v>20.7</v>
      </c>
      <c r="J103">
        <f>ROUND(Sheet1!J103*1000,1)</f>
        <v>15.7</v>
      </c>
      <c r="K103">
        <f>ROUND(Sheet1!K103*1000,1)</f>
        <v>12.1</v>
      </c>
      <c r="L103">
        <f>ROUND(Sheet1!L103*1000,1)</f>
        <v>8.9</v>
      </c>
    </row>
    <row r="104" spans="1:12" ht="16.5" x14ac:dyDescent="0.35">
      <c r="A104" t="s">
        <v>110</v>
      </c>
      <c r="B104" s="1" t="s">
        <v>150</v>
      </c>
      <c r="C104">
        <f>ROUND(Sheet1!C104*1000,1)</f>
        <v>8.8000000000000007</v>
      </c>
      <c r="D104">
        <f>ROUND(Sheet1!D104*1000,1)</f>
        <v>5.2</v>
      </c>
      <c r="E104">
        <f>ROUND(Sheet1!E104*1000,1)</f>
        <v>0.4</v>
      </c>
      <c r="F104">
        <f>ROUND(Sheet1!F104*1000,1)</f>
        <v>0.3</v>
      </c>
      <c r="G104">
        <f>ROUND(Sheet1!G104*1000,2)</f>
        <v>0.01</v>
      </c>
      <c r="H104">
        <f>ROUND(Sheet1!H104*1000,2)</f>
        <v>0.01</v>
      </c>
      <c r="I104">
        <f>ROUND(Sheet1!I104*1000,1)</f>
        <v>0.2</v>
      </c>
      <c r="J104">
        <f>ROUND(Sheet1!J104*1000,1)</f>
        <v>0.1</v>
      </c>
      <c r="K104">
        <f>ROUND(Sheet1!K104*1000,1)</f>
        <v>1.1000000000000001</v>
      </c>
      <c r="L104">
        <f>ROUND(Sheet1!L104*1000,1)</f>
        <v>0.8</v>
      </c>
    </row>
    <row r="105" spans="1:12" ht="16.5" x14ac:dyDescent="0.35">
      <c r="A105" t="s">
        <v>111</v>
      </c>
      <c r="B105" s="1" t="s">
        <v>150</v>
      </c>
      <c r="C105">
        <f>ROUND(Sheet1!C105*1000,1)</f>
        <v>210.2</v>
      </c>
      <c r="D105">
        <f>ROUND(Sheet1!D105*1000,1)</f>
        <v>58.4</v>
      </c>
      <c r="E105">
        <f>ROUND(Sheet1!E105*1000,1)</f>
        <v>89.9</v>
      </c>
      <c r="F105">
        <f>ROUND(Sheet1!F105*1000,1)</f>
        <v>31.5</v>
      </c>
      <c r="G105">
        <f>ROUND(Sheet1!G105*1000,1)</f>
        <v>0.6</v>
      </c>
      <c r="H105">
        <f>ROUND(Sheet1!H105*1000,1)</f>
        <v>0.3</v>
      </c>
      <c r="I105">
        <f>ROUND(Sheet1!I105*1000,1)</f>
        <v>138.1</v>
      </c>
      <c r="J105">
        <f>ROUND(Sheet1!J105*1000,1)</f>
        <v>38.799999999999997</v>
      </c>
      <c r="K105">
        <f>ROUND(Sheet1!K105*1000,1)</f>
        <v>0.4</v>
      </c>
      <c r="L105">
        <f>ROUND(Sheet1!L105*1000,1)</f>
        <v>0.2</v>
      </c>
    </row>
    <row r="106" spans="1:12" ht="16.5" x14ac:dyDescent="0.35">
      <c r="A106" t="s">
        <v>112</v>
      </c>
      <c r="B106" s="1" t="s">
        <v>150</v>
      </c>
      <c r="C106">
        <f>ROUND(Sheet1!C106*1000,1)</f>
        <v>858</v>
      </c>
      <c r="D106">
        <f>ROUND(Sheet1!D106*1000,1)</f>
        <v>497.8</v>
      </c>
      <c r="E106">
        <f>ROUND(Sheet1!E106*1000,1)</f>
        <v>224.8</v>
      </c>
      <c r="F106">
        <f>ROUND(Sheet1!F106*1000,1)</f>
        <v>140.19999999999999</v>
      </c>
      <c r="G106">
        <f>ROUND(Sheet1!G106*1000,1)</f>
        <v>13.7</v>
      </c>
      <c r="H106">
        <f>ROUND(Sheet1!H106*1000,1)</f>
        <v>6.7</v>
      </c>
      <c r="I106">
        <f>ROUND(Sheet1!I106*1000,1)</f>
        <v>406.3</v>
      </c>
      <c r="J106">
        <f>ROUND(Sheet1!J106*1000,1)</f>
        <v>187.3</v>
      </c>
      <c r="K106">
        <f>ROUND(Sheet1!K106*1000,1)</f>
        <v>2.5</v>
      </c>
      <c r="L106" s="5">
        <v>2.3999999999999999E-14</v>
      </c>
    </row>
    <row r="107" spans="1:12" ht="16.5" x14ac:dyDescent="0.35">
      <c r="A107" t="s">
        <v>113</v>
      </c>
      <c r="B107" s="1" t="s">
        <v>150</v>
      </c>
      <c r="C107">
        <f>ROUND(Sheet1!C107*1000,1)</f>
        <v>420.8</v>
      </c>
      <c r="D107">
        <f>ROUND(Sheet1!D107*1000,1)</f>
        <v>283.8</v>
      </c>
      <c r="E107">
        <f>ROUND(Sheet1!E107*1000,1)</f>
        <v>124.5</v>
      </c>
      <c r="F107">
        <f>ROUND(Sheet1!F107*1000,1)</f>
        <v>84.7</v>
      </c>
      <c r="G107">
        <f>ROUND(Sheet1!G107*1000,1)</f>
        <v>8.5</v>
      </c>
      <c r="H107">
        <f>ROUND(Sheet1!H107*1000,1)</f>
        <v>5.2</v>
      </c>
      <c r="I107">
        <f>ROUND(Sheet1!I107*1000,1)</f>
        <v>213.6</v>
      </c>
      <c r="J107">
        <f>ROUND(Sheet1!J107*1000,1)</f>
        <v>118.9</v>
      </c>
      <c r="K107">
        <f>ROUND(Sheet1!K107*1000,1)</f>
        <v>1.4</v>
      </c>
      <c r="L107" s="5">
        <v>1.7E-14</v>
      </c>
    </row>
    <row r="108" spans="1:12" ht="16.5" x14ac:dyDescent="0.35">
      <c r="A108" t="s">
        <v>114</v>
      </c>
      <c r="B108" s="1" t="s">
        <v>150</v>
      </c>
      <c r="C108">
        <f>ROUND(Sheet1!C108*1000,1)</f>
        <v>956.2</v>
      </c>
      <c r="D108">
        <f>ROUND(Sheet1!D108*1000,1)</f>
        <v>307.5</v>
      </c>
      <c r="E108">
        <f>ROUND(Sheet1!E108*1000,1)</f>
        <v>734.4</v>
      </c>
      <c r="F108">
        <f>ROUND(Sheet1!F108*1000,1)</f>
        <v>175.6</v>
      </c>
      <c r="G108">
        <f>ROUND(Sheet1!G108*1000,1)</f>
        <v>16.100000000000001</v>
      </c>
      <c r="H108">
        <f>ROUND(Sheet1!H108*1000,1)</f>
        <v>4.4000000000000004</v>
      </c>
      <c r="I108">
        <f>ROUND(Sheet1!I108*1000,1)</f>
        <v>927.2</v>
      </c>
      <c r="J108">
        <f>ROUND(Sheet1!J108*1000,1)</f>
        <v>179.8</v>
      </c>
      <c r="K108">
        <f>ROUND(Sheet1!K108*1000,1)</f>
        <v>3.9</v>
      </c>
      <c r="L108">
        <f>ROUND(Sheet1!L108*1000,1)</f>
        <v>1.1000000000000001</v>
      </c>
    </row>
    <row r="109" spans="1:12" ht="16.5" x14ac:dyDescent="0.35">
      <c r="A109" t="s">
        <v>115</v>
      </c>
      <c r="B109" s="1" t="s">
        <v>150</v>
      </c>
      <c r="C109">
        <f>ROUND(Sheet1!C109*1000,1)</f>
        <v>584.70000000000005</v>
      </c>
      <c r="D109">
        <f>ROUND(Sheet1!D109*1000,1)</f>
        <v>274.3</v>
      </c>
      <c r="E109">
        <f>ROUND(Sheet1!E109*1000,1)</f>
        <v>209.1</v>
      </c>
      <c r="F109">
        <f>ROUND(Sheet1!F109*1000,1)</f>
        <v>90.6</v>
      </c>
      <c r="G109">
        <f>ROUND(Sheet1!G109*1000,1)</f>
        <v>16.100000000000001</v>
      </c>
      <c r="H109">
        <f>ROUND(Sheet1!H109*1000,1)</f>
        <v>6.5</v>
      </c>
      <c r="I109">
        <f>ROUND(Sheet1!I109*1000,1)</f>
        <v>220.8</v>
      </c>
      <c r="J109">
        <f>ROUND(Sheet1!J109*1000,1)</f>
        <v>102.1</v>
      </c>
      <c r="K109">
        <f>ROUND(Sheet1!K109*1000,1)</f>
        <v>1.5</v>
      </c>
      <c r="L109">
        <f>ROUND(Sheet1!L109*1000,1)</f>
        <v>0.9</v>
      </c>
    </row>
    <row r="110" spans="1:12" ht="16.5" x14ac:dyDescent="0.35">
      <c r="A110" t="s">
        <v>116</v>
      </c>
      <c r="B110" s="1" t="s">
        <v>150</v>
      </c>
      <c r="C110">
        <f>ROUND(Sheet1!C110*1000,1)</f>
        <v>67.900000000000006</v>
      </c>
      <c r="D110">
        <f>ROUND(Sheet1!D110*1000,1)</f>
        <v>31</v>
      </c>
      <c r="E110">
        <f>ROUND(Sheet1!E110*1000,1)</f>
        <v>34.299999999999997</v>
      </c>
      <c r="F110">
        <f>ROUND(Sheet1!F110*1000,1)</f>
        <v>15.7</v>
      </c>
      <c r="G110">
        <f>ROUND(Sheet1!G110*1000,1)</f>
        <v>0.3</v>
      </c>
      <c r="H110">
        <f>ROUND(Sheet1!H110*1000,1)</f>
        <v>0.1</v>
      </c>
      <c r="I110">
        <f>ROUND(Sheet1!I110*1000,1)</f>
        <v>44.6</v>
      </c>
      <c r="J110">
        <f>ROUND(Sheet1!J110*1000,1)</f>
        <v>20.7</v>
      </c>
      <c r="K110">
        <f>ROUND(Sheet1!K110*1000,1)</f>
        <v>0.2</v>
      </c>
      <c r="L110">
        <f>ROUND(Sheet1!L110*1000,1)</f>
        <v>0.1</v>
      </c>
    </row>
    <row r="111" spans="1:12" ht="16.5" x14ac:dyDescent="0.35">
      <c r="A111" t="s">
        <v>117</v>
      </c>
      <c r="B111" s="1" t="s">
        <v>150</v>
      </c>
      <c r="C111">
        <f>ROUND(Sheet1!C111*1000,1)</f>
        <v>690.5</v>
      </c>
      <c r="D111">
        <f>ROUND(Sheet1!D111*1000,1)</f>
        <v>471</v>
      </c>
      <c r="E111">
        <f>ROUND(Sheet1!E111*1000,1)</f>
        <v>211</v>
      </c>
      <c r="F111">
        <f>ROUND(Sheet1!F111*1000,1)</f>
        <v>138.30000000000001</v>
      </c>
      <c r="G111">
        <f>ROUND(Sheet1!G111*1000,1)</f>
        <v>6.2</v>
      </c>
      <c r="H111">
        <f>ROUND(Sheet1!H111*1000,1)</f>
        <v>5.9</v>
      </c>
      <c r="I111">
        <f>ROUND(Sheet1!I111*1000,1)</f>
        <v>163.69999999999999</v>
      </c>
      <c r="J111">
        <f>ROUND(Sheet1!J111*1000,1)</f>
        <v>144.6</v>
      </c>
      <c r="K111">
        <f>ROUND(Sheet1!K111*1000,1)</f>
        <v>0.1</v>
      </c>
      <c r="L111">
        <f>ROUND(Sheet1!L111*1000,1)</f>
        <v>0</v>
      </c>
    </row>
    <row r="112" spans="1:12" ht="16.5" x14ac:dyDescent="0.35">
      <c r="A112" t="s">
        <v>118</v>
      </c>
      <c r="B112" s="1" t="s">
        <v>150</v>
      </c>
      <c r="C112">
        <f>ROUND(Sheet1!C112*1000,1)</f>
        <v>362.6</v>
      </c>
      <c r="D112">
        <f>ROUND(Sheet1!D112*1000,1)</f>
        <v>267.7</v>
      </c>
      <c r="E112">
        <f>ROUND(Sheet1!E112*1000,1)</f>
        <v>126.8</v>
      </c>
      <c r="F112">
        <f>ROUND(Sheet1!F112*1000,1)</f>
        <v>84.6</v>
      </c>
      <c r="G112">
        <f>ROUND(Sheet1!G112*1000,1)</f>
        <v>3.4</v>
      </c>
      <c r="H112">
        <f>ROUND(Sheet1!H112*1000,1)</f>
        <v>2.5</v>
      </c>
      <c r="I112">
        <f>ROUND(Sheet1!I112*1000,1)</f>
        <v>116.7</v>
      </c>
      <c r="J112">
        <f>ROUND(Sheet1!J112*1000,1)</f>
        <v>94.9</v>
      </c>
      <c r="K112">
        <f>ROUND(Sheet1!K112*1000,1)</f>
        <v>0</v>
      </c>
      <c r="L112">
        <f>ROUND(Sheet1!L112*1000,1)</f>
        <v>0</v>
      </c>
    </row>
    <row r="113" spans="1:12" ht="16.5" x14ac:dyDescent="0.35">
      <c r="A113" t="s">
        <v>119</v>
      </c>
      <c r="B113" s="1" t="s">
        <v>150</v>
      </c>
      <c r="C113">
        <f>ROUND(Sheet1!C113*1000,1)</f>
        <v>112.1</v>
      </c>
      <c r="D113">
        <f>ROUND(Sheet1!D113*1000,1)</f>
        <v>30.9</v>
      </c>
      <c r="E113">
        <f>ROUND(Sheet1!E113*1000,1)</f>
        <v>54.5</v>
      </c>
      <c r="F113">
        <f>ROUND(Sheet1!F113*1000,1)</f>
        <v>16.100000000000001</v>
      </c>
      <c r="G113">
        <f>ROUND(Sheet1!G113*1000,1)</f>
        <v>0.4</v>
      </c>
      <c r="H113">
        <f>ROUND(Sheet1!H113*1000,1)</f>
        <v>0.2</v>
      </c>
      <c r="I113">
        <f>ROUND(Sheet1!I113*1000,1)</f>
        <v>74.5</v>
      </c>
      <c r="J113">
        <f>ROUND(Sheet1!J113*1000,1)</f>
        <v>20.5</v>
      </c>
      <c r="K113">
        <f>ROUND(Sheet1!K113*1000,1)</f>
        <v>0.3</v>
      </c>
      <c r="L113">
        <f>ROUND(Sheet1!L113*1000,1)</f>
        <v>0.1</v>
      </c>
    </row>
    <row r="114" spans="1:12" ht="16.5" x14ac:dyDescent="0.35">
      <c r="A114" t="s">
        <v>120</v>
      </c>
      <c r="B114" s="1" t="s">
        <v>150</v>
      </c>
      <c r="C114">
        <f>ROUND(Sheet1!C114*1000,1)</f>
        <v>472.7</v>
      </c>
      <c r="D114">
        <f>ROUND(Sheet1!D114*1000,1)</f>
        <v>275.8</v>
      </c>
      <c r="E114">
        <f>ROUND(Sheet1!E114*1000,1)</f>
        <v>154.6</v>
      </c>
      <c r="F114">
        <f>ROUND(Sheet1!F114*1000,1)</f>
        <v>91.5</v>
      </c>
      <c r="G114">
        <f>ROUND(Sheet1!G114*1000,1)</f>
        <v>15.7</v>
      </c>
      <c r="H114">
        <f>ROUND(Sheet1!H114*1000,1)</f>
        <v>6.5</v>
      </c>
      <c r="I114">
        <f>ROUND(Sheet1!I114*1000,1)</f>
        <v>146.30000000000001</v>
      </c>
      <c r="J114">
        <f>ROUND(Sheet1!J114*1000,1)</f>
        <v>102.8</v>
      </c>
      <c r="K114">
        <f>ROUND(Sheet1!K114*1000,1)</f>
        <v>1.3</v>
      </c>
      <c r="L114">
        <f>ROUND(Sheet1!L114*1000,1)</f>
        <v>0.9</v>
      </c>
    </row>
    <row r="115" spans="1:12" ht="16.5" x14ac:dyDescent="0.35">
      <c r="A115" t="s">
        <v>121</v>
      </c>
      <c r="B115" s="1" t="s">
        <v>150</v>
      </c>
      <c r="C115">
        <f>ROUND(Sheet1!C115*1000,1)</f>
        <v>0.2</v>
      </c>
      <c r="D115">
        <f>ROUND(Sheet1!D115*1000,1)</f>
        <v>0.1</v>
      </c>
      <c r="E115">
        <f>ROUND(Sheet1!E115*1000,2)</f>
        <v>0.01</v>
      </c>
      <c r="F115">
        <f>ROUND(Sheet1!F115*1000,3)</f>
        <v>3.0000000000000001E-3</v>
      </c>
      <c r="G115">
        <f>ROUND(Sheet1!G115*1000,4)</f>
        <v>2.0000000000000001E-4</v>
      </c>
      <c r="H115">
        <f>ROUND(Sheet1!H115*1000,4)</f>
        <v>1E-4</v>
      </c>
      <c r="I115">
        <f>ROUND(Sheet1!I115*1000,2)</f>
        <v>0.02</v>
      </c>
      <c r="J115">
        <f>ROUND(Sheet1!J115*1000,2)</f>
        <v>0.01</v>
      </c>
      <c r="K115">
        <f>ROUND(Sheet1!K115*1000,1)</f>
        <v>0.2</v>
      </c>
      <c r="L115">
        <f>ROUND(Sheet1!L115*1000,1)</f>
        <v>0.1</v>
      </c>
    </row>
    <row r="116" spans="1:12" ht="16.5" x14ac:dyDescent="0.35">
      <c r="A116" t="s">
        <v>122</v>
      </c>
      <c r="B116" s="1" t="s">
        <v>150</v>
      </c>
      <c r="C116">
        <f>ROUND(Sheet1!C116*1000,1)</f>
        <v>3</v>
      </c>
      <c r="D116">
        <f>ROUND(Sheet1!D116*1000,1)</f>
        <v>0.7</v>
      </c>
      <c r="E116">
        <f>ROUND(Sheet1!E116*1000,1)</f>
        <v>0.1</v>
      </c>
      <c r="F116">
        <f>ROUND(Sheet1!F116*1000,2)</f>
        <v>0.03</v>
      </c>
      <c r="G116">
        <f>ROUND(Sheet1!G116*1000,2)</f>
        <v>0.01</v>
      </c>
      <c r="H116">
        <f>ROUND(Sheet1!H116*1000,3)</f>
        <v>1E-3</v>
      </c>
      <c r="I116">
        <f>ROUND(Sheet1!I116*1000,1)</f>
        <v>0.6</v>
      </c>
      <c r="J116">
        <f>ROUND(Sheet1!J116*1000,1)</f>
        <v>0.1</v>
      </c>
      <c r="K116">
        <f>ROUND(Sheet1!K116*1000,1)</f>
        <v>3.2</v>
      </c>
      <c r="L116">
        <f>ROUND(Sheet1!L116*1000,1)</f>
        <v>0.6</v>
      </c>
    </row>
    <row r="117" spans="1:12" ht="16.5" x14ac:dyDescent="0.35">
      <c r="A117" t="s">
        <v>123</v>
      </c>
      <c r="B117" s="1" t="s">
        <v>150</v>
      </c>
      <c r="C117">
        <f>ROUND(Sheet1!C117*1000,1)</f>
        <v>0.7</v>
      </c>
      <c r="D117">
        <f>ROUND(Sheet1!D117*1000,1)</f>
        <v>0.3</v>
      </c>
      <c r="E117">
        <f>ROUND(Sheet1!E117*1000,2)</f>
        <v>0.03</v>
      </c>
      <c r="F117">
        <f>ROUND(Sheet1!F117*1000,2)</f>
        <v>0.01</v>
      </c>
      <c r="G117">
        <f>ROUND(Sheet1!G117*1000,3)</f>
        <v>1E-3</v>
      </c>
      <c r="H117">
        <f>ROUND(Sheet1!H117*1000,4)</f>
        <v>2.9999999999999997E-4</v>
      </c>
      <c r="I117">
        <f>ROUND(Sheet1!I117*1000,1)</f>
        <v>0.1</v>
      </c>
      <c r="J117">
        <f>ROUND(Sheet1!J117*1000,2)</f>
        <v>0.03</v>
      </c>
      <c r="K117">
        <f>ROUND(Sheet1!K117*1000,1)</f>
        <v>0.7</v>
      </c>
      <c r="L117">
        <f>ROUND(Sheet1!L117*1000,1)</f>
        <v>0.3</v>
      </c>
    </row>
    <row r="118" spans="1:12" ht="16.5" x14ac:dyDescent="0.35">
      <c r="A118" t="s">
        <v>124</v>
      </c>
      <c r="B118" s="1" t="s">
        <v>150</v>
      </c>
      <c r="C118">
        <f>ROUND(Sheet1!C118*1000,1)</f>
        <v>9.4</v>
      </c>
      <c r="D118">
        <f>ROUND(Sheet1!D118*1000,1)</f>
        <v>2.2999999999999998</v>
      </c>
      <c r="E118">
        <f>ROUND(Sheet1!E118*1000,1)</f>
        <v>0.4</v>
      </c>
      <c r="F118">
        <f>ROUND(Sheet1!F118*1000,1)</f>
        <v>0.1</v>
      </c>
      <c r="G118">
        <f>ROUND(Sheet1!G118*1000,2)</f>
        <v>0.02</v>
      </c>
      <c r="H118">
        <f>ROUND(Sheet1!H118*1000,3)</f>
        <v>2E-3</v>
      </c>
      <c r="I118">
        <f>ROUND(Sheet1!I118*1000,1)</f>
        <v>1.7</v>
      </c>
      <c r="J118">
        <f>ROUND(Sheet1!J118*1000,1)</f>
        <v>0.5</v>
      </c>
      <c r="K118">
        <f>ROUND(Sheet1!K118*1000,1)</f>
        <v>9.6</v>
      </c>
      <c r="L118">
        <f>ROUND(Sheet1!L118*1000,1)</f>
        <v>2.6</v>
      </c>
    </row>
    <row r="119" spans="1:12" ht="16.5" x14ac:dyDescent="0.35">
      <c r="A119" t="s">
        <v>125</v>
      </c>
      <c r="B119" s="1" t="s">
        <v>150</v>
      </c>
      <c r="C119">
        <f>ROUND(Sheet1!C119*1000,1)</f>
        <v>4.4000000000000004</v>
      </c>
      <c r="D119">
        <f>ROUND(Sheet1!D119*1000,1)</f>
        <v>1.8</v>
      </c>
      <c r="E119">
        <f>ROUND(Sheet1!E119*1000,1)</f>
        <v>0.2</v>
      </c>
      <c r="F119">
        <f>ROUND(Sheet1!F119*1000,1)</f>
        <v>0.1</v>
      </c>
      <c r="G119">
        <f>ROUND(Sheet1!G119*1000,2)</f>
        <v>0.01</v>
      </c>
      <c r="H119">
        <f>ROUND(Sheet1!H119*1000,3)</f>
        <v>2E-3</v>
      </c>
      <c r="I119">
        <f>ROUND(Sheet1!I119*1000,1)</f>
        <v>0.9</v>
      </c>
      <c r="J119">
        <f>ROUND(Sheet1!J119*1000,1)</f>
        <v>0.3</v>
      </c>
      <c r="K119">
        <f>ROUND(Sheet1!K119*1000,1)</f>
        <v>4.7</v>
      </c>
      <c r="L119">
        <f>ROUND(Sheet1!L119*1000,1)</f>
        <v>1.7</v>
      </c>
    </row>
    <row r="120" spans="1:12" ht="16.5" x14ac:dyDescent="0.35">
      <c r="A120" t="s">
        <v>126</v>
      </c>
      <c r="B120" s="1" t="s">
        <v>150</v>
      </c>
      <c r="C120">
        <f>ROUND(Sheet1!C120*1000,1)</f>
        <v>5.4</v>
      </c>
      <c r="D120">
        <f>ROUND(Sheet1!D120*1000,1)</f>
        <v>2.7</v>
      </c>
      <c r="E120">
        <f>ROUND(Sheet1!E120*1000,1)</f>
        <v>0.2</v>
      </c>
      <c r="F120">
        <f>ROUND(Sheet1!F120*1000,1)</f>
        <v>0.1</v>
      </c>
      <c r="G120">
        <f>ROUND(Sheet1!G120*1000,2)</f>
        <v>0.01</v>
      </c>
      <c r="H120">
        <f>ROUND(Sheet1!H120*1000,3)</f>
        <v>2E-3</v>
      </c>
      <c r="I120">
        <f>ROUND(Sheet1!I120*1000,1)</f>
        <v>1.3</v>
      </c>
      <c r="J120">
        <f>ROUND(Sheet1!J120*1000,1)</f>
        <v>0.5</v>
      </c>
      <c r="K120">
        <f>ROUND(Sheet1!K120*1000,1)</f>
        <v>6.3</v>
      </c>
      <c r="L120">
        <f>ROUND(Sheet1!L120*1000,1)</f>
        <v>2.9</v>
      </c>
    </row>
    <row r="121" spans="1:12" ht="16.5" x14ac:dyDescent="0.35">
      <c r="A121" t="s">
        <v>127</v>
      </c>
      <c r="B121" s="1" t="s">
        <v>150</v>
      </c>
      <c r="C121">
        <f>ROUND(Sheet1!C121*1000,1)</f>
        <v>7.1</v>
      </c>
      <c r="D121">
        <f>ROUND(Sheet1!D121*1000,1)</f>
        <v>2.7</v>
      </c>
      <c r="E121">
        <f>ROUND(Sheet1!E121*1000,1)</f>
        <v>6.8</v>
      </c>
      <c r="F121">
        <f>ROUND(Sheet1!F121*1000,1)</f>
        <v>2.6</v>
      </c>
      <c r="G121">
        <f>ROUND(Sheet1!G121*1000,1)</f>
        <v>5.7</v>
      </c>
      <c r="H121">
        <f>ROUND(Sheet1!H121*1000,1)</f>
        <v>2.2000000000000002</v>
      </c>
      <c r="I121">
        <f>ROUND(Sheet1!I121*1000,1)</f>
        <v>5.0999999999999996</v>
      </c>
      <c r="J121">
        <f>ROUND(Sheet1!J121*1000,1)</f>
        <v>2</v>
      </c>
      <c r="K121">
        <f>ROUND(Sheet1!K121*1000,1)</f>
        <v>2.2000000000000002</v>
      </c>
      <c r="L121">
        <f>ROUND(Sheet1!L121*1000,1)</f>
        <v>0.9</v>
      </c>
    </row>
    <row r="122" spans="1:12" ht="16.5" x14ac:dyDescent="0.35">
      <c r="A122" t="s">
        <v>128</v>
      </c>
      <c r="B122" s="1" t="s">
        <v>150</v>
      </c>
      <c r="C122">
        <f>ROUND(Sheet1!C122*1000,1)</f>
        <v>3.6</v>
      </c>
      <c r="D122">
        <f>ROUND(Sheet1!D122*1000,1)</f>
        <v>1.5</v>
      </c>
      <c r="E122">
        <f>ROUND(Sheet1!E122*1000,1)</f>
        <v>3.5</v>
      </c>
      <c r="F122">
        <f>ROUND(Sheet1!F122*1000,1)</f>
        <v>1.5</v>
      </c>
      <c r="G122">
        <f>ROUND(Sheet1!G122*1000,1)</f>
        <v>2.9</v>
      </c>
      <c r="H122">
        <f>ROUND(Sheet1!H122*1000,1)</f>
        <v>1.2</v>
      </c>
      <c r="I122">
        <f>ROUND(Sheet1!I122*1000,1)</f>
        <v>2.6</v>
      </c>
      <c r="J122">
        <f>ROUND(Sheet1!J122*1000,1)</f>
        <v>1.1000000000000001</v>
      </c>
      <c r="K122">
        <f>ROUND(Sheet1!K122*1000,1)</f>
        <v>1.1000000000000001</v>
      </c>
      <c r="L122">
        <f>ROUND(Sheet1!L122*1000,1)</f>
        <v>0.5</v>
      </c>
    </row>
    <row r="123" spans="1:12" ht="16.5" x14ac:dyDescent="0.35">
      <c r="A123" t="s">
        <v>129</v>
      </c>
      <c r="B123" s="1" t="s">
        <v>150</v>
      </c>
      <c r="C123">
        <f>ROUND(Sheet1!C123*1000,1)</f>
        <v>5</v>
      </c>
      <c r="D123">
        <f>ROUND(Sheet1!D123*1000,1)</f>
        <v>2.4</v>
      </c>
      <c r="E123">
        <f>ROUND(Sheet1!E123*1000,1)</f>
        <v>4.8</v>
      </c>
      <c r="F123">
        <f>ROUND(Sheet1!F123*1000,1)</f>
        <v>2.4</v>
      </c>
      <c r="G123">
        <f>ROUND(Sheet1!G123*1000,1)</f>
        <v>4</v>
      </c>
      <c r="H123">
        <f>ROUND(Sheet1!H123*1000,1)</f>
        <v>2</v>
      </c>
      <c r="I123">
        <f>ROUND(Sheet1!I123*1000,1)</f>
        <v>3.6</v>
      </c>
      <c r="J123">
        <f>ROUND(Sheet1!J123*1000,1)</f>
        <v>1.8</v>
      </c>
      <c r="K123">
        <f>ROUND(Sheet1!K123*1000,1)</f>
        <v>1.6</v>
      </c>
      <c r="L123">
        <f>ROUND(Sheet1!L123*1000,1)</f>
        <v>0.8</v>
      </c>
    </row>
    <row r="124" spans="1:12" ht="16.5" x14ac:dyDescent="0.35">
      <c r="A124" t="s">
        <v>130</v>
      </c>
      <c r="B124" s="1" t="s">
        <v>150</v>
      </c>
      <c r="C124">
        <f>ROUND(Sheet1!C124*1000,1)</f>
        <v>2.9</v>
      </c>
      <c r="D124">
        <f>ROUND(Sheet1!D124*1000,1)</f>
        <v>1.5</v>
      </c>
      <c r="E124">
        <f>ROUND(Sheet1!E124*1000,1)</f>
        <v>2.8</v>
      </c>
      <c r="F124">
        <f>ROUND(Sheet1!F124*1000,1)</f>
        <v>1.5</v>
      </c>
      <c r="G124">
        <f>ROUND(Sheet1!G124*1000,1)</f>
        <v>2.2999999999999998</v>
      </c>
      <c r="H124">
        <f>ROUND(Sheet1!H124*1000,1)</f>
        <v>1.2</v>
      </c>
      <c r="I124">
        <f>ROUND(Sheet1!I124*1000,1)</f>
        <v>2.1</v>
      </c>
      <c r="J124">
        <f>ROUND(Sheet1!J124*1000,1)</f>
        <v>1.1000000000000001</v>
      </c>
      <c r="K124">
        <f>ROUND(Sheet1!K124*1000,1)</f>
        <v>0.9</v>
      </c>
      <c r="L124">
        <f>ROUND(Sheet1!L124*1000,1)</f>
        <v>0.5</v>
      </c>
    </row>
    <row r="125" spans="1:12" ht="16.5" x14ac:dyDescent="0.35">
      <c r="A125" t="s">
        <v>131</v>
      </c>
      <c r="B125" s="1" t="s">
        <v>150</v>
      </c>
      <c r="C125">
        <f>ROUND(Sheet1!C125*1000,1)</f>
        <v>43</v>
      </c>
      <c r="D125">
        <f>ROUND(Sheet1!D125*1000,1)</f>
        <v>17</v>
      </c>
      <c r="E125">
        <f>ROUND(Sheet1!E125*1000,1)</f>
        <v>24.5</v>
      </c>
      <c r="F125">
        <f>ROUND(Sheet1!F125*1000,1)</f>
        <v>9.3000000000000007</v>
      </c>
      <c r="G125">
        <f>ROUND(Sheet1!G125*1000,1)</f>
        <v>0.4</v>
      </c>
      <c r="H125">
        <f>ROUND(Sheet1!H125*1000,1)</f>
        <v>0.1</v>
      </c>
      <c r="I125">
        <f>ROUND(Sheet1!I125*1000,1)</f>
        <v>28.7</v>
      </c>
      <c r="J125">
        <f>ROUND(Sheet1!J125*1000,1)</f>
        <v>11.3</v>
      </c>
      <c r="K125">
        <f>ROUND(Sheet1!K125*1000,1)</f>
        <v>0.2</v>
      </c>
      <c r="L125">
        <f>ROUND(Sheet1!L125*1000,1)</f>
        <v>0.1</v>
      </c>
    </row>
    <row r="126" spans="1:12" ht="16.5" x14ac:dyDescent="0.35">
      <c r="A126" t="s">
        <v>132</v>
      </c>
      <c r="B126" s="1" t="s">
        <v>150</v>
      </c>
      <c r="C126">
        <f>ROUND(Sheet1!C126*1000,1)</f>
        <v>21.8</v>
      </c>
      <c r="D126">
        <f>ROUND(Sheet1!D126*1000,1)</f>
        <v>9.6999999999999993</v>
      </c>
      <c r="E126">
        <f>ROUND(Sheet1!E126*1000,1)</f>
        <v>12.4</v>
      </c>
      <c r="F126">
        <f>ROUND(Sheet1!F126*1000,1)</f>
        <v>5.3</v>
      </c>
      <c r="G126">
        <f>ROUND(Sheet1!G126*1000,1)</f>
        <v>0.2</v>
      </c>
      <c r="H126">
        <f>ROUND(Sheet1!H126*1000,1)</f>
        <v>0.1</v>
      </c>
      <c r="I126">
        <f>ROUND(Sheet1!I126*1000,1)</f>
        <v>14.5</v>
      </c>
      <c r="J126">
        <f>ROUND(Sheet1!J126*1000,1)</f>
        <v>6.4</v>
      </c>
      <c r="K126">
        <f>ROUND(Sheet1!K126*1000,1)</f>
        <v>0.1</v>
      </c>
      <c r="L126">
        <f>ROUND(Sheet1!L126*1000,2)</f>
        <v>0.05</v>
      </c>
    </row>
    <row r="127" spans="1:12" ht="16.5" x14ac:dyDescent="0.35">
      <c r="A127" t="s">
        <v>133</v>
      </c>
      <c r="B127" s="1" t="s">
        <v>150</v>
      </c>
      <c r="C127">
        <f>ROUND(Sheet1!C127*1000,1)</f>
        <v>30.2</v>
      </c>
      <c r="D127">
        <f>ROUND(Sheet1!D127*1000,1)</f>
        <v>15</v>
      </c>
      <c r="E127">
        <f>ROUND(Sheet1!E127*1000,1)</f>
        <v>17.2</v>
      </c>
      <c r="F127">
        <f>ROUND(Sheet1!F127*1000,1)</f>
        <v>8.3000000000000007</v>
      </c>
      <c r="G127">
        <f>ROUND(Sheet1!G127*1000,1)</f>
        <v>0.3</v>
      </c>
      <c r="H127">
        <f>ROUND(Sheet1!H127*1000,1)</f>
        <v>0.1</v>
      </c>
      <c r="I127">
        <f>ROUND(Sheet1!I127*1000,1)</f>
        <v>20.100000000000001</v>
      </c>
      <c r="J127">
        <f>ROUND(Sheet1!J127*1000,1)</f>
        <v>10</v>
      </c>
      <c r="K127">
        <f>ROUND(Sheet1!K127*1000,1)</f>
        <v>0.2</v>
      </c>
      <c r="L127">
        <f>ROUND(Sheet1!L127*1000,1)</f>
        <v>0.1</v>
      </c>
    </row>
    <row r="128" spans="1:12" ht="16.5" x14ac:dyDescent="0.35">
      <c r="A128" t="s">
        <v>134</v>
      </c>
      <c r="B128" s="1" t="s">
        <v>150</v>
      </c>
      <c r="C128">
        <f>ROUND(Sheet1!C128*1000,1)</f>
        <v>17.3</v>
      </c>
      <c r="D128">
        <f>ROUND(Sheet1!D128*1000,1)</f>
        <v>9.3000000000000007</v>
      </c>
      <c r="E128">
        <f>ROUND(Sheet1!E128*1000,1)</f>
        <v>9.9</v>
      </c>
      <c r="F128">
        <f>ROUND(Sheet1!F128*1000,1)</f>
        <v>5.2</v>
      </c>
      <c r="G128">
        <f>ROUND(Sheet1!G128*1000,1)</f>
        <v>0.2</v>
      </c>
      <c r="H128">
        <f>ROUND(Sheet1!H128*1000,1)</f>
        <v>0.1</v>
      </c>
      <c r="I128">
        <f>ROUND(Sheet1!I128*1000,1)</f>
        <v>11.6</v>
      </c>
      <c r="J128">
        <f>ROUND(Sheet1!J128*1000,1)</f>
        <v>6.2</v>
      </c>
      <c r="K128">
        <f>ROUND(Sheet1!K128*1000,1)</f>
        <v>0.1</v>
      </c>
      <c r="L128">
        <f>ROUND(Sheet1!L128*1000,2)</f>
        <v>0.05</v>
      </c>
    </row>
    <row r="129" spans="1:12" ht="16.5" x14ac:dyDescent="0.35">
      <c r="A129" t="s">
        <v>135</v>
      </c>
      <c r="B129" s="1" t="s">
        <v>150</v>
      </c>
      <c r="C129">
        <f>ROUND(Sheet1!C129*1000,1)</f>
        <v>7528.7</v>
      </c>
      <c r="D129">
        <f>ROUND(Sheet1!D129*1000,1)</f>
        <v>1501.5</v>
      </c>
      <c r="E129">
        <f>ROUND(Sheet1!E129*1000,1)</f>
        <v>4185.1000000000004</v>
      </c>
      <c r="F129">
        <f>ROUND(Sheet1!F129*1000,1)</f>
        <v>713.7</v>
      </c>
      <c r="G129">
        <f>ROUND(Sheet1!G129*1000,1)</f>
        <v>4694.6000000000004</v>
      </c>
      <c r="H129">
        <f>ROUND(Sheet1!H129*1000,1)</f>
        <v>604.4</v>
      </c>
      <c r="I129">
        <f>ROUND(Sheet1!I129*1000,1)</f>
        <v>4628.7</v>
      </c>
      <c r="J129">
        <f>ROUND(Sheet1!J129*1000,1)</f>
        <v>711.3</v>
      </c>
      <c r="K129">
        <f>ROUND(Sheet1!K129*1000,1)</f>
        <v>2929.4</v>
      </c>
      <c r="L129">
        <f>ROUND(Sheet1!L129*1000,1)</f>
        <v>517.5</v>
      </c>
    </row>
    <row r="130" spans="1:12" ht="16.5" x14ac:dyDescent="0.35">
      <c r="A130" t="s">
        <v>136</v>
      </c>
      <c r="B130" s="1" t="s">
        <v>150</v>
      </c>
      <c r="C130">
        <f>ROUND(Sheet1!C130*1000,1)</f>
        <v>1420</v>
      </c>
      <c r="D130">
        <f>ROUND(Sheet1!D130*1000,1)</f>
        <v>469.5</v>
      </c>
      <c r="E130">
        <f>ROUND(Sheet1!E130*1000,1)</f>
        <v>2168.6</v>
      </c>
      <c r="F130">
        <f>ROUND(Sheet1!F130*1000,1)</f>
        <v>437.2</v>
      </c>
      <c r="G130">
        <f>ROUND(Sheet1!G130*1000,1)</f>
        <v>4933.8</v>
      </c>
      <c r="H130">
        <f>ROUND(Sheet1!H130*1000,1)</f>
        <v>1100.7</v>
      </c>
      <c r="I130">
        <f>ROUND(Sheet1!I130*1000,1)</f>
        <v>1235.7</v>
      </c>
      <c r="J130">
        <f>ROUND(Sheet1!J130*1000,1)</f>
        <v>480.5</v>
      </c>
      <c r="K130">
        <f>ROUND(Sheet1!K130*1000,1)</f>
        <v>1380.3</v>
      </c>
      <c r="L130">
        <f>ROUND(Sheet1!L130*1000,1)</f>
        <v>406.6</v>
      </c>
    </row>
    <row r="131" spans="1:12" ht="16.5" x14ac:dyDescent="0.35">
      <c r="A131" t="s">
        <v>137</v>
      </c>
      <c r="B131" s="1" t="s">
        <v>150</v>
      </c>
      <c r="C131">
        <f>ROUND(Sheet1!C131*1000,1)</f>
        <v>417.5</v>
      </c>
      <c r="D131">
        <f>ROUND(Sheet1!D131*1000,1)</f>
        <v>301.5</v>
      </c>
      <c r="E131">
        <f>ROUND(Sheet1!E131*1000,1)</f>
        <v>105.5</v>
      </c>
      <c r="F131">
        <f>ROUND(Sheet1!F131*1000,1)</f>
        <v>71.400000000000006</v>
      </c>
      <c r="G131">
        <f>ROUND(Sheet1!G131*1000,1)</f>
        <v>123.7</v>
      </c>
      <c r="H131">
        <f>ROUND(Sheet1!H131*1000,1)</f>
        <v>103.2</v>
      </c>
      <c r="I131">
        <f>ROUND(Sheet1!I131*1000,1)</f>
        <v>1392.1</v>
      </c>
      <c r="J131">
        <f>ROUND(Sheet1!J131*1000,1)</f>
        <v>678.7</v>
      </c>
      <c r="K131">
        <f>ROUND(Sheet1!K131*1000,1)</f>
        <v>276</v>
      </c>
      <c r="L131">
        <f>ROUND(Sheet1!L131*1000,1)</f>
        <v>188.4</v>
      </c>
    </row>
    <row r="132" spans="1:12" ht="16.5" x14ac:dyDescent="0.35">
      <c r="A132" t="s">
        <v>138</v>
      </c>
      <c r="B132" s="1" t="s">
        <v>150</v>
      </c>
      <c r="C132">
        <f>ROUND(Sheet1!C132*1000,1)</f>
        <v>618.70000000000005</v>
      </c>
      <c r="D132">
        <f>ROUND(Sheet1!D132*1000,1)</f>
        <v>490.1</v>
      </c>
      <c r="E132">
        <f>ROUND(Sheet1!E132*1000,1)</f>
        <v>177.6</v>
      </c>
      <c r="F132">
        <f>ROUND(Sheet1!F132*1000,1)</f>
        <v>167.7</v>
      </c>
      <c r="G132">
        <f>ROUND(Sheet1!G132*1000,1)</f>
        <v>464.2</v>
      </c>
      <c r="H132">
        <f>ROUND(Sheet1!H132*1000,1)</f>
        <v>412.4</v>
      </c>
      <c r="I132">
        <f>ROUND(Sheet1!I132*1000,1)</f>
        <v>294.39999999999998</v>
      </c>
      <c r="J132">
        <f>ROUND(Sheet1!J132*1000,1)</f>
        <v>272.39999999999998</v>
      </c>
      <c r="K132">
        <f>ROUND(Sheet1!K132*1000,1)</f>
        <v>202.1</v>
      </c>
      <c r="L132">
        <f>ROUND(Sheet1!L132*1000,1)</f>
        <v>181.6</v>
      </c>
    </row>
    <row r="133" spans="1:12" ht="16.5" x14ac:dyDescent="0.35">
      <c r="A133" t="s">
        <v>139</v>
      </c>
      <c r="B133" s="1" t="s">
        <v>150</v>
      </c>
      <c r="C133">
        <f>ROUND(Sheet1!C133*1000,1)</f>
        <v>395.4</v>
      </c>
      <c r="D133">
        <f>ROUND(Sheet1!D133*1000,1)</f>
        <v>300.2</v>
      </c>
      <c r="E133">
        <f>ROUND(Sheet1!E133*1000,1)</f>
        <v>53.7</v>
      </c>
      <c r="F133">
        <f>ROUND(Sheet1!F133*1000,1)</f>
        <v>46.8</v>
      </c>
      <c r="G133">
        <f>ROUND(Sheet1!G133*1000,1)</f>
        <v>82.3</v>
      </c>
      <c r="H133">
        <f>ROUND(Sheet1!H133*1000,1)</f>
        <v>73.599999999999994</v>
      </c>
      <c r="I133">
        <f>ROUND(Sheet1!I133*1000,1)</f>
        <v>240.3</v>
      </c>
      <c r="J133">
        <f>ROUND(Sheet1!J133*1000,1)</f>
        <v>215.5</v>
      </c>
      <c r="K133">
        <f>ROUND(Sheet1!K133*1000,1)</f>
        <v>108.2</v>
      </c>
      <c r="L133">
        <f>ROUND(Sheet1!L133*1000,1)</f>
        <v>98.6</v>
      </c>
    </row>
    <row r="134" spans="1:12" ht="16.5" x14ac:dyDescent="0.35">
      <c r="A134" t="s">
        <v>140</v>
      </c>
      <c r="B134" s="1" t="s">
        <v>150</v>
      </c>
      <c r="C134">
        <f>ROUND(Sheet1!C134*1000,1)</f>
        <v>2366.1</v>
      </c>
      <c r="D134">
        <f>ROUND(Sheet1!D134*1000,1)</f>
        <v>1183.7</v>
      </c>
      <c r="E134">
        <f>ROUND(Sheet1!E134*1000,1)</f>
        <v>319.89999999999998</v>
      </c>
      <c r="F134">
        <f>ROUND(Sheet1!F134*1000,1)</f>
        <v>268.39999999999998</v>
      </c>
      <c r="G134">
        <f>ROUND(Sheet1!G134*1000,1)</f>
        <v>1234.3</v>
      </c>
      <c r="H134">
        <f>ROUND(Sheet1!H134*1000,1)</f>
        <v>791.9</v>
      </c>
      <c r="I134">
        <f>ROUND(Sheet1!I134*1000,1)</f>
        <v>720.2</v>
      </c>
      <c r="J134">
        <f>ROUND(Sheet1!J134*1000,1)</f>
        <v>486.5</v>
      </c>
      <c r="K134">
        <f>ROUND(Sheet1!K134*1000,1)</f>
        <v>328.2</v>
      </c>
      <c r="L134">
        <f>ROUND(Sheet1!L134*1000,1)</f>
        <v>226.1</v>
      </c>
    </row>
    <row r="135" spans="1:12" ht="16.5" x14ac:dyDescent="0.35">
      <c r="A135" t="s">
        <v>141</v>
      </c>
      <c r="B135" s="1" t="s">
        <v>150</v>
      </c>
      <c r="C135" t="e">
        <f>ROUND(Sheet1!C135*1000,1)</f>
        <v>#VALUE!</v>
      </c>
      <c r="D135" t="e">
        <f>ROUND(Sheet1!D135*1000,1)</f>
        <v>#VALUE!</v>
      </c>
      <c r="E135">
        <f>ROUND(Sheet1!E135*1000,1)</f>
        <v>950.4</v>
      </c>
      <c r="F135">
        <f>ROUND(Sheet1!F135*1000,1)</f>
        <v>496.4</v>
      </c>
      <c r="G135">
        <f>ROUND(Sheet1!G135*1000,1)</f>
        <v>2218.1</v>
      </c>
      <c r="H135">
        <f>ROUND(Sheet1!H135*1000,1)</f>
        <v>1046.2</v>
      </c>
      <c r="I135">
        <f>ROUND(Sheet1!I135*1000,1)</f>
        <v>757.2</v>
      </c>
      <c r="J135">
        <f>ROUND(Sheet1!J135*1000,1)</f>
        <v>498.8</v>
      </c>
      <c r="K135">
        <f>ROUND(Sheet1!K135*1000,1)</f>
        <v>834.9</v>
      </c>
      <c r="L135">
        <f>ROUND(Sheet1!L135*1000,1)</f>
        <v>395.2</v>
      </c>
    </row>
    <row r="136" spans="1:12" ht="16.5" x14ac:dyDescent="0.35">
      <c r="A136" t="s">
        <v>142</v>
      </c>
      <c r="B136" s="1" t="s">
        <v>150</v>
      </c>
      <c r="C136">
        <f>ROUND(Sheet1!C136*1000,1)</f>
        <v>843.3</v>
      </c>
      <c r="D136">
        <f>ROUND(Sheet1!D136*1000,1)</f>
        <v>721.6</v>
      </c>
      <c r="E136">
        <f>ROUND(Sheet1!E136*1000,1)</f>
        <v>69.8</v>
      </c>
      <c r="F136">
        <f>ROUND(Sheet1!F136*1000,1)</f>
        <v>69.7</v>
      </c>
      <c r="G136">
        <f>ROUND(Sheet1!G136*1000,1)</f>
        <v>228.9</v>
      </c>
      <c r="H136">
        <f>ROUND(Sheet1!H136*1000,1)</f>
        <v>210.3</v>
      </c>
      <c r="I136">
        <f>ROUND(Sheet1!I136*1000,1)</f>
        <v>141.69999999999999</v>
      </c>
      <c r="J136">
        <f>ROUND(Sheet1!J136*1000,1)</f>
        <v>134.19999999999999</v>
      </c>
      <c r="K136">
        <f>ROUND(Sheet1!K136*1000,1)</f>
        <v>93.5</v>
      </c>
      <c r="L136">
        <f>ROUND(Sheet1!L136*1000,1)</f>
        <v>85.4</v>
      </c>
    </row>
    <row r="137" spans="1:12" ht="16.5" x14ac:dyDescent="0.35">
      <c r="A137" t="s">
        <v>143</v>
      </c>
      <c r="B137" s="1" t="s">
        <v>150</v>
      </c>
      <c r="C137">
        <f>ROUND(Sheet1!C137*1000,1)</f>
        <v>317.3</v>
      </c>
      <c r="D137">
        <f>ROUND(Sheet1!D137*1000,1)</f>
        <v>207.5</v>
      </c>
      <c r="E137">
        <f>ROUND(Sheet1!E137*1000,1)</f>
        <v>618.6</v>
      </c>
      <c r="F137">
        <f>ROUND(Sheet1!F137*1000,1)</f>
        <v>219.7</v>
      </c>
      <c r="G137">
        <f>ROUND(Sheet1!G137*1000,1)</f>
        <v>424</v>
      </c>
      <c r="H137">
        <f>ROUND(Sheet1!H137*1000,1)</f>
        <v>37.799999999999997</v>
      </c>
      <c r="I137">
        <f>ROUND(Sheet1!I137*1000,1)</f>
        <v>205.6</v>
      </c>
      <c r="J137">
        <f>ROUND(Sheet1!J137*1000,1)</f>
        <v>191.2</v>
      </c>
      <c r="K137">
        <f>ROUND(Sheet1!K137*1000,1)</f>
        <v>128.6</v>
      </c>
      <c r="L137">
        <f>ROUND(Sheet1!L137*1000,1)</f>
        <v>97.1</v>
      </c>
    </row>
    <row r="138" spans="1:12" ht="16.5" x14ac:dyDescent="0.35">
      <c r="A138" t="s">
        <v>144</v>
      </c>
      <c r="B138" s="1" t="s">
        <v>150</v>
      </c>
      <c r="C138">
        <f>ROUND(Sheet1!C138*1000,1)</f>
        <v>89.1</v>
      </c>
      <c r="D138">
        <f>ROUND(Sheet1!D138*1000,1)</f>
        <v>59.7</v>
      </c>
      <c r="E138">
        <f>ROUND(Sheet1!E138*1000,1)</f>
        <v>59.9</v>
      </c>
      <c r="F138">
        <f>ROUND(Sheet1!F138*1000,1)</f>
        <v>55.9</v>
      </c>
      <c r="G138">
        <f>ROUND(Sheet1!G138*1000,1)</f>
        <v>37.299999999999997</v>
      </c>
      <c r="H138">
        <f>ROUND(Sheet1!H138*1000,1)</f>
        <v>25.9</v>
      </c>
      <c r="I138">
        <f>ROUND(Sheet1!I138*1000,1)</f>
        <v>45.7</v>
      </c>
      <c r="J138">
        <f>ROUND(Sheet1!J138*1000,1)</f>
        <v>29.9</v>
      </c>
      <c r="K138">
        <f>ROUND(Sheet1!K138*1000,1)</f>
        <v>81.8</v>
      </c>
      <c r="L138">
        <f>ROUND(Sheet1!L138*1000,1)</f>
        <v>61.4</v>
      </c>
    </row>
    <row r="139" spans="1:12" ht="16.5" x14ac:dyDescent="0.35">
      <c r="A139" t="s">
        <v>145</v>
      </c>
      <c r="B139" s="1" t="s">
        <v>150</v>
      </c>
      <c r="C139">
        <f>ROUND(Sheet1!C139*1000,1)</f>
        <v>82.4</v>
      </c>
      <c r="D139">
        <f>ROUND(Sheet1!D139*1000,1)</f>
        <v>57.3</v>
      </c>
      <c r="E139">
        <f>ROUND(Sheet1!E139*1000,1)</f>
        <v>296.2</v>
      </c>
      <c r="F139">
        <f>ROUND(Sheet1!F139*1000,1)</f>
        <v>128.9</v>
      </c>
      <c r="G139">
        <f>ROUND(Sheet1!G139*1000,1)</f>
        <v>35.1</v>
      </c>
      <c r="H139">
        <f>ROUND(Sheet1!H139*1000,1)</f>
        <v>23.2</v>
      </c>
      <c r="I139">
        <f>ROUND(Sheet1!I139*1000,1)</f>
        <v>44.4</v>
      </c>
      <c r="J139">
        <f>ROUND(Sheet1!J139*1000,1)</f>
        <v>30</v>
      </c>
      <c r="K139">
        <f>ROUND(Sheet1!K139*1000,1)</f>
        <v>100</v>
      </c>
      <c r="L139">
        <f>ROUND(Sheet1!L139*1000,1)</f>
        <v>66.5</v>
      </c>
    </row>
    <row r="140" spans="1:12" ht="16.5" x14ac:dyDescent="0.35">
      <c r="A140" t="s">
        <v>146</v>
      </c>
      <c r="B140" s="1" t="s">
        <v>150</v>
      </c>
      <c r="C140">
        <f>ROUND(Sheet1!C140*1000,1)</f>
        <v>350.9</v>
      </c>
      <c r="D140">
        <f>ROUND(Sheet1!D140*1000,1)</f>
        <v>280.8</v>
      </c>
      <c r="E140">
        <f>ROUND(Sheet1!E140*1000,1)</f>
        <v>64.3</v>
      </c>
      <c r="F140">
        <f>ROUND(Sheet1!F140*1000,1)</f>
        <v>62.6</v>
      </c>
      <c r="G140">
        <f>ROUND(Sheet1!G140*1000,1)</f>
        <v>3.3</v>
      </c>
      <c r="H140">
        <f>ROUND(Sheet1!H140*1000,1)</f>
        <v>2.2999999999999998</v>
      </c>
      <c r="I140">
        <f>ROUND(Sheet1!I140*1000,1)</f>
        <v>113.6</v>
      </c>
      <c r="J140">
        <f>ROUND(Sheet1!J140*1000,1)</f>
        <v>103.5</v>
      </c>
      <c r="K140">
        <f>ROUND(Sheet1!K140*1000,1)</f>
        <v>1.9</v>
      </c>
      <c r="L140">
        <f>ROUND(Sheet1!L140*1000,1)</f>
        <v>1.3</v>
      </c>
    </row>
    <row r="141" spans="1:12" ht="16.5" x14ac:dyDescent="0.35">
      <c r="A141" t="s">
        <v>147</v>
      </c>
      <c r="B141" s="1" t="s">
        <v>150</v>
      </c>
      <c r="C141">
        <f>ROUND(Sheet1!C141*1000,1)</f>
        <v>605.29999999999995</v>
      </c>
      <c r="D141">
        <f>ROUND(Sheet1!D141*1000,1)</f>
        <v>188.6</v>
      </c>
      <c r="E141">
        <f>ROUND(Sheet1!E141*1000,1)</f>
        <v>670</v>
      </c>
      <c r="F141">
        <f>ROUND(Sheet1!F141*1000,1)</f>
        <v>180</v>
      </c>
      <c r="G141">
        <f>ROUND(Sheet1!G141*1000,1)</f>
        <v>12.8</v>
      </c>
      <c r="H141">
        <f>ROUND(Sheet1!H141*1000,1)</f>
        <v>4.2</v>
      </c>
      <c r="I141">
        <f>ROUND(Sheet1!I141*1000,1)</f>
        <v>813.6</v>
      </c>
      <c r="J141">
        <f>ROUND(Sheet1!J141*1000,1)</f>
        <v>183.6</v>
      </c>
      <c r="K141">
        <f>ROUND(Sheet1!K141*1000,1)</f>
        <v>2.1</v>
      </c>
      <c r="L141">
        <f>ROUND(Sheet1!L141*1000,1)</f>
        <v>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2EBD-E4AF-4CC6-910A-3D58F4CEA45B}">
  <sheetPr codeName="Sheet3"/>
  <dimension ref="A1:G141"/>
  <sheetViews>
    <sheetView tabSelected="1" workbookViewId="0">
      <selection activeCell="C2" sqref="C2:G141"/>
    </sheetView>
  </sheetViews>
  <sheetFormatPr defaultRowHeight="14.5" x14ac:dyDescent="0.35"/>
  <cols>
    <col min="1" max="2" width="19.90625" customWidth="1"/>
    <col min="3" max="7" width="15.453125" customWidth="1"/>
  </cols>
  <sheetData>
    <row r="1" spans="1:7" x14ac:dyDescent="0.35">
      <c r="A1" s="4" t="s">
        <v>8</v>
      </c>
      <c r="B1" s="4" t="s">
        <v>148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ht="16.5" x14ac:dyDescent="0.35">
      <c r="A2" t="s">
        <v>0</v>
      </c>
      <c r="B2" s="1" t="s">
        <v>150</v>
      </c>
      <c r="C2" s="3" t="str">
        <f>'Sheet1 (2)'!C2&amp;"±"&amp;'Sheet1 (2)'!D2</f>
        <v>3075.1±652.3</v>
      </c>
      <c r="D2" s="3" t="str">
        <f>'Sheet1 (2)'!E2&amp;"±"&amp;'Sheet1 (2)'!F2</f>
        <v>3153.3±369</v>
      </c>
      <c r="E2" s="3" t="str">
        <f>'Sheet1 (2)'!G2&amp;"±"&amp;'Sheet1 (2)'!H2</f>
        <v>1422±515.9</v>
      </c>
      <c r="F2" s="3" t="str">
        <f>'Sheet1 (2)'!I2&amp;"±"&amp;'Sheet1 (2)'!J2</f>
        <v>2308.4±438.4</v>
      </c>
      <c r="G2" s="3" t="str">
        <f>'Sheet1 (2)'!K2&amp;"±"&amp;'Sheet1 (2)'!L2</f>
        <v>839.2±249.4</v>
      </c>
    </row>
    <row r="3" spans="1:7" ht="16.5" x14ac:dyDescent="0.35">
      <c r="A3" t="s">
        <v>9</v>
      </c>
      <c r="B3" s="1" t="s">
        <v>150</v>
      </c>
      <c r="C3" s="3" t="str">
        <f>'Sheet1 (2)'!C3&amp;"±"&amp;'Sheet1 (2)'!D3</f>
        <v>4400.3±2475</v>
      </c>
      <c r="D3" s="3" t="str">
        <f>'Sheet1 (2)'!E3&amp;"±"&amp;'Sheet1 (2)'!F3</f>
        <v>2271±1466.8</v>
      </c>
      <c r="E3" s="3" t="str">
        <f>'Sheet1 (2)'!G3&amp;"±"&amp;'Sheet1 (2)'!H3</f>
        <v>2562.1±2147.1</v>
      </c>
      <c r="F3" s="3" t="str">
        <f>'Sheet1 (2)'!I3&amp;"±"&amp;'Sheet1 (2)'!J3</f>
        <v>3222±1868.8</v>
      </c>
      <c r="G3" s="3" t="str">
        <f>'Sheet1 (2)'!K3&amp;"±"&amp;'Sheet1 (2)'!L3</f>
        <v>1798.3±1133.8</v>
      </c>
    </row>
    <row r="4" spans="1:7" ht="16.5" x14ac:dyDescent="0.35">
      <c r="A4" t="s">
        <v>10</v>
      </c>
      <c r="B4" s="1" t="s">
        <v>150</v>
      </c>
      <c r="C4" s="3" t="str">
        <f>'Sheet1 (2)'!C4&amp;"±"&amp;'Sheet1 (2)'!D4</f>
        <v>1823.1±1162.4</v>
      </c>
      <c r="D4" s="3" t="str">
        <f>'Sheet1 (2)'!E4&amp;"±"&amp;'Sheet1 (2)'!F4</f>
        <v>2218.7±1439.1</v>
      </c>
      <c r="E4" s="3" t="str">
        <f>'Sheet1 (2)'!G4&amp;"±"&amp;'Sheet1 (2)'!H4</f>
        <v>6141.8±2393.4</v>
      </c>
      <c r="F4" s="3" t="str">
        <f>'Sheet1 (2)'!I4&amp;"±"&amp;'Sheet1 (2)'!J4</f>
        <v>1281.9±754</v>
      </c>
      <c r="G4" s="3" t="str">
        <f>'Sheet1 (2)'!K4&amp;"±"&amp;'Sheet1 (2)'!L4</f>
        <v>1922.7±1090.2</v>
      </c>
    </row>
    <row r="5" spans="1:7" ht="16.5" x14ac:dyDescent="0.35">
      <c r="A5" t="s">
        <v>11</v>
      </c>
      <c r="B5" s="1" t="s">
        <v>150</v>
      </c>
      <c r="C5" s="3" t="str">
        <f>'Sheet1 (2)'!C5&amp;"±"&amp;'Sheet1 (2)'!D5</f>
        <v>3112.2±1992.5</v>
      </c>
      <c r="D5" s="3" t="str">
        <f>'Sheet1 (2)'!E5&amp;"±"&amp;'Sheet1 (2)'!F5</f>
        <v>672.9±432</v>
      </c>
      <c r="E5" s="3" t="str">
        <f>'Sheet1 (2)'!G5&amp;"±"&amp;'Sheet1 (2)'!H5</f>
        <v>361.8±256.2</v>
      </c>
      <c r="F5" s="3" t="str">
        <f>'Sheet1 (2)'!I5&amp;"±"&amp;'Sheet1 (2)'!J5</f>
        <v>279.4±171.5</v>
      </c>
      <c r="G5" s="3" t="str">
        <f>'Sheet1 (2)'!K5&amp;"±"&amp;'Sheet1 (2)'!L5</f>
        <v>317.7±208.3</v>
      </c>
    </row>
    <row r="6" spans="1:7" ht="16.5" x14ac:dyDescent="0.35">
      <c r="A6" t="s">
        <v>12</v>
      </c>
      <c r="B6" s="1" t="s">
        <v>150</v>
      </c>
      <c r="C6" s="3" t="str">
        <f>'Sheet1 (2)'!C6&amp;"±"&amp;'Sheet1 (2)'!D6</f>
        <v>1787.8±1131.4</v>
      </c>
      <c r="D6" s="3" t="str">
        <f>'Sheet1 (2)'!E6&amp;"±"&amp;'Sheet1 (2)'!F6</f>
        <v>1071.1±724.1</v>
      </c>
      <c r="E6" s="3" t="str">
        <f>'Sheet1 (2)'!G6&amp;"±"&amp;'Sheet1 (2)'!H6</f>
        <v>348.3±249.4</v>
      </c>
      <c r="F6" s="3" t="str">
        <f>'Sheet1 (2)'!I6&amp;"±"&amp;'Sheet1 (2)'!J6</f>
        <v>2834.6±1798.2</v>
      </c>
      <c r="G6" s="3" t="str">
        <f>'Sheet1 (2)'!K6&amp;"±"&amp;'Sheet1 (2)'!L6</f>
        <v>550.8±389.4</v>
      </c>
    </row>
    <row r="7" spans="1:7" ht="16.5" x14ac:dyDescent="0.35">
      <c r="A7" t="s">
        <v>13</v>
      </c>
      <c r="B7" s="1" t="s">
        <v>150</v>
      </c>
      <c r="C7" s="3" t="str">
        <f>'Sheet1 (2)'!C7&amp;"±"&amp;'Sheet1 (2)'!D7</f>
        <v>2161.4±1179.5</v>
      </c>
      <c r="D7" s="3" t="str">
        <f>'Sheet1 (2)'!E7&amp;"±"&amp;'Sheet1 (2)'!F7</f>
        <v>3354.6±1469.8</v>
      </c>
      <c r="E7" s="3" t="str">
        <f>'Sheet1 (2)'!G7&amp;"±"&amp;'Sheet1 (2)'!H7</f>
        <v>3083±2386</v>
      </c>
      <c r="F7" s="3" t="str">
        <f>'Sheet1 (2)'!I7&amp;"±"&amp;'Sheet1 (2)'!J7</f>
        <v>1328.3±753.7</v>
      </c>
      <c r="G7" s="3" t="str">
        <f>'Sheet1 (2)'!K7&amp;"±"&amp;'Sheet1 (2)'!L7</f>
        <v>1735.4±1094.5</v>
      </c>
    </row>
    <row r="8" spans="1:7" ht="16.5" x14ac:dyDescent="0.35">
      <c r="A8" t="s">
        <v>14</v>
      </c>
      <c r="B8" s="1" t="s">
        <v>150</v>
      </c>
      <c r="C8" s="3" t="str">
        <f>'Sheet1 (2)'!C8&amp;"±"&amp;'Sheet1 (2)'!D8</f>
        <v>3478.7±2017</v>
      </c>
      <c r="D8" s="3" t="str">
        <f>'Sheet1 (2)'!E8&amp;"±"&amp;'Sheet1 (2)'!F8</f>
        <v>702±436.4</v>
      </c>
      <c r="E8" s="3" t="str">
        <f>'Sheet1 (2)'!G8&amp;"±"&amp;'Sheet1 (2)'!H8</f>
        <v>523.5±265.6</v>
      </c>
      <c r="F8" s="3" t="str">
        <f>'Sheet1 (2)'!I8&amp;"±"&amp;'Sheet1 (2)'!J8</f>
        <v>283.4±172.6</v>
      </c>
      <c r="G8" s="3" t="str">
        <f>'Sheet1 (2)'!K8&amp;"±"&amp;'Sheet1 (2)'!L8</f>
        <v>350.1±212.6</v>
      </c>
    </row>
    <row r="9" spans="1:7" ht="16.5" x14ac:dyDescent="0.35">
      <c r="A9" t="s">
        <v>15</v>
      </c>
      <c r="B9" s="1" t="s">
        <v>150</v>
      </c>
      <c r="C9" s="3" t="str">
        <f>'Sheet1 (2)'!C9&amp;"±"&amp;'Sheet1 (2)'!D9</f>
        <v>1835.4±1145.2</v>
      </c>
      <c r="D9" s="3" t="str">
        <f>'Sheet1 (2)'!E9&amp;"±"&amp;'Sheet1 (2)'!F9</f>
        <v>1367.7±766</v>
      </c>
      <c r="E9" s="3" t="str">
        <f>'Sheet1 (2)'!G9&amp;"±"&amp;'Sheet1 (2)'!H9</f>
        <v>377.5±257.3</v>
      </c>
      <c r="F9" s="3" t="str">
        <f>'Sheet1 (2)'!I9&amp;"±"&amp;'Sheet1 (2)'!J9</f>
        <v>3918.7±1817.3</v>
      </c>
      <c r="G9" s="3" t="str">
        <f>'Sheet1 (2)'!K9&amp;"±"&amp;'Sheet1 (2)'!L9</f>
        <v>552±378.8</v>
      </c>
    </row>
    <row r="10" spans="1:7" ht="16.5" x14ac:dyDescent="0.35">
      <c r="A10" t="s">
        <v>16</v>
      </c>
      <c r="B10" s="1" t="s">
        <v>150</v>
      </c>
      <c r="C10" s="3" t="str">
        <f>'Sheet1 (2)'!C10&amp;"±"&amp;'Sheet1 (2)'!D10</f>
        <v>306.1±214.9</v>
      </c>
      <c r="D10" s="3" t="str">
        <f>'Sheet1 (2)'!E10&amp;"±"&amp;'Sheet1 (2)'!F10</f>
        <v>350.2±227.3</v>
      </c>
      <c r="E10" s="3" t="str">
        <f>'Sheet1 (2)'!G10&amp;"±"&amp;'Sheet1 (2)'!H10</f>
        <v>211.5±166.7</v>
      </c>
      <c r="F10" s="3" t="str">
        <f>'Sheet1 (2)'!I10&amp;"±"&amp;'Sheet1 (2)'!J10</f>
        <v>280.1±212.2</v>
      </c>
      <c r="G10" s="3" t="str">
        <f>'Sheet1 (2)'!K10&amp;"±"&amp;'Sheet1 (2)'!L10</f>
        <v>181.5±130.1</v>
      </c>
    </row>
    <row r="11" spans="1:7" ht="16.5" x14ac:dyDescent="0.35">
      <c r="A11" t="s">
        <v>17</v>
      </c>
      <c r="B11" s="1" t="s">
        <v>150</v>
      </c>
      <c r="C11" s="3" t="str">
        <f>'Sheet1 (2)'!C11&amp;"±"&amp;'Sheet1 (2)'!D11</f>
        <v>404.2±241.6</v>
      </c>
      <c r="D11" s="3" t="str">
        <f>'Sheet1 (2)'!E11&amp;"±"&amp;'Sheet1 (2)'!F11</f>
        <v>389.1±235.4</v>
      </c>
      <c r="E11" s="3" t="str">
        <f>'Sheet1 (2)'!G11&amp;"±"&amp;'Sheet1 (2)'!H11</f>
        <v>560.7±242</v>
      </c>
      <c r="F11" s="3" t="str">
        <f>'Sheet1 (2)'!I11&amp;"±"&amp;'Sheet1 (2)'!J11</f>
        <v>475.7±267.5</v>
      </c>
      <c r="G11" s="3" t="str">
        <f>'Sheet1 (2)'!K11&amp;"±"&amp;'Sheet1 (2)'!L11</f>
        <v>223.8±144.3</v>
      </c>
    </row>
    <row r="12" spans="1:7" ht="16.5" x14ac:dyDescent="0.35">
      <c r="A12" t="s">
        <v>18</v>
      </c>
      <c r="B12" s="1" t="s">
        <v>150</v>
      </c>
      <c r="C12" s="3" t="str">
        <f>'Sheet1 (2)'!C12&amp;"±"&amp;'Sheet1 (2)'!D12</f>
        <v>177.9±154.4</v>
      </c>
      <c r="D12" s="3" t="str">
        <f>'Sheet1 (2)'!E12&amp;"±"&amp;'Sheet1 (2)'!F12</f>
        <v>89.8±73.5</v>
      </c>
      <c r="E12" s="3" t="str">
        <f>'Sheet1 (2)'!G12&amp;"±"&amp;'Sheet1 (2)'!H12</f>
        <v>145.2±106.3</v>
      </c>
      <c r="F12" s="3" t="str">
        <f>'Sheet1 (2)'!I12&amp;"±"&amp;'Sheet1 (2)'!J12</f>
        <v>225.1±189.6</v>
      </c>
      <c r="G12" s="3" t="str">
        <f>'Sheet1 (2)'!K12&amp;"±"&amp;'Sheet1 (2)'!L12</f>
        <v>132.2±108.6</v>
      </c>
    </row>
    <row r="13" spans="1:7" ht="16.5" x14ac:dyDescent="0.35">
      <c r="A13" t="s">
        <v>19</v>
      </c>
      <c r="B13" s="1" t="s">
        <v>150</v>
      </c>
      <c r="C13" s="3" t="str">
        <f>'Sheet1 (2)'!C13&amp;"±"&amp;'Sheet1 (2)'!D13</f>
        <v>6640.5±1503.8</v>
      </c>
      <c r="D13" s="3" t="str">
        <f>'Sheet1 (2)'!E13&amp;"±"&amp;'Sheet1 (2)'!F13</f>
        <v>3356±700.3</v>
      </c>
      <c r="E13" s="3" t="str">
        <f>'Sheet1 (2)'!G13&amp;"±"&amp;'Sheet1 (2)'!H13</f>
        <v>3777.3±600.3</v>
      </c>
      <c r="F13" s="3" t="str">
        <f>'Sheet1 (2)'!I13&amp;"±"&amp;'Sheet1 (2)'!J13</f>
        <v>3647.8±681.9</v>
      </c>
      <c r="G13" s="3" t="str">
        <f>'Sheet1 (2)'!K13&amp;"±"&amp;'Sheet1 (2)'!L13</f>
        <v>2391.8±514.8</v>
      </c>
    </row>
    <row r="14" spans="1:7" ht="16.5" x14ac:dyDescent="0.35">
      <c r="A14" t="s">
        <v>20</v>
      </c>
      <c r="B14" s="1" t="s">
        <v>150</v>
      </c>
      <c r="C14" s="3" t="str">
        <f>'Sheet1 (2)'!C14&amp;"±"&amp;'Sheet1 (2)'!D14</f>
        <v>1576.4±468.6</v>
      </c>
      <c r="D14" s="3" t="str">
        <f>'Sheet1 (2)'!E14&amp;"±"&amp;'Sheet1 (2)'!F14</f>
        <v>2198.7±459.1</v>
      </c>
      <c r="E14" s="3" t="str">
        <f>'Sheet1 (2)'!G14&amp;"±"&amp;'Sheet1 (2)'!H14</f>
        <v>6320.4±904.4</v>
      </c>
      <c r="F14" s="3" t="str">
        <f>'Sheet1 (2)'!I14&amp;"±"&amp;'Sheet1 (2)'!J14</f>
        <v>1311.1±412.9</v>
      </c>
      <c r="G14" s="3" t="str">
        <f>'Sheet1 (2)'!K14&amp;"±"&amp;'Sheet1 (2)'!L14</f>
        <v>1742.7±383.1</v>
      </c>
    </row>
    <row r="15" spans="1:7" ht="16.5" x14ac:dyDescent="0.35">
      <c r="A15" t="s">
        <v>21</v>
      </c>
      <c r="B15" s="1" t="s">
        <v>150</v>
      </c>
      <c r="C15" s="3" t="str">
        <f>'Sheet1 (2)'!C15&amp;"±"&amp;'Sheet1 (2)'!D15</f>
        <v>241±218.6</v>
      </c>
      <c r="D15" s="3" t="str">
        <f>'Sheet1 (2)'!E15&amp;"±"&amp;'Sheet1 (2)'!F15</f>
        <v>103.4±81.6</v>
      </c>
      <c r="E15" s="3" t="str">
        <f>'Sheet1 (2)'!G15&amp;"±"&amp;'Sheet1 (2)'!H15</f>
        <v>48.1±32.6</v>
      </c>
      <c r="F15" s="3" t="str">
        <f>'Sheet1 (2)'!I15&amp;"±"&amp;'Sheet1 (2)'!J15</f>
        <v>294.6±262.3</v>
      </c>
      <c r="G15" s="3" t="str">
        <f>'Sheet1 (2)'!K15&amp;"±"&amp;'Sheet1 (2)'!L15</f>
        <v>212.5±184.4</v>
      </c>
    </row>
    <row r="16" spans="1:7" ht="16.5" x14ac:dyDescent="0.35">
      <c r="A16" t="s">
        <v>22</v>
      </c>
      <c r="B16" s="1" t="s">
        <v>150</v>
      </c>
      <c r="C16" s="3" t="str">
        <f>'Sheet1 (2)'!C16&amp;"±"&amp;'Sheet1 (2)'!D16</f>
        <v>559.4±400</v>
      </c>
      <c r="D16" s="3" t="str">
        <f>'Sheet1 (2)'!E16&amp;"±"&amp;'Sheet1 (2)'!F16</f>
        <v>851±487.4</v>
      </c>
      <c r="E16" s="3" t="str">
        <f>'Sheet1 (2)'!G16&amp;"±"&amp;'Sheet1 (2)'!H16</f>
        <v>238.7±192.5</v>
      </c>
      <c r="F16" s="3" t="str">
        <f>'Sheet1 (2)'!I16&amp;"±"&amp;'Sheet1 (2)'!J16</f>
        <v>387.8±297.6</v>
      </c>
      <c r="G16" s="3" t="str">
        <f>'Sheet1 (2)'!K16&amp;"±"&amp;'Sheet1 (2)'!L16</f>
        <v>390.1±270.4</v>
      </c>
    </row>
    <row r="17" spans="1:7" ht="16.5" x14ac:dyDescent="0.35">
      <c r="A17" t="s">
        <v>23</v>
      </c>
      <c r="B17" s="1" t="s">
        <v>150</v>
      </c>
      <c r="C17" s="3" t="str">
        <f>'Sheet1 (2)'!C17&amp;"±"&amp;'Sheet1 (2)'!D17</f>
        <v>68.9±33.7</v>
      </c>
      <c r="D17" s="3" t="str">
        <f>'Sheet1 (2)'!E17&amp;"±"&amp;'Sheet1 (2)'!F17</f>
        <v>208.7±125.9</v>
      </c>
      <c r="E17" s="3" t="str">
        <f>'Sheet1 (2)'!G17&amp;"±"&amp;'Sheet1 (2)'!H17</f>
        <v>3.7±2.2</v>
      </c>
      <c r="F17" s="3" t="str">
        <f>'Sheet1 (2)'!I17&amp;"±"&amp;'Sheet1 (2)'!J17</f>
        <v>71±36.3</v>
      </c>
      <c r="G17" s="3" t="str">
        <f>'Sheet1 (2)'!K17&amp;"±"&amp;'Sheet1 (2)'!L17</f>
        <v>0.5±0.3</v>
      </c>
    </row>
    <row r="18" spans="1:7" ht="16.5" x14ac:dyDescent="0.35">
      <c r="A18" t="s">
        <v>24</v>
      </c>
      <c r="B18" s="1" t="s">
        <v>150</v>
      </c>
      <c r="C18" s="3" t="str">
        <f>'Sheet1 (2)'!C18&amp;"±"&amp;'Sheet1 (2)'!D18</f>
        <v>789.8±420.6</v>
      </c>
      <c r="D18" s="3" t="str">
        <f>'Sheet1 (2)'!E18&amp;"±"&amp;'Sheet1 (2)'!F18</f>
        <v>1400.2±600.2</v>
      </c>
      <c r="E18" s="3" t="str">
        <f>'Sheet1 (2)'!G18&amp;"±"&amp;'Sheet1 (2)'!H18</f>
        <v>673.8±457.2</v>
      </c>
      <c r="F18" s="3" t="str">
        <f>'Sheet1 (2)'!I18&amp;"±"&amp;'Sheet1 (2)'!J18</f>
        <v>247±173.5</v>
      </c>
      <c r="G18" s="3" t="str">
        <f>'Sheet1 (2)'!K18&amp;"±"&amp;'Sheet1 (2)'!L18</f>
        <v>892.8±430.8</v>
      </c>
    </row>
    <row r="19" spans="1:7" ht="16.5" x14ac:dyDescent="0.35">
      <c r="A19" t="s">
        <v>25</v>
      </c>
      <c r="B19" s="1" t="s">
        <v>150</v>
      </c>
      <c r="C19" s="3" t="str">
        <f>'Sheet1 (2)'!C19&amp;"±"&amp;'Sheet1 (2)'!D19</f>
        <v>749.1±477.1</v>
      </c>
      <c r="D19" s="3" t="str">
        <f>'Sheet1 (2)'!E19&amp;"±"&amp;'Sheet1 (2)'!F19</f>
        <v>811.3±358.7</v>
      </c>
      <c r="E19" s="3" t="str">
        <f>'Sheet1 (2)'!G19&amp;"±"&amp;'Sheet1 (2)'!H19</f>
        <v>1940.1±868.8</v>
      </c>
      <c r="F19" s="3" t="str">
        <f>'Sheet1 (2)'!I19&amp;"±"&amp;'Sheet1 (2)'!J19</f>
        <v>298.6±253.4</v>
      </c>
      <c r="G19" s="3" t="str">
        <f>'Sheet1 (2)'!K19&amp;"±"&amp;'Sheet1 (2)'!L19</f>
        <v>419.6±283</v>
      </c>
    </row>
    <row r="20" spans="1:7" ht="16.5" x14ac:dyDescent="0.35">
      <c r="A20" t="s">
        <v>26</v>
      </c>
      <c r="B20" s="1" t="s">
        <v>150</v>
      </c>
      <c r="C20" s="3" t="str">
        <f>'Sheet1 (2)'!C20&amp;"±"&amp;'Sheet1 (2)'!D20</f>
        <v>867.1±464.9</v>
      </c>
      <c r="D20" s="3" t="str">
        <f>'Sheet1 (2)'!E20&amp;"±"&amp;'Sheet1 (2)'!F20</f>
        <v>67.8±32.1</v>
      </c>
      <c r="E20" s="3" t="str">
        <f>'Sheet1 (2)'!G20&amp;"±"&amp;'Sheet1 (2)'!H20</f>
        <v>95±83</v>
      </c>
      <c r="F20" s="3" t="str">
        <f>'Sheet1 (2)'!I20&amp;"±"&amp;'Sheet1 (2)'!J20</f>
        <v>132.7±81.2</v>
      </c>
      <c r="G20" s="3" t="str">
        <f>'Sheet1 (2)'!K20&amp;"±"&amp;'Sheet1 (2)'!L20</f>
        <v>95.5±71.7</v>
      </c>
    </row>
    <row r="21" spans="1:7" ht="16.5" x14ac:dyDescent="0.35">
      <c r="A21" t="s">
        <v>27</v>
      </c>
      <c r="B21" s="1" t="s">
        <v>150</v>
      </c>
      <c r="C21" s="3" t="str">
        <f>'Sheet1 (2)'!C21&amp;"±"&amp;'Sheet1 (2)'!D21</f>
        <v>554±302.1</v>
      </c>
      <c r="D21" s="3" t="str">
        <f>'Sheet1 (2)'!E21&amp;"±"&amp;'Sheet1 (2)'!F21</f>
        <v>152.8±137</v>
      </c>
      <c r="E21" s="3" t="str">
        <f>'Sheet1 (2)'!G21&amp;"±"&amp;'Sheet1 (2)'!H21</f>
        <v>82.8±71.2</v>
      </c>
      <c r="F21" s="3" t="str">
        <f>'Sheet1 (2)'!I21&amp;"±"&amp;'Sheet1 (2)'!J21</f>
        <v>88.6±70.7</v>
      </c>
      <c r="G21" s="3" t="str">
        <f>'Sheet1 (2)'!K21&amp;"±"&amp;'Sheet1 (2)'!L21</f>
        <v>96±82.2</v>
      </c>
    </row>
    <row r="22" spans="1:7" ht="16.5" x14ac:dyDescent="0.35">
      <c r="A22" t="s">
        <v>28</v>
      </c>
      <c r="B22" s="1" t="s">
        <v>150</v>
      </c>
      <c r="C22" s="6" t="s">
        <v>1</v>
      </c>
      <c r="D22" s="3" t="str">
        <f>'Sheet1 (2)'!E22&amp;"±"&amp;'Sheet1 (2)'!F22</f>
        <v>141.8±124.8</v>
      </c>
      <c r="E22" s="3" t="str">
        <f>'Sheet1 (2)'!G22&amp;"±"&amp;'Sheet1 (2)'!H22</f>
        <v>56.7±43.7</v>
      </c>
      <c r="F22" s="3" t="str">
        <f>'Sheet1 (2)'!I22&amp;"±"&amp;'Sheet1 (2)'!J22</f>
        <v>62.7±52.6</v>
      </c>
      <c r="G22" s="3" t="str">
        <f>'Sheet1 (2)'!K22&amp;"±"&amp;'Sheet1 (2)'!L22</f>
        <v>89.7±75.9</v>
      </c>
    </row>
    <row r="23" spans="1:7" ht="16.5" x14ac:dyDescent="0.35">
      <c r="A23" t="s">
        <v>29</v>
      </c>
      <c r="B23" s="1" t="s">
        <v>150</v>
      </c>
      <c r="C23" s="3" t="str">
        <f>'Sheet1 (2)'!C23&amp;"±"&amp;'Sheet1 (2)'!D23</f>
        <v>19.1±15</v>
      </c>
      <c r="D23" s="3" t="str">
        <f>'Sheet1 (2)'!E23&amp;"±"&amp;'Sheet1 (2)'!F23</f>
        <v>41.8±35.2</v>
      </c>
      <c r="E23" s="3" t="str">
        <f>'Sheet1 (2)'!G23&amp;"±"&amp;'Sheet1 (2)'!H23</f>
        <v>7.3±5.8</v>
      </c>
      <c r="F23" s="3" t="str">
        <f>'Sheet1 (2)'!I23&amp;"±"&amp;'Sheet1 (2)'!J23</f>
        <v>10.1±8.2</v>
      </c>
      <c r="G23" s="3" t="str">
        <f>'Sheet1 (2)'!K23&amp;"±"&amp;'Sheet1 (2)'!L23</f>
        <v>20.4±16.2</v>
      </c>
    </row>
    <row r="24" spans="1:7" ht="16.5" x14ac:dyDescent="0.35">
      <c r="A24" t="s">
        <v>30</v>
      </c>
      <c r="B24" s="1" t="s">
        <v>150</v>
      </c>
      <c r="C24" s="3" t="str">
        <f>'Sheet1 (2)'!C24&amp;"±"&amp;'Sheet1 (2)'!D24</f>
        <v>10.2±8.1</v>
      </c>
      <c r="D24" s="3" t="str">
        <f>'Sheet1 (2)'!E24&amp;"±"&amp;'Sheet1 (2)'!F24</f>
        <v>33±27.2</v>
      </c>
      <c r="E24" s="3" t="str">
        <f>'Sheet1 (2)'!G24&amp;"±"&amp;'Sheet1 (2)'!H24</f>
        <v>5.1±4.1</v>
      </c>
      <c r="F24" s="3" t="str">
        <f>'Sheet1 (2)'!I24&amp;"±"&amp;'Sheet1 (2)'!J24</f>
        <v>6.5±5.4</v>
      </c>
      <c r="G24" s="3" t="str">
        <f>'Sheet1 (2)'!K24&amp;"±"&amp;'Sheet1 (2)'!L24</f>
        <v>0.8±0.7</v>
      </c>
    </row>
    <row r="25" spans="1:7" ht="16.5" x14ac:dyDescent="0.35">
      <c r="A25" t="s">
        <v>31</v>
      </c>
      <c r="B25" s="1" t="s">
        <v>150</v>
      </c>
      <c r="C25" s="3" t="str">
        <f>'Sheet1 (2)'!C25&amp;"±"&amp;'Sheet1 (2)'!D25</f>
        <v>1003.8±410.9</v>
      </c>
      <c r="D25" s="3" t="str">
        <f>'Sheet1 (2)'!E25&amp;"±"&amp;'Sheet1 (2)'!F25</f>
        <v>151.5±132</v>
      </c>
      <c r="E25" s="3" t="str">
        <f>'Sheet1 (2)'!G25&amp;"±"&amp;'Sheet1 (2)'!H25</f>
        <v>0.02±0.01</v>
      </c>
      <c r="F25" s="3" t="str">
        <f>'Sheet1 (2)'!I25&amp;"±"&amp;'Sheet1 (2)'!J25</f>
        <v>0.01±0.005</v>
      </c>
      <c r="G25" s="3" t="str">
        <f>'Sheet1 (2)'!K25&amp;"±"&amp;'Sheet1 (2)'!L25</f>
        <v>1.5±1.1</v>
      </c>
    </row>
    <row r="26" spans="1:7" ht="16.5" x14ac:dyDescent="0.35">
      <c r="A26" t="s">
        <v>32</v>
      </c>
      <c r="B26" s="1" t="s">
        <v>150</v>
      </c>
      <c r="C26" s="3" t="str">
        <f>'Sheet1 (2)'!C26&amp;"±"&amp;'Sheet1 (2)'!D26</f>
        <v>1560.8±840.5</v>
      </c>
      <c r="D26" s="3" t="str">
        <f>'Sheet1 (2)'!E26&amp;"±"&amp;'Sheet1 (2)'!F26</f>
        <v>326±170.7</v>
      </c>
      <c r="E26" s="3" t="str">
        <f>'Sheet1 (2)'!G26&amp;"±"&amp;'Sheet1 (2)'!H26</f>
        <v>124.1±80.9</v>
      </c>
      <c r="F26" s="3" t="str">
        <f>'Sheet1 (2)'!I26&amp;"±"&amp;'Sheet1 (2)'!J26</f>
        <v>111±60.5</v>
      </c>
      <c r="G26" s="3" t="str">
        <f>'Sheet1 (2)'!K26&amp;"±"&amp;'Sheet1 (2)'!L26</f>
        <v>145.8±78.6</v>
      </c>
    </row>
    <row r="27" spans="1:7" ht="16.5" x14ac:dyDescent="0.35">
      <c r="A27" t="s">
        <v>33</v>
      </c>
      <c r="B27" s="1" t="s">
        <v>150</v>
      </c>
      <c r="C27" s="3" t="str">
        <f>'Sheet1 (2)'!C27&amp;"±"&amp;'Sheet1 (2)'!D27</f>
        <v>2576±998.4</v>
      </c>
      <c r="D27" s="3" t="str">
        <f>'Sheet1 (2)'!E27&amp;"±"&amp;'Sheet1 (2)'!F27</f>
        <v>460.1±234.9</v>
      </c>
      <c r="E27" s="3" t="str">
        <f>'Sheet1 (2)'!G27&amp;"±"&amp;'Sheet1 (2)'!H27</f>
        <v>514.4±173.3</v>
      </c>
      <c r="F27" s="3" t="str">
        <f>'Sheet1 (2)'!I27&amp;"±"&amp;'Sheet1 (2)'!J27</f>
        <v>151.1±103.4</v>
      </c>
      <c r="G27" s="3" t="str">
        <f>'Sheet1 (2)'!K27&amp;"±"&amp;'Sheet1 (2)'!L27</f>
        <v>218.2±135</v>
      </c>
    </row>
    <row r="28" spans="1:7" ht="16.5" x14ac:dyDescent="0.35">
      <c r="A28" t="s">
        <v>34</v>
      </c>
      <c r="B28" s="1" t="s">
        <v>150</v>
      </c>
      <c r="C28" s="3" t="str">
        <f>'Sheet1 (2)'!C28&amp;"±"&amp;'Sheet1 (2)'!D28</f>
        <v>493.6±366.2</v>
      </c>
      <c r="D28" s="3" t="str">
        <f>'Sheet1 (2)'!E28&amp;"±"&amp;'Sheet1 (2)'!F28</f>
        <v>99.4±78.1</v>
      </c>
      <c r="E28" s="3" t="str">
        <f>'Sheet1 (2)'!G28&amp;"±"&amp;'Sheet1 (2)'!H28</f>
        <v>427.7±183.3</v>
      </c>
      <c r="F28" s="3" t="str">
        <f>'Sheet1 (2)'!I28&amp;"±"&amp;'Sheet1 (2)'!J28</f>
        <v>3518.3±589.7</v>
      </c>
      <c r="G28" s="3" t="str">
        <f>'Sheet1 (2)'!K28&amp;"±"&amp;'Sheet1 (2)'!L28</f>
        <v>587.7±271.3</v>
      </c>
    </row>
    <row r="29" spans="1:7" ht="16.5" x14ac:dyDescent="0.35">
      <c r="A29" t="s">
        <v>35</v>
      </c>
      <c r="B29" s="1" t="s">
        <v>150</v>
      </c>
      <c r="C29" s="3" t="str">
        <f>'Sheet1 (2)'!C29&amp;"±"&amp;'Sheet1 (2)'!D29</f>
        <v>429.8±287.4</v>
      </c>
      <c r="D29" s="3" t="str">
        <f>'Sheet1 (2)'!E29&amp;"±"&amp;'Sheet1 (2)'!F29</f>
        <v>845.3±293.1</v>
      </c>
      <c r="E29" s="3" t="str">
        <f>'Sheet1 (2)'!G29&amp;"±"&amp;'Sheet1 (2)'!H29</f>
        <v>254.9±109.1</v>
      </c>
      <c r="F29" s="3" t="str">
        <f>'Sheet1 (2)'!I29&amp;"±"&amp;'Sheet1 (2)'!J29</f>
        <v>290.7±125.2</v>
      </c>
      <c r="G29" s="3" t="str">
        <f>'Sheet1 (2)'!K29&amp;"±"&amp;'Sheet1 (2)'!L29</f>
        <v>348.7±154.2</v>
      </c>
    </row>
    <row r="30" spans="1:7" ht="16.5" x14ac:dyDescent="0.35">
      <c r="A30" t="s">
        <v>36</v>
      </c>
      <c r="B30" s="1" t="s">
        <v>150</v>
      </c>
      <c r="C30" s="6" t="s">
        <v>1</v>
      </c>
      <c r="D30" s="3" t="str">
        <f>'Sheet1 (2)'!E30&amp;"±"&amp;'Sheet1 (2)'!F30</f>
        <v>512.1±222.6</v>
      </c>
      <c r="E30" s="3" t="str">
        <f>'Sheet1 (2)'!G30&amp;"±"&amp;'Sheet1 (2)'!H30</f>
        <v>94.6±49.9</v>
      </c>
      <c r="F30" s="3" t="str">
        <f>'Sheet1 (2)'!I30&amp;"±"&amp;'Sheet1 (2)'!J30</f>
        <v>112.1±78.7</v>
      </c>
      <c r="G30" s="3" t="str">
        <f>'Sheet1 (2)'!K30&amp;"±"&amp;'Sheet1 (2)'!L30</f>
        <v>251.8±127.4</v>
      </c>
    </row>
    <row r="31" spans="1:7" ht="16.5" x14ac:dyDescent="0.35">
      <c r="A31" t="s">
        <v>37</v>
      </c>
      <c r="B31" s="1" t="s">
        <v>150</v>
      </c>
      <c r="C31" s="3" t="str">
        <f>'Sheet1 (2)'!C31&amp;"±"&amp;'Sheet1 (2)'!D31</f>
        <v>18.9±14.8</v>
      </c>
      <c r="D31" s="3" t="str">
        <f>'Sheet1 (2)'!E31&amp;"±"&amp;'Sheet1 (2)'!F31</f>
        <v>56±41.2</v>
      </c>
      <c r="E31" s="3" t="str">
        <f>'Sheet1 (2)'!G31&amp;"±"&amp;'Sheet1 (2)'!H31</f>
        <v>8.9±6.9</v>
      </c>
      <c r="F31" s="3" t="str">
        <f>'Sheet1 (2)'!I31&amp;"±"&amp;'Sheet1 (2)'!J31</f>
        <v>9.6±7.7</v>
      </c>
      <c r="G31" s="3" t="str">
        <f>'Sheet1 (2)'!K31&amp;"±"&amp;'Sheet1 (2)'!L31</f>
        <v>23.5±17.7</v>
      </c>
    </row>
    <row r="32" spans="1:7" ht="16.5" x14ac:dyDescent="0.35">
      <c r="A32" t="s">
        <v>38</v>
      </c>
      <c r="B32" s="1" t="s">
        <v>150</v>
      </c>
      <c r="C32" s="3" t="str">
        <f>'Sheet1 (2)'!C32&amp;"±"&amp;'Sheet1 (2)'!D32</f>
        <v>10.2±8.1</v>
      </c>
      <c r="D32" s="3" t="str">
        <f>'Sheet1 (2)'!E32&amp;"±"&amp;'Sheet1 (2)'!F32</f>
        <v>39.4±30.5</v>
      </c>
      <c r="E32" s="3" t="str">
        <f>'Sheet1 (2)'!G32&amp;"±"&amp;'Sheet1 (2)'!H32</f>
        <v>5.6±4.3</v>
      </c>
      <c r="F32" s="3" t="str">
        <f>'Sheet1 (2)'!I32&amp;"±"&amp;'Sheet1 (2)'!J32</f>
        <v>6.4±5.3</v>
      </c>
      <c r="G32" s="3" t="str">
        <f>'Sheet1 (2)'!K32&amp;"±"&amp;'Sheet1 (2)'!L32</f>
        <v>0.8±0.7</v>
      </c>
    </row>
    <row r="33" spans="1:7" ht="16.5" x14ac:dyDescent="0.35">
      <c r="A33" t="s">
        <v>39</v>
      </c>
      <c r="B33" s="1" t="s">
        <v>150</v>
      </c>
      <c r="C33" s="3" t="str">
        <f>'Sheet1 (2)'!C33&amp;"±"&amp;'Sheet1 (2)'!D33</f>
        <v>2419.4±630.7</v>
      </c>
      <c r="D33" s="3" t="str">
        <f>'Sheet1 (2)'!E33&amp;"±"&amp;'Sheet1 (2)'!F33</f>
        <v>1194.6±369.3</v>
      </c>
      <c r="E33" s="3" t="str">
        <f>'Sheet1 (2)'!G33&amp;"±"&amp;'Sheet1 (2)'!H33</f>
        <v>42.4±14.5</v>
      </c>
      <c r="F33" s="3" t="str">
        <f>'Sheet1 (2)'!I33&amp;"±"&amp;'Sheet1 (2)'!J33</f>
        <v>1800.3±405.6</v>
      </c>
      <c r="G33" s="3" t="str">
        <f>'Sheet1 (2)'!K33&amp;"±"&amp;'Sheet1 (2)'!L33</f>
        <v>7.8±1.8</v>
      </c>
    </row>
    <row r="34" spans="1:7" ht="16.5" x14ac:dyDescent="0.35">
      <c r="A34" t="s">
        <v>40</v>
      </c>
      <c r="B34" s="1" t="s">
        <v>150</v>
      </c>
      <c r="C34" s="3" t="str">
        <f>'Sheet1 (2)'!C34&amp;"±"&amp;'Sheet1 (2)'!D34</f>
        <v>865.7±456.3</v>
      </c>
      <c r="D34" s="3" t="str">
        <f>'Sheet1 (2)'!E34&amp;"±"&amp;'Sheet1 (2)'!F34</f>
        <v>609.8±277.2</v>
      </c>
      <c r="E34" s="3" t="str">
        <f>'Sheet1 (2)'!G34&amp;"±"&amp;'Sheet1 (2)'!H34</f>
        <v>181±96.1</v>
      </c>
      <c r="F34" s="3" t="str">
        <f>'Sheet1 (2)'!I34&amp;"±"&amp;'Sheet1 (2)'!J34</f>
        <v>1476.6±655.5</v>
      </c>
      <c r="G34" s="3" t="str">
        <f>'Sheet1 (2)'!K34&amp;"±"&amp;'Sheet1 (2)'!L34</f>
        <v>273.7±149.5</v>
      </c>
    </row>
    <row r="35" spans="1:7" ht="16.5" x14ac:dyDescent="0.35">
      <c r="A35" t="s">
        <v>41</v>
      </c>
      <c r="B35" s="1" t="s">
        <v>150</v>
      </c>
      <c r="C35" s="3" t="str">
        <f>'Sheet1 (2)'!C35&amp;"±"&amp;'Sheet1 (2)'!D35</f>
        <v>251.1±157.7</v>
      </c>
      <c r="D35" s="3" t="str">
        <f>'Sheet1 (2)'!E35&amp;"±"&amp;'Sheet1 (2)'!F35</f>
        <v>283.3±159.2</v>
      </c>
      <c r="E35" s="3" t="str">
        <f>'Sheet1 (2)'!G35&amp;"±"&amp;'Sheet1 (2)'!H35</f>
        <v>161±107.4</v>
      </c>
      <c r="F35" s="3" t="str">
        <f>'Sheet1 (2)'!I35&amp;"±"&amp;'Sheet1 (2)'!J35</f>
        <v>207.1±134.6</v>
      </c>
      <c r="G35" s="3" t="str">
        <f>'Sheet1 (2)'!K35&amp;"±"&amp;'Sheet1 (2)'!L35</f>
        <v>180.5±117.1</v>
      </c>
    </row>
    <row r="36" spans="1:7" ht="16.5" x14ac:dyDescent="0.35">
      <c r="A36" t="s">
        <v>42</v>
      </c>
      <c r="B36" s="1" t="s">
        <v>150</v>
      </c>
      <c r="C36" s="3" t="str">
        <f>'Sheet1 (2)'!C36&amp;"±"&amp;'Sheet1 (2)'!D36</f>
        <v>200.3±177.1</v>
      </c>
      <c r="D36" s="3" t="str">
        <f>'Sheet1 (2)'!E36&amp;"±"&amp;'Sheet1 (2)'!F36</f>
        <v>64.4±55.4</v>
      </c>
      <c r="E36" s="3" t="str">
        <f>'Sheet1 (2)'!G36&amp;"±"&amp;'Sheet1 (2)'!H36</f>
        <v>83.8±76</v>
      </c>
      <c r="F36" s="3" t="str">
        <f>'Sheet1 (2)'!I36&amp;"±"&amp;'Sheet1 (2)'!J36</f>
        <v>173.8±162.4</v>
      </c>
      <c r="G36" s="3" t="str">
        <f>'Sheet1 (2)'!K36&amp;"±"&amp;'Sheet1 (2)'!L36</f>
        <v>125.8±117</v>
      </c>
    </row>
    <row r="37" spans="1:7" ht="16.5" x14ac:dyDescent="0.35">
      <c r="A37" t="s">
        <v>43</v>
      </c>
      <c r="B37" s="1" t="s">
        <v>150</v>
      </c>
      <c r="C37" s="3" t="str">
        <f>'Sheet1 (2)'!C37&amp;"±"&amp;'Sheet1 (2)'!D37</f>
        <v>331.1±254.7</v>
      </c>
      <c r="D37" s="3" t="str">
        <f>'Sheet1 (2)'!E37&amp;"±"&amp;'Sheet1 (2)'!F37</f>
        <v>292.4±246.3</v>
      </c>
      <c r="E37" s="3" t="str">
        <f>'Sheet1 (2)'!G37&amp;"±"&amp;'Sheet1 (2)'!H37</f>
        <v>1984±791.6</v>
      </c>
      <c r="F37" s="3" t="str">
        <f>'Sheet1 (2)'!I37&amp;"±"&amp;'Sheet1 (2)'!J37</f>
        <v>302±235.9</v>
      </c>
      <c r="G37" s="3" t="str">
        <f>'Sheet1 (2)'!K37&amp;"±"&amp;'Sheet1 (2)'!L37</f>
        <v>307±225.4</v>
      </c>
    </row>
    <row r="38" spans="1:7" ht="16.5" x14ac:dyDescent="0.35">
      <c r="A38" t="s">
        <v>44</v>
      </c>
      <c r="B38" s="1" t="s">
        <v>150</v>
      </c>
      <c r="C38" s="6" t="s">
        <v>1</v>
      </c>
      <c r="D38" s="3" t="str">
        <f>'Sheet1 (2)'!E38&amp;"±"&amp;'Sheet1 (2)'!F38</f>
        <v>902.5±371.6</v>
      </c>
      <c r="E38" s="3" t="str">
        <f>'Sheet1 (2)'!G38&amp;"±"&amp;'Sheet1 (2)'!H38</f>
        <v>2109.7±800.7</v>
      </c>
      <c r="F38" s="3" t="str">
        <f>'Sheet1 (2)'!I38&amp;"±"&amp;'Sheet1 (2)'!J38</f>
        <v>322.3±248.3</v>
      </c>
      <c r="G38" s="3" t="str">
        <f>'Sheet1 (2)'!K38&amp;"±"&amp;'Sheet1 (2)'!L38</f>
        <v>621±287.6</v>
      </c>
    </row>
    <row r="39" spans="1:7" ht="16.5" x14ac:dyDescent="0.35">
      <c r="A39" t="s">
        <v>45</v>
      </c>
      <c r="B39" s="1" t="s">
        <v>150</v>
      </c>
      <c r="C39" s="3" t="str">
        <f>'Sheet1 (2)'!C39&amp;"±"&amp;'Sheet1 (2)'!D39</f>
        <v>26.6±21.8</v>
      </c>
      <c r="D39" s="3" t="str">
        <f>'Sheet1 (2)'!E39&amp;"±"&amp;'Sheet1 (2)'!F39</f>
        <v>86.8±67</v>
      </c>
      <c r="E39" s="3" t="str">
        <f>'Sheet1 (2)'!G39&amp;"±"&amp;'Sheet1 (2)'!H39</f>
        <v>16.8±13.8</v>
      </c>
      <c r="F39" s="3" t="str">
        <f>'Sheet1 (2)'!I39&amp;"±"&amp;'Sheet1 (2)'!J39</f>
        <v>20.7±18</v>
      </c>
      <c r="G39" s="3" t="str">
        <f>'Sheet1 (2)'!K39&amp;"±"&amp;'Sheet1 (2)'!L39</f>
        <v>109.3±88.5</v>
      </c>
    </row>
    <row r="40" spans="1:7" ht="16.5" x14ac:dyDescent="0.35">
      <c r="A40" t="s">
        <v>46</v>
      </c>
      <c r="B40" s="1" t="s">
        <v>150</v>
      </c>
      <c r="C40" s="3" t="str">
        <f>'Sheet1 (2)'!C40&amp;"±"&amp;'Sheet1 (2)'!D40</f>
        <v>157±106.6</v>
      </c>
      <c r="D40" s="3" t="str">
        <f>'Sheet1 (2)'!E40&amp;"±"&amp;'Sheet1 (2)'!F40</f>
        <v>282.8±177.7</v>
      </c>
      <c r="E40" s="3" t="str">
        <f>'Sheet1 (2)'!G40&amp;"±"&amp;'Sheet1 (2)'!H40</f>
        <v>53.1±28.1</v>
      </c>
      <c r="F40" s="3" t="str">
        <f>'Sheet1 (2)'!I40&amp;"±"&amp;'Sheet1 (2)'!J40</f>
        <v>46.8±36.4</v>
      </c>
      <c r="G40" s="3" t="str">
        <f>'Sheet1 (2)'!K40&amp;"±"&amp;'Sheet1 (2)'!L40</f>
        <v>0.9±0.7</v>
      </c>
    </row>
    <row r="41" spans="1:7" ht="16.5" x14ac:dyDescent="0.35">
      <c r="A41" t="s">
        <v>47</v>
      </c>
      <c r="B41" s="1" t="s">
        <v>150</v>
      </c>
      <c r="C41" s="3" t="str">
        <f>'Sheet1 (2)'!C41&amp;"±"&amp;'Sheet1 (2)'!D41</f>
        <v>345±263.7</v>
      </c>
      <c r="D41" s="3" t="str">
        <f>'Sheet1 (2)'!E41&amp;"±"&amp;'Sheet1 (2)'!F41</f>
        <v>165.7±152.4</v>
      </c>
      <c r="E41" s="3" t="str">
        <f>'Sheet1 (2)'!G41&amp;"±"&amp;'Sheet1 (2)'!H41</f>
        <v>9.8±7.1</v>
      </c>
      <c r="F41" s="3" t="str">
        <f>'Sheet1 (2)'!I41&amp;"±"&amp;'Sheet1 (2)'!J41</f>
        <v>143.4±129</v>
      </c>
      <c r="G41" s="3" t="str">
        <f>'Sheet1 (2)'!K41&amp;"±"&amp;'Sheet1 (2)'!L41</f>
        <v>0.6±0.5</v>
      </c>
    </row>
    <row r="42" spans="1:7" ht="16.5" x14ac:dyDescent="0.35">
      <c r="A42" t="s">
        <v>48</v>
      </c>
      <c r="B42" s="1" t="s">
        <v>150</v>
      </c>
      <c r="C42" s="3" t="str">
        <f>'Sheet1 (2)'!C42&amp;"±"&amp;'Sheet1 (2)'!D42</f>
        <v>993.1±302.3</v>
      </c>
      <c r="D42" s="3" t="str">
        <f>'Sheet1 (2)'!E42&amp;"±"&amp;'Sheet1 (2)'!F42</f>
        <v>1109.2±204.3</v>
      </c>
      <c r="E42" s="3" t="str">
        <f>'Sheet1 (2)'!G42&amp;"±"&amp;'Sheet1 (2)'!H42</f>
        <v>2803.9±400.8</v>
      </c>
      <c r="F42" s="3" t="str">
        <f>'Sheet1 (2)'!I42&amp;"±"&amp;'Sheet1 (2)'!J42</f>
        <v>797.5±230.7</v>
      </c>
      <c r="G42" s="3" t="str">
        <f>'Sheet1 (2)'!K42&amp;"±"&amp;'Sheet1 (2)'!L42</f>
        <v>833.2±177.6</v>
      </c>
    </row>
    <row r="43" spans="1:7" ht="16.5" x14ac:dyDescent="0.35">
      <c r="A43" t="s">
        <v>49</v>
      </c>
      <c r="B43" s="1" t="s">
        <v>150</v>
      </c>
      <c r="C43" s="3" t="str">
        <f>'Sheet1 (2)'!C43&amp;"±"&amp;'Sheet1 (2)'!D43</f>
        <v>546.3±187.3</v>
      </c>
      <c r="D43" s="3" t="str">
        <f>'Sheet1 (2)'!E43&amp;"±"&amp;'Sheet1 (2)'!F43</f>
        <v>623±146.6</v>
      </c>
      <c r="E43" s="3" t="str">
        <f>'Sheet1 (2)'!G43&amp;"±"&amp;'Sheet1 (2)'!H43</f>
        <v>1554.5±309.3</v>
      </c>
      <c r="F43" s="3" t="str">
        <f>'Sheet1 (2)'!I43&amp;"±"&amp;'Sheet1 (2)'!J43</f>
        <v>450.7±151.2</v>
      </c>
      <c r="G43" s="3" t="str">
        <f>'Sheet1 (2)'!K43&amp;"±"&amp;'Sheet1 (2)'!L43</f>
        <v>470.7±124.6</v>
      </c>
    </row>
    <row r="44" spans="1:7" ht="16.5" x14ac:dyDescent="0.35">
      <c r="A44" t="s">
        <v>50</v>
      </c>
      <c r="B44" s="1" t="s">
        <v>150</v>
      </c>
      <c r="C44" s="3" t="str">
        <f>'Sheet1 (2)'!C44&amp;"±"&amp;'Sheet1 (2)'!D44</f>
        <v>801.1±357.8</v>
      </c>
      <c r="D44" s="3" t="str">
        <f>'Sheet1 (2)'!E44&amp;"±"&amp;'Sheet1 (2)'!F44</f>
        <v>1229.8±336.3</v>
      </c>
      <c r="E44" s="3" t="str">
        <f>'Sheet1 (2)'!G44&amp;"±"&amp;'Sheet1 (2)'!H44</f>
        <v>3199.4±1002.3</v>
      </c>
      <c r="F44" s="3" t="str">
        <f>'Sheet1 (2)'!I44&amp;"±"&amp;'Sheet1 (2)'!J44</f>
        <v>765.2±333.3</v>
      </c>
      <c r="G44" s="3" t="str">
        <f>'Sheet1 (2)'!K44&amp;"±"&amp;'Sheet1 (2)'!L44</f>
        <v>878.3±325.3</v>
      </c>
    </row>
    <row r="45" spans="1:7" ht="16.5" x14ac:dyDescent="0.35">
      <c r="A45" t="s">
        <v>51</v>
      </c>
      <c r="B45" s="1" t="s">
        <v>150</v>
      </c>
      <c r="C45" s="3" t="str">
        <f>'Sheet1 (2)'!C45&amp;"±"&amp;'Sheet1 (2)'!D45</f>
        <v>312.5±215.1</v>
      </c>
      <c r="D45" s="3" t="str">
        <f>'Sheet1 (2)'!E45&amp;"±"&amp;'Sheet1 (2)'!F45</f>
        <v>38.3±32.9</v>
      </c>
      <c r="E45" s="3" t="str">
        <f>'Sheet1 (2)'!G45&amp;"±"&amp;'Sheet1 (2)'!H45</f>
        <v>82±56.3</v>
      </c>
      <c r="F45" s="3" t="str">
        <f>'Sheet1 (2)'!I45&amp;"±"&amp;'Sheet1 (2)'!J45</f>
        <v>830±478.7</v>
      </c>
      <c r="G45" s="3" t="str">
        <f>'Sheet1 (2)'!K45&amp;"±"&amp;'Sheet1 (2)'!L45</f>
        <v>167.2±123.1</v>
      </c>
    </row>
    <row r="46" spans="1:7" ht="16.5" x14ac:dyDescent="0.35">
      <c r="A46" t="s">
        <v>52</v>
      </c>
      <c r="B46" s="1" t="s">
        <v>150</v>
      </c>
      <c r="C46" s="6" t="s">
        <v>1</v>
      </c>
      <c r="D46" s="3" t="str">
        <f>'Sheet1 (2)'!E46&amp;"±"&amp;'Sheet1 (2)'!F46</f>
        <v>45.2±37.2</v>
      </c>
      <c r="E46" s="3" t="str">
        <f>'Sheet1 (2)'!G46&amp;"±"&amp;'Sheet1 (2)'!H46</f>
        <v>151.1±42.9</v>
      </c>
      <c r="F46" s="3" t="str">
        <f>'Sheet1 (2)'!I46&amp;"±"&amp;'Sheet1 (2)'!J46</f>
        <v>929.8±495.4</v>
      </c>
      <c r="G46" s="3" t="str">
        <f>'Sheet1 (2)'!K46&amp;"±"&amp;'Sheet1 (2)'!L46</f>
        <v>225.4±139.2</v>
      </c>
    </row>
    <row r="47" spans="1:7" ht="16.5" x14ac:dyDescent="0.35">
      <c r="A47" t="s">
        <v>53</v>
      </c>
      <c r="B47" s="1" t="s">
        <v>150</v>
      </c>
      <c r="C47" s="3" t="str">
        <f>'Sheet1 (2)'!C47&amp;"±"&amp;'Sheet1 (2)'!D47</f>
        <v>26.1±21.4</v>
      </c>
      <c r="D47" s="3" t="str">
        <f>'Sheet1 (2)'!E47&amp;"±"&amp;'Sheet1 (2)'!F47</f>
        <v>33.2±28.7</v>
      </c>
      <c r="E47" s="3" t="str">
        <f>'Sheet1 (2)'!G47&amp;"±"&amp;'Sheet1 (2)'!H47</f>
        <v>16.7±13.6</v>
      </c>
      <c r="F47" s="3" t="str">
        <f>'Sheet1 (2)'!I47&amp;"±"&amp;'Sheet1 (2)'!J47</f>
        <v>25.3±22.6</v>
      </c>
      <c r="G47" s="3" t="str">
        <f>'Sheet1 (2)'!K47&amp;"±"&amp;'Sheet1 (2)'!L47</f>
        <v>92.9±74.8</v>
      </c>
    </row>
    <row r="48" spans="1:7" ht="16.5" x14ac:dyDescent="0.35">
      <c r="A48" t="s">
        <v>54</v>
      </c>
      <c r="B48" s="1" t="s">
        <v>150</v>
      </c>
      <c r="C48" s="3" t="str">
        <f>'Sheet1 (2)'!C48&amp;"±"&amp;'Sheet1 (2)'!D48</f>
        <v>168.6±109.7</v>
      </c>
      <c r="D48" s="3" t="str">
        <f>'Sheet1 (2)'!E48&amp;"±"&amp;'Sheet1 (2)'!F48</f>
        <v>42.2±35.3</v>
      </c>
      <c r="E48" s="3" t="str">
        <f>'Sheet1 (2)'!G48&amp;"±"&amp;'Sheet1 (2)'!H48</f>
        <v>46.2±33.6</v>
      </c>
      <c r="F48" s="3" t="str">
        <f>'Sheet1 (2)'!I48&amp;"±"&amp;'Sheet1 (2)'!J48</f>
        <v>52.8±39.2</v>
      </c>
      <c r="G48" s="3" t="str">
        <f>'Sheet1 (2)'!K48&amp;"±"&amp;'Sheet1 (2)'!L48</f>
        <v>0.9±0.8</v>
      </c>
    </row>
    <row r="49" spans="1:7" ht="16.5" x14ac:dyDescent="0.35">
      <c r="A49" t="s">
        <v>55</v>
      </c>
      <c r="B49" s="1" t="s">
        <v>150</v>
      </c>
      <c r="C49" s="3" t="str">
        <f>'Sheet1 (2)'!C49&amp;"±"&amp;'Sheet1 (2)'!D49</f>
        <v>322.6±222</v>
      </c>
      <c r="D49" s="3" t="str">
        <f>'Sheet1 (2)'!E49&amp;"±"&amp;'Sheet1 (2)'!F49</f>
        <v>34.5±29.6</v>
      </c>
      <c r="E49" s="3" t="str">
        <f>'Sheet1 (2)'!G49&amp;"±"&amp;'Sheet1 (2)'!H49</f>
        <v>9±7</v>
      </c>
      <c r="F49" s="3" t="str">
        <f>'Sheet1 (2)'!I49&amp;"±"&amp;'Sheet1 (2)'!J49</f>
        <v>216.5±183.5</v>
      </c>
      <c r="G49" s="3" t="str">
        <f>'Sheet1 (2)'!K49&amp;"±"&amp;'Sheet1 (2)'!L49</f>
        <v>0.6±0.5</v>
      </c>
    </row>
    <row r="50" spans="1:7" ht="16.5" x14ac:dyDescent="0.35">
      <c r="A50" t="s">
        <v>56</v>
      </c>
      <c r="B50" s="1" t="s">
        <v>150</v>
      </c>
      <c r="C50" s="3" t="str">
        <f>'Sheet1 (2)'!C50&amp;"±"&amp;'Sheet1 (2)'!D50</f>
        <v>848.9±220</v>
      </c>
      <c r="D50" s="3" t="str">
        <f>'Sheet1 (2)'!E50&amp;"±"&amp;'Sheet1 (2)'!F50</f>
        <v>169.7±39.8</v>
      </c>
      <c r="E50" s="3" t="str">
        <f>'Sheet1 (2)'!G50&amp;"±"&amp;'Sheet1 (2)'!H50</f>
        <v>311.5±74</v>
      </c>
      <c r="F50" s="3" t="str">
        <f>'Sheet1 (2)'!I50&amp;"±"&amp;'Sheet1 (2)'!J50</f>
        <v>1448.2±275.7</v>
      </c>
      <c r="G50" s="3" t="str">
        <f>'Sheet1 (2)'!K50&amp;"±"&amp;'Sheet1 (2)'!L50</f>
        <v>430.7±102.8</v>
      </c>
    </row>
    <row r="51" spans="1:7" ht="16.5" x14ac:dyDescent="0.35">
      <c r="A51" t="s">
        <v>57</v>
      </c>
      <c r="B51" s="1" t="s">
        <v>150</v>
      </c>
      <c r="C51" s="3" t="str">
        <f>'Sheet1 (2)'!C51&amp;"±"&amp;'Sheet1 (2)'!D51</f>
        <v>459.3±136.3</v>
      </c>
      <c r="D51" s="3" t="str">
        <f>'Sheet1 (2)'!E51&amp;"±"&amp;'Sheet1 (2)'!F51</f>
        <v>93.6±26.4</v>
      </c>
      <c r="E51" s="3" t="str">
        <f>'Sheet1 (2)'!G51&amp;"±"&amp;'Sheet1 (2)'!H51</f>
        <v>168.1±49</v>
      </c>
      <c r="F51" s="3" t="str">
        <f>'Sheet1 (2)'!I51&amp;"±"&amp;'Sheet1 (2)'!J51</f>
        <v>823.3±203</v>
      </c>
      <c r="G51" s="3" t="str">
        <f>'Sheet1 (2)'!K51&amp;"±"&amp;'Sheet1 (2)'!L51</f>
        <v>240.2±68.7</v>
      </c>
    </row>
    <row r="52" spans="1:7" ht="16.5" x14ac:dyDescent="0.35">
      <c r="A52" t="s">
        <v>58</v>
      </c>
      <c r="B52" s="1" t="s">
        <v>150</v>
      </c>
      <c r="C52" s="3" t="str">
        <f>'Sheet1 (2)'!C52&amp;"±"&amp;'Sheet1 (2)'!D52</f>
        <v>654.9±248.7</v>
      </c>
      <c r="D52" s="3" t="str">
        <f>'Sheet1 (2)'!E52&amp;"±"&amp;'Sheet1 (2)'!F52</f>
        <v>127.3±45.6</v>
      </c>
      <c r="E52" s="3" t="str">
        <f>'Sheet1 (2)'!G52&amp;"±"&amp;'Sheet1 (2)'!H52</f>
        <v>221.2±87.5</v>
      </c>
      <c r="F52" s="3" t="str">
        <f>'Sheet1 (2)'!I52&amp;"±"&amp;'Sheet1 (2)'!J52</f>
        <v>1651.2±496.4</v>
      </c>
      <c r="G52" s="3" t="str">
        <f>'Sheet1 (2)'!K52&amp;"±"&amp;'Sheet1 (2)'!L52</f>
        <v>379.8±135.6</v>
      </c>
    </row>
    <row r="53" spans="1:7" ht="16.5" x14ac:dyDescent="0.35">
      <c r="A53" t="s">
        <v>59</v>
      </c>
      <c r="B53" s="1" t="s">
        <v>150</v>
      </c>
      <c r="C53" s="3" t="str">
        <f>'Sheet1 (2)'!C53&amp;"±"&amp;'Sheet1 (2)'!D53</f>
        <v>1575.7±943.4</v>
      </c>
      <c r="D53" s="3" t="str">
        <f>'Sheet1 (2)'!E53&amp;"±"&amp;'Sheet1 (2)'!F53</f>
        <v>153.6±138.1</v>
      </c>
      <c r="E53" s="3" t="str">
        <f>'Sheet1 (2)'!G53&amp;"±"&amp;'Sheet1 (2)'!H53</f>
        <v>631.3±566.8</v>
      </c>
      <c r="F53" s="3" t="str">
        <f>'Sheet1 (2)'!I53&amp;"±"&amp;'Sheet1 (2)'!J53</f>
        <v>433.5±349.8</v>
      </c>
      <c r="G53" s="3" t="str">
        <f>'Sheet1 (2)'!K53&amp;"±"&amp;'Sheet1 (2)'!L53</f>
        <v>127.5±110</v>
      </c>
    </row>
    <row r="54" spans="1:7" ht="16.5" x14ac:dyDescent="0.35">
      <c r="A54" t="s">
        <v>60</v>
      </c>
      <c r="B54" s="1" t="s">
        <v>150</v>
      </c>
      <c r="C54" s="6" t="s">
        <v>1</v>
      </c>
      <c r="D54" s="3" t="str">
        <f>'Sheet1 (2)'!E54&amp;"±"&amp;'Sheet1 (2)'!F54</f>
        <v>207.8±156</v>
      </c>
      <c r="E54" s="3" t="str">
        <f>'Sheet1 (2)'!G54&amp;"±"&amp;'Sheet1 (2)'!H54</f>
        <v>519.5±397.6</v>
      </c>
      <c r="F54" s="3" t="str">
        <f>'Sheet1 (2)'!I54&amp;"±"&amp;'Sheet1 (2)'!J54</f>
        <v>305.4±214.3</v>
      </c>
      <c r="G54" s="3" t="str">
        <f>'Sheet1 (2)'!K54&amp;"±"&amp;'Sheet1 (2)'!L54</f>
        <v>250.9±150.2</v>
      </c>
    </row>
    <row r="55" spans="1:7" ht="16.5" x14ac:dyDescent="0.35">
      <c r="A55" t="s">
        <v>61</v>
      </c>
      <c r="B55" s="1" t="s">
        <v>150</v>
      </c>
      <c r="C55" s="3" t="str">
        <f>'Sheet1 (2)'!C55&amp;"±"&amp;'Sheet1 (2)'!D55</f>
        <v>23.5±18.5</v>
      </c>
      <c r="D55" s="3" t="str">
        <f>'Sheet1 (2)'!E55&amp;"±"&amp;'Sheet1 (2)'!F55</f>
        <v>62.3±53.1</v>
      </c>
      <c r="E55" s="3" t="str">
        <f>'Sheet1 (2)'!G55&amp;"±"&amp;'Sheet1 (2)'!H55</f>
        <v>21.2±16.7</v>
      </c>
      <c r="F55" s="3" t="str">
        <f>'Sheet1 (2)'!I55&amp;"±"&amp;'Sheet1 (2)'!J55</f>
        <v>19.6±16.5</v>
      </c>
      <c r="G55" s="3" t="str">
        <f>'Sheet1 (2)'!K55&amp;"±"&amp;'Sheet1 (2)'!L55</f>
        <v>78.3±65</v>
      </c>
    </row>
    <row r="56" spans="1:7" ht="16.5" x14ac:dyDescent="0.35">
      <c r="A56" t="s">
        <v>62</v>
      </c>
      <c r="B56" s="1" t="s">
        <v>150</v>
      </c>
      <c r="C56" s="3" t="str">
        <f>'Sheet1 (2)'!C56&amp;"±"&amp;'Sheet1 (2)'!D56</f>
        <v>96.1±73.2</v>
      </c>
      <c r="D56" s="3" t="str">
        <f>'Sheet1 (2)'!E56&amp;"±"&amp;'Sheet1 (2)'!F56</f>
        <v>112.8±94.4</v>
      </c>
      <c r="E56" s="3" t="str">
        <f>'Sheet1 (2)'!G56&amp;"±"&amp;'Sheet1 (2)'!H56</f>
        <v>46.2±35.5</v>
      </c>
      <c r="F56" s="3" t="str">
        <f>'Sheet1 (2)'!I56&amp;"±"&amp;'Sheet1 (2)'!J56</f>
        <v>36.6±29.6</v>
      </c>
      <c r="G56" s="3" t="str">
        <f>'Sheet1 (2)'!K56&amp;"±"&amp;'Sheet1 (2)'!L56</f>
        <v>1±0.8</v>
      </c>
    </row>
    <row r="57" spans="1:7" ht="16.5" x14ac:dyDescent="0.35">
      <c r="A57" t="s">
        <v>63</v>
      </c>
      <c r="B57" s="1" t="s">
        <v>150</v>
      </c>
      <c r="C57" s="3" t="str">
        <f>'Sheet1 (2)'!C57&amp;"±"&amp;'Sheet1 (2)'!D57</f>
        <v>9.6±8.4</v>
      </c>
      <c r="D57" s="3" t="str">
        <f>'Sheet1 (2)'!E57&amp;"±"&amp;'Sheet1 (2)'!F57</f>
        <v>41.3±33.5</v>
      </c>
      <c r="E57" s="3" t="str">
        <f>'Sheet1 (2)'!G57&amp;"±"&amp;'Sheet1 (2)'!H57</f>
        <v>2.1±1.9</v>
      </c>
      <c r="F57" s="3" t="str">
        <f>'Sheet1 (2)'!I57&amp;"±"&amp;'Sheet1 (2)'!J57</f>
        <v>3.6±3.3</v>
      </c>
      <c r="G57" s="3" t="str">
        <f>'Sheet1 (2)'!K57&amp;"±"&amp;'Sheet1 (2)'!L57</f>
        <v>26.9±21.8</v>
      </c>
    </row>
    <row r="58" spans="1:7" ht="16.5" x14ac:dyDescent="0.35">
      <c r="A58" t="s">
        <v>64</v>
      </c>
      <c r="B58" s="1" t="s">
        <v>150</v>
      </c>
      <c r="C58" s="3" t="str">
        <f>'Sheet1 (2)'!C58&amp;"±"&amp;'Sheet1 (2)'!D58</f>
        <v>69.7±27.8</v>
      </c>
      <c r="D58" s="3" t="str">
        <f>'Sheet1 (2)'!E58&amp;"±"&amp;'Sheet1 (2)'!F58</f>
        <v>32±14.3</v>
      </c>
      <c r="E58" s="3" t="str">
        <f>'Sheet1 (2)'!G58&amp;"±"&amp;'Sheet1 (2)'!H58</f>
        <v>100.8±39.3</v>
      </c>
      <c r="F58" s="3" t="str">
        <f>'Sheet1 (2)'!I58&amp;"±"&amp;'Sheet1 (2)'!J58</f>
        <v>46.5±19.8</v>
      </c>
      <c r="G58" s="3" t="str">
        <f>'Sheet1 (2)'!K58&amp;"±"&amp;'Sheet1 (2)'!L58</f>
        <v>8.1±3.5</v>
      </c>
    </row>
    <row r="59" spans="1:7" ht="16.5" x14ac:dyDescent="0.35">
      <c r="A59" t="s">
        <v>65</v>
      </c>
      <c r="B59" s="1" t="s">
        <v>150</v>
      </c>
      <c r="C59" s="3" t="str">
        <f>'Sheet1 (2)'!C59&amp;"±"&amp;'Sheet1 (2)'!D59</f>
        <v>6.3±2.9</v>
      </c>
      <c r="D59" s="3" t="str">
        <f>'Sheet1 (2)'!E59&amp;"±"&amp;'Sheet1 (2)'!F59</f>
        <v>3.3±1.5</v>
      </c>
      <c r="E59" s="3" t="str">
        <f>'Sheet1 (2)'!G59&amp;"±"&amp;'Sheet1 (2)'!H59</f>
        <v>9±4.3</v>
      </c>
      <c r="F59" s="3" t="str">
        <f>'Sheet1 (2)'!I59&amp;"±"&amp;'Sheet1 (2)'!J59</f>
        <v>4.5±2.1</v>
      </c>
      <c r="G59" s="3" t="str">
        <f>'Sheet1 (2)'!K59&amp;"±"&amp;'Sheet1 (2)'!L59</f>
        <v>0.8±0.4</v>
      </c>
    </row>
    <row r="60" spans="1:7" ht="16.5" x14ac:dyDescent="0.35">
      <c r="A60" t="s">
        <v>66</v>
      </c>
      <c r="B60" s="1" t="s">
        <v>150</v>
      </c>
      <c r="C60" s="3" t="str">
        <f>'Sheet1 (2)'!C60&amp;"±"&amp;'Sheet1 (2)'!D60</f>
        <v>1572.6±566.4</v>
      </c>
      <c r="D60" s="3" t="str">
        <f>'Sheet1 (2)'!E60&amp;"±"&amp;'Sheet1 (2)'!F60</f>
        <v>465±106.3</v>
      </c>
      <c r="E60" s="3" t="str">
        <f>'Sheet1 (2)'!G60&amp;"±"&amp;'Sheet1 (2)'!H60</f>
        <v>1282.9±217.7</v>
      </c>
      <c r="F60" s="3" t="str">
        <f>'Sheet1 (2)'!I60&amp;"±"&amp;'Sheet1 (2)'!J60</f>
        <v>737.8±193.8</v>
      </c>
      <c r="G60" s="3" t="str">
        <f>'Sheet1 (2)'!K60&amp;"±"&amp;'Sheet1 (2)'!L60</f>
        <v>363±59.4</v>
      </c>
    </row>
    <row r="61" spans="1:7" ht="16.5" x14ac:dyDescent="0.35">
      <c r="A61" t="s">
        <v>67</v>
      </c>
      <c r="B61" s="1" t="s">
        <v>150</v>
      </c>
      <c r="C61" s="3" t="str">
        <f>'Sheet1 (2)'!C61&amp;"±"&amp;'Sheet1 (2)'!D61</f>
        <v>869.4±368</v>
      </c>
      <c r="D61" s="3" t="str">
        <f>'Sheet1 (2)'!E61&amp;"±"&amp;'Sheet1 (2)'!F61</f>
        <v>259.1±71.5</v>
      </c>
      <c r="E61" s="3" t="str">
        <f>'Sheet1 (2)'!G61&amp;"±"&amp;'Sheet1 (2)'!H61</f>
        <v>657.8±195.7</v>
      </c>
      <c r="F61" s="3" t="str">
        <f>'Sheet1 (2)'!I61&amp;"±"&amp;'Sheet1 (2)'!J61</f>
        <v>410.5±132.1</v>
      </c>
      <c r="G61" s="3" t="str">
        <f>'Sheet1 (2)'!K61&amp;"±"&amp;'Sheet1 (2)'!L61</f>
        <v>222.4±62.7</v>
      </c>
    </row>
    <row r="62" spans="1:7" ht="16.5" x14ac:dyDescent="0.35">
      <c r="A62" t="s">
        <v>68</v>
      </c>
      <c r="B62" s="1" t="s">
        <v>150</v>
      </c>
      <c r="C62" s="3" t="str">
        <f>'Sheet1 (2)'!C62&amp;"±"&amp;'Sheet1 (2)'!D62</f>
        <v>1346.1±673.5</v>
      </c>
      <c r="D62" s="3" t="str">
        <f>'Sheet1 (2)'!E62&amp;"±"&amp;'Sheet1 (2)'!F62</f>
        <v>647.1±230.2</v>
      </c>
      <c r="E62" s="3" t="str">
        <f>'Sheet1 (2)'!G62&amp;"±"&amp;'Sheet1 (2)'!H62</f>
        <v>1480.1±707.4</v>
      </c>
      <c r="F62" s="3" t="str">
        <f>'Sheet1 (2)'!I62&amp;"±"&amp;'Sheet1 (2)'!J62</f>
        <v>967.3±406.8</v>
      </c>
      <c r="G62" s="3" t="str">
        <f>'Sheet1 (2)'!K62&amp;"±"&amp;'Sheet1 (2)'!L62</f>
        <v>481.6±168.2</v>
      </c>
    </row>
    <row r="63" spans="1:7" ht="16.5" x14ac:dyDescent="0.35">
      <c r="A63" t="s">
        <v>69</v>
      </c>
      <c r="B63" s="1" t="s">
        <v>150</v>
      </c>
      <c r="C63" s="6" t="s">
        <v>1</v>
      </c>
      <c r="D63" s="3" t="str">
        <f>'Sheet1 (2)'!E63&amp;"±"&amp;'Sheet1 (2)'!F63</f>
        <v>182±154.5</v>
      </c>
      <c r="E63" s="3" t="str">
        <f>'Sheet1 (2)'!G63&amp;"±"&amp;'Sheet1 (2)'!H63</f>
        <v>481.7±334</v>
      </c>
      <c r="F63" s="3" t="str">
        <f>'Sheet1 (2)'!I63&amp;"±"&amp;'Sheet1 (2)'!J63</f>
        <v>300.2±223</v>
      </c>
      <c r="G63" s="3" t="str">
        <f>'Sheet1 (2)'!K63&amp;"±"&amp;'Sheet1 (2)'!L63</f>
        <v>186±144.3</v>
      </c>
    </row>
    <row r="64" spans="1:7" ht="16.5" x14ac:dyDescent="0.35">
      <c r="A64" t="s">
        <v>70</v>
      </c>
      <c r="B64" s="1" t="s">
        <v>150</v>
      </c>
      <c r="C64" s="6" t="s">
        <v>1</v>
      </c>
      <c r="D64" s="3" t="str">
        <f>'Sheet1 (2)'!E64&amp;"±"&amp;'Sheet1 (2)'!F64</f>
        <v>384.9±283</v>
      </c>
      <c r="E64" s="3" t="str">
        <f>'Sheet1 (2)'!G64&amp;"±"&amp;'Sheet1 (2)'!H64</f>
        <v>782.2±566</v>
      </c>
      <c r="F64" s="3" t="str">
        <f>'Sheet1 (2)'!I64&amp;"±"&amp;'Sheet1 (2)'!J64</f>
        <v>436.4±321.1</v>
      </c>
      <c r="G64" s="3" t="str">
        <f>'Sheet1 (2)'!K64&amp;"±"&amp;'Sheet1 (2)'!L64</f>
        <v>367.3±236.1</v>
      </c>
    </row>
    <row r="65" spans="1:7" ht="16.5" x14ac:dyDescent="0.35">
      <c r="A65" t="s">
        <v>71</v>
      </c>
      <c r="B65" s="1" t="s">
        <v>150</v>
      </c>
      <c r="C65" s="6" t="s">
        <v>1</v>
      </c>
      <c r="D65" s="3" t="str">
        <f>'Sheet1 (2)'!E65&amp;"±"&amp;'Sheet1 (2)'!F65</f>
        <v>67.9±57.1</v>
      </c>
      <c r="E65" s="3" t="str">
        <f>'Sheet1 (2)'!G65&amp;"±"&amp;'Sheet1 (2)'!H65</f>
        <v>20.9±16.5</v>
      </c>
      <c r="F65" s="3" t="str">
        <f>'Sheet1 (2)'!I65&amp;"±"&amp;'Sheet1 (2)'!J65</f>
        <v>19.7±16.6</v>
      </c>
      <c r="G65" s="3" t="str">
        <f>'Sheet1 (2)'!K65&amp;"±"&amp;'Sheet1 (2)'!L65</f>
        <v>99.2±78.8</v>
      </c>
    </row>
    <row r="66" spans="1:7" ht="16.5" x14ac:dyDescent="0.35">
      <c r="A66" t="s">
        <v>72</v>
      </c>
      <c r="B66" s="1" t="s">
        <v>150</v>
      </c>
      <c r="C66" s="6" t="s">
        <v>1</v>
      </c>
      <c r="D66" s="3" t="str">
        <f>'Sheet1 (2)'!E66&amp;"±"&amp;'Sheet1 (2)'!F66</f>
        <v>134.3±113.9</v>
      </c>
      <c r="E66" s="3" t="str">
        <f>'Sheet1 (2)'!G66&amp;"±"&amp;'Sheet1 (2)'!H66</f>
        <v>44.8±35.3</v>
      </c>
      <c r="F66" s="3" t="str">
        <f>'Sheet1 (2)'!I66&amp;"±"&amp;'Sheet1 (2)'!J66</f>
        <v>35.7±29.5</v>
      </c>
      <c r="G66" s="3" t="str">
        <f>'Sheet1 (2)'!K66&amp;"±"&amp;'Sheet1 (2)'!L66</f>
        <v>1±0.8</v>
      </c>
    </row>
    <row r="67" spans="1:7" ht="16.5" x14ac:dyDescent="0.35">
      <c r="A67" t="s">
        <v>73</v>
      </c>
      <c r="B67" s="1" t="s">
        <v>150</v>
      </c>
      <c r="C67" s="6" t="s">
        <v>1</v>
      </c>
      <c r="D67" s="3" t="str">
        <f>'Sheet1 (2)'!E67&amp;"±"&amp;'Sheet1 (2)'!F67</f>
        <v>43.3±34.7</v>
      </c>
      <c r="E67" s="3" t="str">
        <f>'Sheet1 (2)'!G67&amp;"±"&amp;'Sheet1 (2)'!H67</f>
        <v>2.1±1.9</v>
      </c>
      <c r="F67" s="3" t="str">
        <f>'Sheet1 (2)'!I67&amp;"±"&amp;'Sheet1 (2)'!J67</f>
        <v>3.6±3.3</v>
      </c>
      <c r="G67" s="3" t="str">
        <f>'Sheet1 (2)'!K67&amp;"±"&amp;'Sheet1 (2)'!L67</f>
        <v>29.3±23</v>
      </c>
    </row>
    <row r="68" spans="1:7" ht="16.5" x14ac:dyDescent="0.35">
      <c r="A68" t="s">
        <v>74</v>
      </c>
      <c r="B68" s="1" t="s">
        <v>150</v>
      </c>
      <c r="C68" s="6" t="s">
        <v>1</v>
      </c>
      <c r="D68" s="3" t="str">
        <f>'Sheet1 (2)'!E68&amp;"±"&amp;'Sheet1 (2)'!F68</f>
        <v>110.6±43.8</v>
      </c>
      <c r="E68" s="3" t="str">
        <f>'Sheet1 (2)'!G68&amp;"±"&amp;'Sheet1 (2)'!H68</f>
        <v>125±44.6</v>
      </c>
      <c r="F68" s="3" t="str">
        <f>'Sheet1 (2)'!I68&amp;"±"&amp;'Sheet1 (2)'!J68</f>
        <v>32.6±14.2</v>
      </c>
      <c r="G68" s="3" t="str">
        <f>'Sheet1 (2)'!K68&amp;"±"&amp;'Sheet1 (2)'!L68</f>
        <v>99.5±26.5</v>
      </c>
    </row>
    <row r="69" spans="1:7" ht="16.5" x14ac:dyDescent="0.35">
      <c r="A69" t="s">
        <v>75</v>
      </c>
      <c r="B69" s="1" t="s">
        <v>150</v>
      </c>
      <c r="C69" s="6" t="s">
        <v>1</v>
      </c>
      <c r="D69" s="3" t="str">
        <f>'Sheet1 (2)'!E69&amp;"±"&amp;'Sheet1 (2)'!F69</f>
        <v>10.5±4.9</v>
      </c>
      <c r="E69" s="3" t="str">
        <f>'Sheet1 (2)'!G69&amp;"±"&amp;'Sheet1 (2)'!H69</f>
        <v>10.5±5</v>
      </c>
      <c r="F69" s="3" t="str">
        <f>'Sheet1 (2)'!I69&amp;"±"&amp;'Sheet1 (2)'!J69</f>
        <v>3.2±1.5</v>
      </c>
      <c r="G69" s="3" t="str">
        <f>'Sheet1 (2)'!K69&amp;"±"&amp;'Sheet1 (2)'!L69</f>
        <v>7±3.3</v>
      </c>
    </row>
    <row r="70" spans="1:7" ht="16.5" x14ac:dyDescent="0.35">
      <c r="A70" t="s">
        <v>76</v>
      </c>
      <c r="B70" s="1" t="s">
        <v>150</v>
      </c>
      <c r="C70" s="6" t="s">
        <v>1</v>
      </c>
      <c r="D70" s="3" t="str">
        <f>'Sheet1 (2)'!E70&amp;"±"&amp;'Sheet1 (2)'!F70</f>
        <v>499.6±266.5</v>
      </c>
      <c r="E70" s="3" t="str">
        <f>'Sheet1 (2)'!G70&amp;"±"&amp;'Sheet1 (2)'!H70</f>
        <v>1072.4±446.1</v>
      </c>
      <c r="F70" s="3" t="str">
        <f>'Sheet1 (2)'!I70&amp;"±"&amp;'Sheet1 (2)'!J70</f>
        <v>432.5±254.2</v>
      </c>
      <c r="G70" s="3" t="str">
        <f>'Sheet1 (2)'!K70&amp;"±"&amp;'Sheet1 (2)'!L70</f>
        <v>358.6±206.1</v>
      </c>
    </row>
    <row r="71" spans="1:7" ht="16.5" x14ac:dyDescent="0.35">
      <c r="A71" t="s">
        <v>77</v>
      </c>
      <c r="B71" s="1" t="s">
        <v>150</v>
      </c>
      <c r="C71" s="6" t="s">
        <v>1</v>
      </c>
      <c r="D71" s="3" t="str">
        <f>'Sheet1 (2)'!E71&amp;"±"&amp;'Sheet1 (2)'!F71</f>
        <v>203.9±126.1</v>
      </c>
      <c r="E71" s="3" t="str">
        <f>'Sheet1 (2)'!G71&amp;"±"&amp;'Sheet1 (2)'!H71</f>
        <v>523.6±272.7</v>
      </c>
      <c r="F71" s="3" t="str">
        <f>'Sheet1 (2)'!I71&amp;"±"&amp;'Sheet1 (2)'!J71</f>
        <v>230.7±146.9</v>
      </c>
      <c r="G71" s="3" t="str">
        <f>'Sheet1 (2)'!K71&amp;"±"&amp;'Sheet1 (2)'!L71</f>
        <v>186.8±121.7</v>
      </c>
    </row>
    <row r="72" spans="1:7" ht="16.5" x14ac:dyDescent="0.35">
      <c r="A72" t="s">
        <v>78</v>
      </c>
      <c r="B72" s="1" t="s">
        <v>150</v>
      </c>
      <c r="C72" s="6" t="s">
        <v>1</v>
      </c>
      <c r="D72" s="3" t="str">
        <f>'Sheet1 (2)'!E72&amp;"±"&amp;'Sheet1 (2)'!F72</f>
        <v>905.2±429.1</v>
      </c>
      <c r="E72" s="3" t="str">
        <f>'Sheet1 (2)'!G72&amp;"±"&amp;'Sheet1 (2)'!H72</f>
        <v>2193.1±956.5</v>
      </c>
      <c r="F72" s="3" t="str">
        <f>'Sheet1 (2)'!I72&amp;"±"&amp;'Sheet1 (2)'!J72</f>
        <v>946.7±418.7</v>
      </c>
      <c r="G72" s="3" t="str">
        <f>'Sheet1 (2)'!K72&amp;"±"&amp;'Sheet1 (2)'!L72</f>
        <v>793.5±338.6</v>
      </c>
    </row>
    <row r="73" spans="1:7" ht="16.5" x14ac:dyDescent="0.35">
      <c r="A73" t="s">
        <v>79</v>
      </c>
      <c r="B73" s="1" t="s">
        <v>150</v>
      </c>
      <c r="C73" s="6" t="s">
        <v>1</v>
      </c>
      <c r="D73" s="3" t="str">
        <f>'Sheet1 (2)'!E73&amp;"±"&amp;'Sheet1 (2)'!F73</f>
        <v>420.2±265.3</v>
      </c>
      <c r="E73" s="3" t="str">
        <f>'Sheet1 (2)'!G73&amp;"±"&amp;'Sheet1 (2)'!H73</f>
        <v>401.5±387.1</v>
      </c>
      <c r="F73" s="3" t="str">
        <f>'Sheet1 (2)'!I73&amp;"±"&amp;'Sheet1 (2)'!J73</f>
        <v>297.3±225.3</v>
      </c>
      <c r="G73" s="3" t="str">
        <f>'Sheet1 (2)'!K73&amp;"±"&amp;'Sheet1 (2)'!L73</f>
        <v>336.2±202.6</v>
      </c>
    </row>
    <row r="74" spans="1:7" ht="16.5" x14ac:dyDescent="0.35">
      <c r="A74" t="s">
        <v>80</v>
      </c>
      <c r="B74" s="1" t="s">
        <v>150</v>
      </c>
      <c r="C74" s="6" t="s">
        <v>1</v>
      </c>
      <c r="D74" s="3" t="str">
        <f>'Sheet1 (2)'!E74&amp;"±"&amp;'Sheet1 (2)'!F74</f>
        <v>182.3±122.7</v>
      </c>
      <c r="E74" s="3" t="str">
        <f>'Sheet1 (2)'!G74&amp;"±"&amp;'Sheet1 (2)'!H74</f>
        <v>273.9±237.3</v>
      </c>
      <c r="F74" s="3" t="str">
        <f>'Sheet1 (2)'!I74&amp;"±"&amp;'Sheet1 (2)'!J74</f>
        <v>187.2±140.5</v>
      </c>
      <c r="G74" s="3" t="str">
        <f>'Sheet1 (2)'!K74&amp;"±"&amp;'Sheet1 (2)'!L74</f>
        <v>176.5±116.3</v>
      </c>
    </row>
    <row r="75" spans="1:7" ht="16.5" x14ac:dyDescent="0.35">
      <c r="A75" t="s">
        <v>81</v>
      </c>
      <c r="B75" s="1" t="s">
        <v>150</v>
      </c>
      <c r="C75" s="3" t="str">
        <f>'Sheet1 (2)'!C75&amp;"±"&amp;'Sheet1 (2)'!D75</f>
        <v>22.9±7.7</v>
      </c>
      <c r="D75" s="3" t="str">
        <f>'Sheet1 (2)'!E75&amp;"±"&amp;'Sheet1 (2)'!F75</f>
        <v>80±29.6</v>
      </c>
      <c r="E75" s="3" t="str">
        <f>'Sheet1 (2)'!G75&amp;"±"&amp;'Sheet1 (2)'!H75</f>
        <v>11.3±3.1</v>
      </c>
      <c r="F75" s="3" t="str">
        <f>'Sheet1 (2)'!I75&amp;"±"&amp;'Sheet1 (2)'!J75</f>
        <v>17.2±5.1</v>
      </c>
      <c r="G75" s="3" t="str">
        <f>'Sheet1 (2)'!K75&amp;"±"&amp;'Sheet1 (2)'!L75</f>
        <v>78.6±25</v>
      </c>
    </row>
    <row r="76" spans="1:7" ht="16.5" x14ac:dyDescent="0.35">
      <c r="A76" t="s">
        <v>82</v>
      </c>
      <c r="B76" s="1" t="s">
        <v>150</v>
      </c>
      <c r="C76" s="3" t="str">
        <f>'Sheet1 (2)'!C76&amp;"±"&amp;'Sheet1 (2)'!D76</f>
        <v>1.4±0.6</v>
      </c>
      <c r="D76" s="3" t="str">
        <f>'Sheet1 (2)'!E76&amp;"±"&amp;'Sheet1 (2)'!F76</f>
        <v>4.7±2.1</v>
      </c>
      <c r="E76" s="3" t="str">
        <f>'Sheet1 (2)'!G76&amp;"±"&amp;'Sheet1 (2)'!H76</f>
        <v>3.4±1.3</v>
      </c>
      <c r="F76" s="3" t="str">
        <f>'Sheet1 (2)'!I76&amp;"±"&amp;'Sheet1 (2)'!J76</f>
        <v>1.4±0.6</v>
      </c>
      <c r="G76" s="3" t="str">
        <f>'Sheet1 (2)'!K76&amp;"±"&amp;'Sheet1 (2)'!L76</f>
        <v>7.5±3.2</v>
      </c>
    </row>
    <row r="77" spans="1:7" ht="16.5" x14ac:dyDescent="0.35">
      <c r="A77" t="s">
        <v>83</v>
      </c>
      <c r="B77" s="1" t="s">
        <v>150</v>
      </c>
      <c r="C77" s="3" t="str">
        <f>'Sheet1 (2)'!C77&amp;"±"&amp;'Sheet1 (2)'!D77</f>
        <v>0.5±0.2</v>
      </c>
      <c r="D77" s="3" t="str">
        <f>'Sheet1 (2)'!E77&amp;"±"&amp;'Sheet1 (2)'!F77</f>
        <v>1.5±0.7</v>
      </c>
      <c r="E77" s="3" t="str">
        <f>'Sheet1 (2)'!G77&amp;"±"&amp;'Sheet1 (2)'!H77</f>
        <v>0.9±0.4</v>
      </c>
      <c r="F77" s="3" t="str">
        <f>'Sheet1 (2)'!I77&amp;"±"&amp;'Sheet1 (2)'!J77</f>
        <v>0.4±0.2</v>
      </c>
      <c r="G77" s="3" t="str">
        <f>'Sheet1 (2)'!K77&amp;"±"&amp;'Sheet1 (2)'!L77</f>
        <v>2.3±1</v>
      </c>
    </row>
    <row r="78" spans="1:7" ht="16.5" x14ac:dyDescent="0.35">
      <c r="A78" t="s">
        <v>84</v>
      </c>
      <c r="B78" s="1" t="s">
        <v>150</v>
      </c>
      <c r="C78" s="3" t="str">
        <f>'Sheet1 (2)'!C78&amp;"±"&amp;'Sheet1 (2)'!D78</f>
        <v>28.9±4.5</v>
      </c>
      <c r="D78" s="3" t="str">
        <f>'Sheet1 (2)'!E78&amp;"±"&amp;'Sheet1 (2)'!F78</f>
        <v>88.1±16.5</v>
      </c>
      <c r="E78" s="3" t="str">
        <f>'Sheet1 (2)'!G78&amp;"±"&amp;'Sheet1 (2)'!H78</f>
        <v>33.5±11.8</v>
      </c>
      <c r="F78" s="3" t="str">
        <f>'Sheet1 (2)'!I78&amp;"±"&amp;'Sheet1 (2)'!J78</f>
        <v>29.6±6</v>
      </c>
      <c r="G78" s="3" t="str">
        <f>'Sheet1 (2)'!K78&amp;"±"&amp;'Sheet1 (2)'!L78</f>
        <v>124.3±31.5</v>
      </c>
    </row>
    <row r="79" spans="1:7" ht="16.5" x14ac:dyDescent="0.35">
      <c r="A79" t="s">
        <v>85</v>
      </c>
      <c r="B79" s="1" t="s">
        <v>150</v>
      </c>
      <c r="C79" s="3" t="str">
        <f>'Sheet1 (2)'!C79&amp;"±"&amp;'Sheet1 (2)'!D79</f>
        <v>19.7±6.1</v>
      </c>
      <c r="D79" s="3" t="str">
        <f>'Sheet1 (2)'!E79&amp;"±"&amp;'Sheet1 (2)'!F79</f>
        <v>56.5±18.7</v>
      </c>
      <c r="E79" s="3" t="str">
        <f>'Sheet1 (2)'!G79&amp;"±"&amp;'Sheet1 (2)'!H79</f>
        <v>17.1±6.9</v>
      </c>
      <c r="F79" s="3" t="str">
        <f>'Sheet1 (2)'!I79&amp;"±"&amp;'Sheet1 (2)'!J79</f>
        <v>19.1±6.8</v>
      </c>
      <c r="G79" s="3" t="str">
        <f>'Sheet1 (2)'!K79&amp;"±"&amp;'Sheet1 (2)'!L79</f>
        <v>74.8±29</v>
      </c>
    </row>
    <row r="80" spans="1:7" ht="16.5" x14ac:dyDescent="0.35">
      <c r="A80" t="s">
        <v>86</v>
      </c>
      <c r="B80" s="1" t="s">
        <v>150</v>
      </c>
      <c r="C80" s="3" t="str">
        <f>'Sheet1 (2)'!C80&amp;"±"&amp;'Sheet1 (2)'!D80</f>
        <v>40.8±17</v>
      </c>
      <c r="D80" s="3" t="str">
        <f>'Sheet1 (2)'!E80&amp;"±"&amp;'Sheet1 (2)'!F80</f>
        <v>117.3±51.3</v>
      </c>
      <c r="E80" s="3" t="str">
        <f>'Sheet1 (2)'!G80&amp;"±"&amp;'Sheet1 (2)'!H80</f>
        <v>25.4±12</v>
      </c>
      <c r="F80" s="3" t="str">
        <f>'Sheet1 (2)'!I80&amp;"±"&amp;'Sheet1 (2)'!J80</f>
        <v>37.4±17.6</v>
      </c>
      <c r="G80" s="3" t="str">
        <f>'Sheet1 (2)'!K80&amp;"±"&amp;'Sheet1 (2)'!L80</f>
        <v>136.2±65.3</v>
      </c>
    </row>
    <row r="81" spans="1:7" ht="16.5" x14ac:dyDescent="0.35">
      <c r="A81" t="s">
        <v>87</v>
      </c>
      <c r="B81" s="1" t="s">
        <v>150</v>
      </c>
      <c r="C81" s="3" t="str">
        <f>'Sheet1 (2)'!C81&amp;"±"&amp;'Sheet1 (2)'!D81</f>
        <v>2.4±1</v>
      </c>
      <c r="D81" s="3" t="str">
        <f>'Sheet1 (2)'!E81&amp;"±"&amp;'Sheet1 (2)'!F81</f>
        <v>1.8±0.8</v>
      </c>
      <c r="E81" s="3" t="str">
        <f>'Sheet1 (2)'!G81&amp;"±"&amp;'Sheet1 (2)'!H81</f>
        <v>1.4±0.6</v>
      </c>
      <c r="F81" s="3" t="str">
        <f>'Sheet1 (2)'!I81&amp;"±"&amp;'Sheet1 (2)'!J81</f>
        <v>0.7±0.3</v>
      </c>
      <c r="G81" s="3" t="str">
        <f>'Sheet1 (2)'!K81&amp;"±"&amp;'Sheet1 (2)'!L81</f>
        <v>0.02±0.01</v>
      </c>
    </row>
    <row r="82" spans="1:7" ht="16.5" x14ac:dyDescent="0.35">
      <c r="A82" t="s">
        <v>88</v>
      </c>
      <c r="B82" s="1" t="s">
        <v>150</v>
      </c>
      <c r="C82" s="3" t="str">
        <f>'Sheet1 (2)'!C82&amp;"±"&amp;'Sheet1 (2)'!D82</f>
        <v>31±11.6</v>
      </c>
      <c r="D82" s="3" t="str">
        <f>'Sheet1 (2)'!E82&amp;"±"&amp;'Sheet1 (2)'!F82</f>
        <v>112±40.4</v>
      </c>
      <c r="E82" s="3" t="str">
        <f>'Sheet1 (2)'!G82&amp;"±"&amp;'Sheet1 (2)'!H82</f>
        <v>3.6±2.7</v>
      </c>
      <c r="F82" s="3" t="str">
        <f>'Sheet1 (2)'!I82&amp;"±"&amp;'Sheet1 (2)'!J82</f>
        <v>17.5±6.1</v>
      </c>
      <c r="G82" s="3" t="str">
        <f>'Sheet1 (2)'!K82&amp;"±"&amp;'Sheet1 (2)'!L82</f>
        <v>1.1±0.4</v>
      </c>
    </row>
    <row r="83" spans="1:7" ht="16.5" x14ac:dyDescent="0.35">
      <c r="A83" t="s">
        <v>89</v>
      </c>
      <c r="B83" s="1" t="s">
        <v>150</v>
      </c>
      <c r="C83" s="3" t="str">
        <f>'Sheet1 (2)'!C83&amp;"±"&amp;'Sheet1 (2)'!D83</f>
        <v>33.8±10.1</v>
      </c>
      <c r="D83" s="3" t="str">
        <f>'Sheet1 (2)'!E83&amp;"±"&amp;'Sheet1 (2)'!F83</f>
        <v>19.4±8.3</v>
      </c>
      <c r="E83" s="3" t="str">
        <f>'Sheet1 (2)'!G83&amp;"±"&amp;'Sheet1 (2)'!H83</f>
        <v>23.2±5.1</v>
      </c>
      <c r="F83" s="3" t="str">
        <f>'Sheet1 (2)'!I83&amp;"±"&amp;'Sheet1 (2)'!J83</f>
        <v>10.2±3.3</v>
      </c>
      <c r="G83" s="3" t="str">
        <f>'Sheet1 (2)'!K83&amp;"±"&amp;'Sheet1 (2)'!L83</f>
        <v>0.2±0.1</v>
      </c>
    </row>
    <row r="84" spans="1:7" ht="16.5" x14ac:dyDescent="0.35">
      <c r="A84" t="s">
        <v>90</v>
      </c>
      <c r="B84" s="1" t="s">
        <v>150</v>
      </c>
      <c r="C84" s="3" t="str">
        <f>'Sheet1 (2)'!C84&amp;"±"&amp;'Sheet1 (2)'!D84</f>
        <v>8.2±3.4</v>
      </c>
      <c r="D84" s="3" t="str">
        <f>'Sheet1 (2)'!E84&amp;"±"&amp;'Sheet1 (2)'!F84</f>
        <v>5.8±2.7</v>
      </c>
      <c r="E84" s="3" t="str">
        <f>'Sheet1 (2)'!G84&amp;"±"&amp;'Sheet1 (2)'!H84</f>
        <v>5.1±2</v>
      </c>
      <c r="F84" s="3" t="str">
        <f>'Sheet1 (2)'!I84&amp;"±"&amp;'Sheet1 (2)'!J84</f>
        <v>2.6±1.1</v>
      </c>
      <c r="G84" s="3" t="str">
        <f>'Sheet1 (2)'!K84&amp;"±"&amp;'Sheet1 (2)'!L84</f>
        <v>0.1±0.03</v>
      </c>
    </row>
    <row r="85" spans="1:7" ht="16.5" x14ac:dyDescent="0.35">
      <c r="A85" t="s">
        <v>91</v>
      </c>
      <c r="B85" s="1" t="s">
        <v>150</v>
      </c>
      <c r="C85" s="3" t="str">
        <f>'Sheet1 (2)'!C85&amp;"±"&amp;'Sheet1 (2)'!D85</f>
        <v>84.2±57.1</v>
      </c>
      <c r="D85" s="3" t="str">
        <f>'Sheet1 (2)'!E85&amp;"±"&amp;'Sheet1 (2)'!F85</f>
        <v>93.6±63.6</v>
      </c>
      <c r="E85" s="3" t="str">
        <f>'Sheet1 (2)'!G85&amp;"±"&amp;'Sheet1 (2)'!H85</f>
        <v>44.6±26.6</v>
      </c>
      <c r="F85" s="3" t="str">
        <f>'Sheet1 (2)'!I85&amp;"±"&amp;'Sheet1 (2)'!J85</f>
        <v>36.6±24.6</v>
      </c>
      <c r="G85" s="3" t="str">
        <f>'Sheet1 (2)'!K85&amp;"±3.1E-14"</f>
        <v>1.2±3.1E-14</v>
      </c>
    </row>
    <row r="86" spans="1:7" ht="16.5" x14ac:dyDescent="0.35">
      <c r="A86" t="s">
        <v>92</v>
      </c>
      <c r="B86" s="1" t="s">
        <v>150</v>
      </c>
      <c r="C86" s="3" t="str">
        <f>'Sheet1 (2)'!C86&amp;"±"&amp;'Sheet1 (2)'!D86</f>
        <v>44.7±32.4</v>
      </c>
      <c r="D86" s="3" t="str">
        <f>'Sheet1 (2)'!E86&amp;"±"&amp;'Sheet1 (2)'!F86</f>
        <v>56.5±41.4</v>
      </c>
      <c r="E86" s="3" t="str">
        <f>'Sheet1 (2)'!G86&amp;"±"&amp;'Sheet1 (2)'!H86</f>
        <v>20.8±14.9</v>
      </c>
      <c r="F86" s="3" t="str">
        <f>'Sheet1 (2)'!I86&amp;"±"&amp;'Sheet1 (2)'!J86</f>
        <v>19.1±13.9</v>
      </c>
      <c r="G86" s="3" t="str">
        <f>'Sheet1 (2)'!K86&amp;"±3.9E-15"</f>
        <v>0.6±3.9E-15</v>
      </c>
    </row>
    <row r="87" spans="1:7" ht="16.5" x14ac:dyDescent="0.35">
      <c r="A87" t="s">
        <v>93</v>
      </c>
      <c r="B87" s="1" t="s">
        <v>150</v>
      </c>
      <c r="C87" s="3" t="str">
        <f>'Sheet1 (2)'!C87&amp;"±"&amp;'Sheet1 (2)'!D87</f>
        <v>109.5±52.5</v>
      </c>
      <c r="D87" s="3" t="str">
        <f>'Sheet1 (2)'!E87&amp;"±"&amp;'Sheet1 (2)'!F87</f>
        <v>206±109.1</v>
      </c>
      <c r="E87" s="3" t="str">
        <f>'Sheet1 (2)'!G87&amp;"±"&amp;'Sheet1 (2)'!H87</f>
        <v>45.1±21.2</v>
      </c>
      <c r="F87" s="3" t="str">
        <f>'Sheet1 (2)'!I87&amp;"±"&amp;'Sheet1 (2)'!J87</f>
        <v>46.3±22.7</v>
      </c>
      <c r="G87" s="3" t="str">
        <f>'Sheet1 (2)'!K87&amp;"±"&amp;'Sheet1 (2)'!L87</f>
        <v>2±0.5</v>
      </c>
    </row>
    <row r="88" spans="1:7" ht="16.5" x14ac:dyDescent="0.35">
      <c r="A88" t="s">
        <v>94</v>
      </c>
      <c r="B88" s="1" t="s">
        <v>150</v>
      </c>
      <c r="C88" s="3" t="str">
        <f>'Sheet1 (2)'!C88&amp;"±"&amp;'Sheet1 (2)'!D88</f>
        <v>83.5±56.8</v>
      </c>
      <c r="D88" s="3" t="str">
        <f>'Sheet1 (2)'!E88&amp;"±"&amp;'Sheet1 (2)'!F88</f>
        <v>96.3±66.4</v>
      </c>
      <c r="E88" s="3" t="str">
        <f>'Sheet1 (2)'!G88&amp;"±"&amp;'Sheet1 (2)'!H88</f>
        <v>37.2±23.8</v>
      </c>
      <c r="F88" s="3" t="str">
        <f>'Sheet1 (2)'!I88&amp;"±"&amp;'Sheet1 (2)'!J88</f>
        <v>33.3±23.8</v>
      </c>
      <c r="G88" s="3" t="str">
        <f>'Sheet1 (2)'!K88&amp;"±2.4E-16"</f>
        <v>0.04±2.4E-16</v>
      </c>
    </row>
    <row r="89" spans="1:7" ht="16.5" x14ac:dyDescent="0.35">
      <c r="A89" t="s">
        <v>95</v>
      </c>
      <c r="B89" s="1" t="s">
        <v>150</v>
      </c>
      <c r="C89" s="3" t="str">
        <f>'Sheet1 (2)'!C89&amp;"±"&amp;'Sheet1 (2)'!D89</f>
        <v>44.9±32.4</v>
      </c>
      <c r="D89" s="3" t="str">
        <f>'Sheet1 (2)'!E89&amp;"±"&amp;'Sheet1 (2)'!F89</f>
        <v>52.9±39.4</v>
      </c>
      <c r="E89" s="3" t="str">
        <f>'Sheet1 (2)'!G89&amp;"±"&amp;'Sheet1 (2)'!H89</f>
        <v>20±14.5</v>
      </c>
      <c r="F89" s="3" t="str">
        <f>'Sheet1 (2)'!I89&amp;"±"&amp;'Sheet1 (2)'!J89</f>
        <v>18.5±13.7</v>
      </c>
      <c r="G89" s="3" t="str">
        <f>'Sheet1 (2)'!K89&amp;"±2.9E-16"</f>
        <v>0.03±2.9E-16</v>
      </c>
    </row>
    <row r="90" spans="1:7" ht="16.5" x14ac:dyDescent="0.35">
      <c r="A90" t="s">
        <v>96</v>
      </c>
      <c r="B90" s="1" t="s">
        <v>150</v>
      </c>
      <c r="C90" s="3" t="str">
        <f>'Sheet1 (2)'!C90&amp;"±"&amp;'Sheet1 (2)'!D90</f>
        <v>14.4±4</v>
      </c>
      <c r="D90" s="3" t="str">
        <f>'Sheet1 (2)'!E90&amp;"±"&amp;'Sheet1 (2)'!F90</f>
        <v>0.6±0.3</v>
      </c>
      <c r="E90" s="3" t="str">
        <f>'Sheet1 (2)'!G90&amp;"±"&amp;'Sheet1 (2)'!H90</f>
        <v>0.03±0.01</v>
      </c>
      <c r="F90" s="3" t="str">
        <f>'Sheet1 (2)'!I90&amp;"±"&amp;'Sheet1 (2)'!J90</f>
        <v>4.5±0.4</v>
      </c>
      <c r="G90" s="3" t="str">
        <f>'Sheet1 (2)'!K90&amp;"±"&amp;'Sheet1 (2)'!L90</f>
        <v>23.8±3.9</v>
      </c>
    </row>
    <row r="91" spans="1:7" ht="16.5" x14ac:dyDescent="0.35">
      <c r="A91" t="s">
        <v>97</v>
      </c>
      <c r="B91" s="1" t="s">
        <v>150</v>
      </c>
      <c r="C91" s="3" t="str">
        <f>'Sheet1 (2)'!C91&amp;"±"&amp;'Sheet1 (2)'!D91</f>
        <v>0.2±0.1</v>
      </c>
      <c r="D91" s="3" t="str">
        <f>'Sheet1 (2)'!E91&amp;"±"&amp;'Sheet1 (2)'!F91</f>
        <v>24.2±2.8</v>
      </c>
      <c r="E91" s="3" t="str">
        <f>'Sheet1 (2)'!G91&amp;"±"&amp;'Sheet1 (2)'!H91</f>
        <v>1.7±0.1</v>
      </c>
      <c r="F91" s="3" t="str">
        <f>'Sheet1 (2)'!I91&amp;"±"&amp;'Sheet1 (2)'!J91</f>
        <v>1.1±0.3</v>
      </c>
      <c r="G91" s="3" t="str">
        <f>'Sheet1 (2)'!K91&amp;"±"&amp;'Sheet1 (2)'!L91</f>
        <v>0.4±0.2</v>
      </c>
    </row>
    <row r="92" spans="1:7" ht="16.5" x14ac:dyDescent="0.35">
      <c r="A92" t="s">
        <v>98</v>
      </c>
      <c r="B92" s="1" t="s">
        <v>150</v>
      </c>
      <c r="C92" s="3" t="str">
        <f>'Sheet1 (2)'!C92&amp;"±"&amp;'Sheet1 (2)'!D92</f>
        <v>0.1±0.05</v>
      </c>
      <c r="D92" s="3" t="str">
        <f>'Sheet1 (2)'!E92&amp;"±"&amp;'Sheet1 (2)'!F92</f>
        <v>9.5±2.1</v>
      </c>
      <c r="E92" s="3" t="str">
        <f>'Sheet1 (2)'!G92&amp;"±"&amp;'Sheet1 (2)'!H92</f>
        <v>0.6±0.1</v>
      </c>
      <c r="F92" s="3" t="str">
        <f>'Sheet1 (2)'!I92&amp;"±"&amp;'Sheet1 (2)'!J92</f>
        <v>0.5±0.2</v>
      </c>
      <c r="G92" s="3" t="str">
        <f>'Sheet1 (2)'!K92&amp;"±"&amp;'Sheet1 (2)'!L92</f>
        <v>0.3±0.1</v>
      </c>
    </row>
    <row r="93" spans="1:7" ht="16.5" x14ac:dyDescent="0.35">
      <c r="A93" t="s">
        <v>99</v>
      </c>
      <c r="B93" s="1" t="s">
        <v>150</v>
      </c>
      <c r="C93" s="3" t="str">
        <f>'Sheet1 (2)'!C93&amp;"±"&amp;'Sheet1 (2)'!D93</f>
        <v>0.1±0.04</v>
      </c>
      <c r="D93" s="3" t="str">
        <f>'Sheet1 (2)'!E93&amp;"±"&amp;'Sheet1 (2)'!F93</f>
        <v>8±1.9</v>
      </c>
      <c r="E93" s="3" t="str">
        <f>'Sheet1 (2)'!G93&amp;"±"&amp;'Sheet1 (2)'!H93</f>
        <v>0.5±0.05</v>
      </c>
      <c r="F93" s="3" t="str">
        <f>'Sheet1 (2)'!I93&amp;"±"&amp;'Sheet1 (2)'!J93</f>
        <v>0.4±0.1</v>
      </c>
      <c r="G93" s="3" t="str">
        <f>'Sheet1 (2)'!K93&amp;"±"&amp;'Sheet1 (2)'!L93</f>
        <v>0.2±0.1</v>
      </c>
    </row>
    <row r="94" spans="1:7" ht="16.5" x14ac:dyDescent="0.35">
      <c r="A94" t="s">
        <v>100</v>
      </c>
      <c r="B94" s="1" t="s">
        <v>150</v>
      </c>
      <c r="C94" s="3" t="str">
        <f>'Sheet1 (2)'!C94&amp;"±"&amp;'Sheet1 (2)'!D94</f>
        <v>21.6±6</v>
      </c>
      <c r="D94" s="3" t="str">
        <f>'Sheet1 (2)'!E94&amp;"±"&amp;'Sheet1 (2)'!F94</f>
        <v>169.6±4.3</v>
      </c>
      <c r="E94" s="3" t="str">
        <f>'Sheet1 (2)'!G94&amp;"±"&amp;'Sheet1 (2)'!H94</f>
        <v>12.3±0.03</v>
      </c>
      <c r="F94" s="3" t="str">
        <f>'Sheet1 (2)'!I94&amp;"±"&amp;'Sheet1 (2)'!J94</f>
        <v>25.4±0.8</v>
      </c>
      <c r="G94" s="3" t="str">
        <f>'Sheet1 (2)'!K94&amp;"±"&amp;'Sheet1 (2)'!L94</f>
        <v>48.8±15.4</v>
      </c>
    </row>
    <row r="95" spans="1:7" ht="16.5" x14ac:dyDescent="0.35">
      <c r="A95" t="s">
        <v>101</v>
      </c>
      <c r="B95" s="1" t="s">
        <v>150</v>
      </c>
      <c r="C95" s="3" t="str">
        <f>'Sheet1 (2)'!C95&amp;"±"&amp;'Sheet1 (2)'!D95</f>
        <v>11.3±3.7</v>
      </c>
      <c r="D95" s="3" t="str">
        <f>'Sheet1 (2)'!E95&amp;"±"&amp;'Sheet1 (2)'!F95</f>
        <v>32.1±5</v>
      </c>
      <c r="E95" s="3" t="str">
        <f>'Sheet1 (2)'!G95&amp;"±"&amp;'Sheet1 (2)'!H95</f>
        <v>1.9±0.04</v>
      </c>
      <c r="F95" s="3" t="str">
        <f>'Sheet1 (2)'!I95&amp;"±"&amp;'Sheet1 (2)'!J95</f>
        <v>5.1±0.9</v>
      </c>
      <c r="G95" s="3" t="str">
        <f>'Sheet1 (2)'!K95&amp;"±"&amp;'Sheet1 (2)'!L95</f>
        <v>25.2±9.2</v>
      </c>
    </row>
    <row r="96" spans="1:7" ht="16.5" x14ac:dyDescent="0.35">
      <c r="A96" t="s">
        <v>102</v>
      </c>
      <c r="B96" s="1" t="s">
        <v>150</v>
      </c>
      <c r="C96" s="3" t="str">
        <f>'Sheet1 (2)'!C96&amp;"±"&amp;'Sheet1 (2)'!D96</f>
        <v>15.8±6.5</v>
      </c>
      <c r="D96" s="3" t="str">
        <f>'Sheet1 (2)'!E96&amp;"±"&amp;'Sheet1 (2)'!F96</f>
        <v>32.5±5.4</v>
      </c>
      <c r="E96" s="3" t="str">
        <f>'Sheet1 (2)'!G96&amp;"±"&amp;'Sheet1 (2)'!H96</f>
        <v>1.9±0.04</v>
      </c>
      <c r="F96" s="3" t="str">
        <f>'Sheet1 (2)'!I96&amp;"±"&amp;'Sheet1 (2)'!J96</f>
        <v>5.1±1</v>
      </c>
      <c r="G96" s="3" t="str">
        <f>'Sheet1 (2)'!K96&amp;"±"&amp;'Sheet1 (2)'!L96</f>
        <v>37.2±16.1</v>
      </c>
    </row>
    <row r="97" spans="1:7" ht="16.5" x14ac:dyDescent="0.35">
      <c r="A97" t="s">
        <v>103</v>
      </c>
      <c r="B97" s="1" t="s">
        <v>150</v>
      </c>
      <c r="C97" s="3" t="str">
        <f>'Sheet1 (2)'!C97&amp;"±"&amp;'Sheet1 (2)'!D97</f>
        <v>16±4.7</v>
      </c>
      <c r="D97" s="3" t="str">
        <f>'Sheet1 (2)'!E97&amp;"±"&amp;'Sheet1 (2)'!F97</f>
        <v>16±4.7</v>
      </c>
      <c r="E97" s="3" t="str">
        <f>'Sheet1 (2)'!G97&amp;"±"&amp;'Sheet1 (2)'!H97</f>
        <v>13.4±3.9</v>
      </c>
      <c r="F97" s="3" t="str">
        <f>'Sheet1 (2)'!I97&amp;"±"&amp;'Sheet1 (2)'!J97</f>
        <v>12.5±3.5</v>
      </c>
      <c r="G97" s="3" t="str">
        <f>'Sheet1 (2)'!K97&amp;"±"&amp;'Sheet1 (2)'!L97</f>
        <v>5.6±1.6</v>
      </c>
    </row>
    <row r="98" spans="1:7" ht="16.5" x14ac:dyDescent="0.35">
      <c r="A98" t="s">
        <v>104</v>
      </c>
      <c r="B98" s="1" t="s">
        <v>150</v>
      </c>
      <c r="C98" s="3" t="str">
        <f>'Sheet1 (2)'!C98&amp;"±"&amp;'Sheet1 (2)'!D98</f>
        <v>66.3±44.7</v>
      </c>
      <c r="D98" s="3" t="str">
        <f>'Sheet1 (2)'!E98&amp;"±"&amp;'Sheet1 (2)'!F98</f>
        <v>57.7±39.6</v>
      </c>
      <c r="E98" s="3" t="str">
        <f>'Sheet1 (2)'!G98&amp;"±"&amp;'Sheet1 (2)'!H98</f>
        <v>61.8±40.5</v>
      </c>
      <c r="F98" s="3" t="str">
        <f>'Sheet1 (2)'!I98&amp;"±"&amp;'Sheet1 (2)'!J98</f>
        <v>54.5±34.3</v>
      </c>
      <c r="G98" s="3" t="str">
        <f>'Sheet1 (2)'!K98&amp;"±"&amp;'Sheet1 (2)'!L98</f>
        <v>25.9±18</v>
      </c>
    </row>
    <row r="99" spans="1:7" ht="16.5" x14ac:dyDescent="0.35">
      <c r="A99" t="s">
        <v>105</v>
      </c>
      <c r="B99" s="1" t="s">
        <v>150</v>
      </c>
      <c r="C99" s="3" t="str">
        <f>'Sheet1 (2)'!C99&amp;"±"&amp;'Sheet1 (2)'!D99</f>
        <v>34.6±25</v>
      </c>
      <c r="D99" s="3" t="str">
        <f>'Sheet1 (2)'!E99&amp;"±"&amp;'Sheet1 (2)'!F99</f>
        <v>28±21.4</v>
      </c>
      <c r="E99" s="3" t="str">
        <f>'Sheet1 (2)'!G99&amp;"±"&amp;'Sheet1 (2)'!H99</f>
        <v>29.7±22.3</v>
      </c>
      <c r="F99" s="3" t="str">
        <f>'Sheet1 (2)'!I99&amp;"±"&amp;'Sheet1 (2)'!J99</f>
        <v>25.7±18.5</v>
      </c>
      <c r="G99" s="3" t="str">
        <f>'Sheet1 (2)'!K99&amp;"±"&amp;'Sheet1 (2)'!L99</f>
        <v>11.1±9.1</v>
      </c>
    </row>
    <row r="100" spans="1:7" ht="16.5" x14ac:dyDescent="0.35">
      <c r="A100" t="s">
        <v>106</v>
      </c>
      <c r="B100" s="1" t="s">
        <v>150</v>
      </c>
      <c r="C100" s="3" t="str">
        <f>'Sheet1 (2)'!C100&amp;"±"&amp;'Sheet1 (2)'!D100</f>
        <v>62.2±43.4</v>
      </c>
      <c r="D100" s="3" t="str">
        <f>'Sheet1 (2)'!E100&amp;"±"&amp;'Sheet1 (2)'!F100</f>
        <v>57.2±39.2</v>
      </c>
      <c r="E100" s="3" t="str">
        <f>'Sheet1 (2)'!G100&amp;"±"&amp;'Sheet1 (2)'!H100</f>
        <v>48.2±29.8</v>
      </c>
      <c r="F100" s="3" t="str">
        <f>'Sheet1 (2)'!I100&amp;"±"&amp;'Sheet1 (2)'!J100</f>
        <v>41±30.6</v>
      </c>
      <c r="G100" s="3" t="str">
        <f>'Sheet1 (2)'!K100&amp;"±"&amp;'Sheet1 (2)'!L100</f>
        <v>24.1±17.4</v>
      </c>
    </row>
    <row r="101" spans="1:7" ht="16.5" x14ac:dyDescent="0.35">
      <c r="A101" t="s">
        <v>107</v>
      </c>
      <c r="B101" s="1" t="s">
        <v>150</v>
      </c>
      <c r="C101" s="3" t="str">
        <f>'Sheet1 (2)'!C101&amp;"±"&amp;'Sheet1 (2)'!D101</f>
        <v>33.5±24.5</v>
      </c>
      <c r="D101" s="3" t="str">
        <f>'Sheet1 (2)'!E101&amp;"±"&amp;'Sheet1 (2)'!F101</f>
        <v>27.6±21</v>
      </c>
      <c r="E101" s="3" t="str">
        <f>'Sheet1 (2)'!G101&amp;"±"&amp;'Sheet1 (2)'!H101</f>
        <v>22.9±19.5</v>
      </c>
      <c r="F101" s="3" t="str">
        <f>'Sheet1 (2)'!I101&amp;"±"&amp;'Sheet1 (2)'!J101</f>
        <v>22.6±17.2</v>
      </c>
      <c r="G101" s="3" t="str">
        <f>'Sheet1 (2)'!K101&amp;"±"&amp;'Sheet1 (2)'!L101</f>
        <v>11.3±9.3</v>
      </c>
    </row>
    <row r="102" spans="1:7" ht="16.5" x14ac:dyDescent="0.35">
      <c r="A102" t="s">
        <v>108</v>
      </c>
      <c r="B102" s="1" t="s">
        <v>150</v>
      </c>
      <c r="C102" s="3" t="str">
        <f>'Sheet1 (2)'!C102&amp;"±"&amp;'Sheet1 (2)'!D102</f>
        <v>75.1±35.7</v>
      </c>
      <c r="D102" s="3" t="str">
        <f>'Sheet1 (2)'!E102&amp;"±"&amp;'Sheet1 (2)'!F102</f>
        <v>67±31.7</v>
      </c>
      <c r="E102" s="3" t="str">
        <f>'Sheet1 (2)'!G102&amp;"±"&amp;'Sheet1 (2)'!H102</f>
        <v>56.9±28.1</v>
      </c>
      <c r="F102" s="3" t="str">
        <f>'Sheet1 (2)'!I102&amp;"±"&amp;'Sheet1 (2)'!J102</f>
        <v>53.5±25.4</v>
      </c>
      <c r="G102" s="3" t="str">
        <f>'Sheet1 (2)'!K102&amp;"±"&amp;'Sheet1 (2)'!L102</f>
        <v>29.3±14.4</v>
      </c>
    </row>
    <row r="103" spans="1:7" ht="16.5" x14ac:dyDescent="0.35">
      <c r="A103" t="s">
        <v>109</v>
      </c>
      <c r="B103" s="1" t="s">
        <v>150</v>
      </c>
      <c r="C103" s="3" t="str">
        <f>'Sheet1 (2)'!C103&amp;"±"&amp;'Sheet1 (2)'!D103</f>
        <v>30.8±22.6</v>
      </c>
      <c r="D103" s="3" t="str">
        <f>'Sheet1 (2)'!E103&amp;"±"&amp;'Sheet1 (2)'!F103</f>
        <v>27.4±20</v>
      </c>
      <c r="E103" s="3" t="str">
        <f>'Sheet1 (2)'!G103&amp;"±"&amp;'Sheet1 (2)'!H103</f>
        <v>22±17.4</v>
      </c>
      <c r="F103" s="3" t="str">
        <f>'Sheet1 (2)'!I103&amp;"±"&amp;'Sheet1 (2)'!J103</f>
        <v>20.7±15.7</v>
      </c>
      <c r="G103" s="3" t="str">
        <f>'Sheet1 (2)'!K103&amp;"±"&amp;'Sheet1 (2)'!L103</f>
        <v>12.1±8.9</v>
      </c>
    </row>
    <row r="104" spans="1:7" ht="16.5" x14ac:dyDescent="0.35">
      <c r="A104" t="s">
        <v>110</v>
      </c>
      <c r="B104" s="1" t="s">
        <v>150</v>
      </c>
      <c r="C104" s="3" t="str">
        <f>'Sheet1 (2)'!C104&amp;"±"&amp;'Sheet1 (2)'!D104</f>
        <v>8.8±5.2</v>
      </c>
      <c r="D104" s="3" t="str">
        <f>'Sheet1 (2)'!E104&amp;"±"&amp;'Sheet1 (2)'!F104</f>
        <v>0.4±0.3</v>
      </c>
      <c r="E104" s="3" t="str">
        <f>'Sheet1 (2)'!G104&amp;"±"&amp;'Sheet1 (2)'!H104</f>
        <v>0.01±0.01</v>
      </c>
      <c r="F104" s="3" t="str">
        <f>'Sheet1 (2)'!I104&amp;"±"&amp;'Sheet1 (2)'!J104</f>
        <v>0.2±0.1</v>
      </c>
      <c r="G104" s="3" t="str">
        <f>'Sheet1 (2)'!K104&amp;"±"&amp;'Sheet1 (2)'!L104</f>
        <v>1.1±0.8</v>
      </c>
    </row>
    <row r="105" spans="1:7" ht="16.5" x14ac:dyDescent="0.35">
      <c r="A105" t="s">
        <v>111</v>
      </c>
      <c r="B105" s="1" t="s">
        <v>150</v>
      </c>
      <c r="C105" s="3" t="str">
        <f>'Sheet1 (2)'!C105&amp;"±"&amp;'Sheet1 (2)'!D105</f>
        <v>210.2±58.4</v>
      </c>
      <c r="D105" s="3" t="str">
        <f>'Sheet1 (2)'!E105&amp;"±"&amp;'Sheet1 (2)'!F105</f>
        <v>89.9±31.5</v>
      </c>
      <c r="E105" s="3" t="str">
        <f>'Sheet1 (2)'!G105&amp;"±"&amp;'Sheet1 (2)'!H105</f>
        <v>0.6±0.3</v>
      </c>
      <c r="F105" s="3" t="str">
        <f>'Sheet1 (2)'!I105&amp;"±"&amp;'Sheet1 (2)'!J105</f>
        <v>138.1±38.8</v>
      </c>
      <c r="G105" s="3" t="str">
        <f>'Sheet1 (2)'!K105&amp;"±"&amp;'Sheet1 (2)'!L105</f>
        <v>0.4±0.2</v>
      </c>
    </row>
    <row r="106" spans="1:7" ht="16.5" x14ac:dyDescent="0.35">
      <c r="A106" t="s">
        <v>112</v>
      </c>
      <c r="B106" s="1" t="s">
        <v>150</v>
      </c>
      <c r="C106" s="3" t="str">
        <f>'Sheet1 (2)'!C106&amp;"±"&amp;'Sheet1 (2)'!D106</f>
        <v>858±497.8</v>
      </c>
      <c r="D106" s="3" t="str">
        <f>'Sheet1 (2)'!E106&amp;"±"&amp;'Sheet1 (2)'!F106</f>
        <v>224.8±140.2</v>
      </c>
      <c r="E106" s="3" t="str">
        <f>'Sheet1 (2)'!G106&amp;"±"&amp;'Sheet1 (2)'!H106</f>
        <v>13.7±6.7</v>
      </c>
      <c r="F106" s="3" t="str">
        <f>'Sheet1 (2)'!I106&amp;"±"&amp;'Sheet1 (2)'!J106</f>
        <v>406.3±187.3</v>
      </c>
      <c r="G106" s="3" t="str">
        <f>'Sheet1 (2)'!K106&amp;"±2.4E-14"</f>
        <v>2.5±2.4E-14</v>
      </c>
    </row>
    <row r="107" spans="1:7" ht="16.5" x14ac:dyDescent="0.35">
      <c r="A107" t="s">
        <v>113</v>
      </c>
      <c r="B107" s="1" t="s">
        <v>150</v>
      </c>
      <c r="C107" s="3" t="str">
        <f>'Sheet1 (2)'!C107&amp;"±"&amp;'Sheet1 (2)'!D107</f>
        <v>420.8±283.8</v>
      </c>
      <c r="D107" s="3" t="str">
        <f>'Sheet1 (2)'!E107&amp;"±"&amp;'Sheet1 (2)'!F107</f>
        <v>124.5±84.7</v>
      </c>
      <c r="E107" s="3" t="str">
        <f>'Sheet1 (2)'!G107&amp;"±"&amp;'Sheet1 (2)'!H107</f>
        <v>8.5±5.2</v>
      </c>
      <c r="F107" s="3" t="str">
        <f>'Sheet1 (2)'!I107&amp;"±"&amp;'Sheet1 (2)'!J107</f>
        <v>213.6±118.9</v>
      </c>
      <c r="G107" s="3" t="str">
        <f>'Sheet1 (2)'!K107&amp;"±1.7E-14"</f>
        <v>1.4±1.7E-14</v>
      </c>
    </row>
    <row r="108" spans="1:7" ht="16.5" x14ac:dyDescent="0.35">
      <c r="A108" t="s">
        <v>114</v>
      </c>
      <c r="B108" s="1" t="s">
        <v>150</v>
      </c>
      <c r="C108" s="3" t="str">
        <f>'Sheet1 (2)'!C108&amp;"±"&amp;'Sheet1 (2)'!D108</f>
        <v>956.2±307.5</v>
      </c>
      <c r="D108" s="3" t="str">
        <f>'Sheet1 (2)'!E108&amp;"±"&amp;'Sheet1 (2)'!F108</f>
        <v>734.4±175.6</v>
      </c>
      <c r="E108" s="3" t="str">
        <f>'Sheet1 (2)'!G108&amp;"±"&amp;'Sheet1 (2)'!H108</f>
        <v>16.1±4.4</v>
      </c>
      <c r="F108" s="3" t="str">
        <f>'Sheet1 (2)'!I108&amp;"±"&amp;'Sheet1 (2)'!J108</f>
        <v>927.2±179.8</v>
      </c>
      <c r="G108" s="3" t="str">
        <f>'Sheet1 (2)'!K108&amp;"±"&amp;'Sheet1 (2)'!L108</f>
        <v>3.9±1.1</v>
      </c>
    </row>
    <row r="109" spans="1:7" ht="16.5" x14ac:dyDescent="0.35">
      <c r="A109" t="s">
        <v>115</v>
      </c>
      <c r="B109" s="1" t="s">
        <v>150</v>
      </c>
      <c r="C109" s="3" t="str">
        <f>'Sheet1 (2)'!C109&amp;"±"&amp;'Sheet1 (2)'!D109</f>
        <v>584.7±274.3</v>
      </c>
      <c r="D109" s="3" t="str">
        <f>'Sheet1 (2)'!E109&amp;"±"&amp;'Sheet1 (2)'!F109</f>
        <v>209.1±90.6</v>
      </c>
      <c r="E109" s="3" t="str">
        <f>'Sheet1 (2)'!G109&amp;"±"&amp;'Sheet1 (2)'!H109</f>
        <v>16.1±6.5</v>
      </c>
      <c r="F109" s="3" t="str">
        <f>'Sheet1 (2)'!I109&amp;"±"&amp;'Sheet1 (2)'!J109</f>
        <v>220.8±102.1</v>
      </c>
      <c r="G109" s="3" t="str">
        <f>'Sheet1 (2)'!K109&amp;"±"&amp;'Sheet1 (2)'!L109</f>
        <v>1.5±0.9</v>
      </c>
    </row>
    <row r="110" spans="1:7" ht="16.5" x14ac:dyDescent="0.35">
      <c r="A110" t="s">
        <v>116</v>
      </c>
      <c r="B110" s="1" t="s">
        <v>150</v>
      </c>
      <c r="C110" s="3" t="str">
        <f>'Sheet1 (2)'!C110&amp;"±"&amp;'Sheet1 (2)'!D110</f>
        <v>67.9±31</v>
      </c>
      <c r="D110" s="3" t="str">
        <f>'Sheet1 (2)'!E110&amp;"±"&amp;'Sheet1 (2)'!F110</f>
        <v>34.3±15.7</v>
      </c>
      <c r="E110" s="3" t="str">
        <f>'Sheet1 (2)'!G110&amp;"±"&amp;'Sheet1 (2)'!H110</f>
        <v>0.3±0.1</v>
      </c>
      <c r="F110" s="3" t="str">
        <f>'Sheet1 (2)'!I110&amp;"±"&amp;'Sheet1 (2)'!J110</f>
        <v>44.6±20.7</v>
      </c>
      <c r="G110" s="3" t="str">
        <f>'Sheet1 (2)'!K110&amp;"±"&amp;'Sheet1 (2)'!L110</f>
        <v>0.2±0.1</v>
      </c>
    </row>
    <row r="111" spans="1:7" ht="16.5" x14ac:dyDescent="0.35">
      <c r="A111" t="s">
        <v>117</v>
      </c>
      <c r="B111" s="1" t="s">
        <v>150</v>
      </c>
      <c r="C111" s="3" t="str">
        <f>'Sheet1 (2)'!C111&amp;"±"&amp;'Sheet1 (2)'!D111</f>
        <v>690.5±471</v>
      </c>
      <c r="D111" s="3" t="str">
        <f>'Sheet1 (2)'!E111&amp;"±"&amp;'Sheet1 (2)'!F111</f>
        <v>211±138.3</v>
      </c>
      <c r="E111" s="3" t="str">
        <f>'Sheet1 (2)'!G111&amp;"±"&amp;'Sheet1 (2)'!H111</f>
        <v>6.2±5.9</v>
      </c>
      <c r="F111" s="3" t="str">
        <f>'Sheet1 (2)'!I111&amp;"±"&amp;'Sheet1 (2)'!J111</f>
        <v>163.7±144.6</v>
      </c>
      <c r="G111" s="3" t="str">
        <f>'Sheet1 (2)'!K111&amp;"±"&amp;'Sheet1 (2)'!L111</f>
        <v>0.1±0</v>
      </c>
    </row>
    <row r="112" spans="1:7" ht="16.5" x14ac:dyDescent="0.35">
      <c r="A112" t="s">
        <v>118</v>
      </c>
      <c r="B112" s="1" t="s">
        <v>150</v>
      </c>
      <c r="C112" s="3" t="str">
        <f>'Sheet1 (2)'!C112&amp;"±"&amp;'Sheet1 (2)'!D112</f>
        <v>362.6±267.7</v>
      </c>
      <c r="D112" s="3" t="str">
        <f>'Sheet1 (2)'!E112&amp;"±"&amp;'Sheet1 (2)'!F112</f>
        <v>126.8±84.6</v>
      </c>
      <c r="E112" s="3" t="str">
        <f>'Sheet1 (2)'!G112&amp;"±"&amp;'Sheet1 (2)'!H112</f>
        <v>3.4±2.5</v>
      </c>
      <c r="F112" s="3" t="str">
        <f>'Sheet1 (2)'!I112&amp;"±"&amp;'Sheet1 (2)'!J112</f>
        <v>116.7±94.9</v>
      </c>
      <c r="G112" s="3" t="str">
        <f>'Sheet1 (2)'!K112&amp;"±"&amp;'Sheet1 (2)'!L112</f>
        <v>0±0</v>
      </c>
    </row>
    <row r="113" spans="1:7" ht="16.5" x14ac:dyDescent="0.35">
      <c r="A113" t="s">
        <v>119</v>
      </c>
      <c r="B113" s="1" t="s">
        <v>150</v>
      </c>
      <c r="C113" s="3" t="str">
        <f>'Sheet1 (2)'!C113&amp;"±"&amp;'Sheet1 (2)'!D113</f>
        <v>112.1±30.9</v>
      </c>
      <c r="D113" s="3" t="str">
        <f>'Sheet1 (2)'!E113&amp;"±"&amp;'Sheet1 (2)'!F113</f>
        <v>54.5±16.1</v>
      </c>
      <c r="E113" s="3" t="str">
        <f>'Sheet1 (2)'!G113&amp;"±"&amp;'Sheet1 (2)'!H113</f>
        <v>0.4±0.2</v>
      </c>
      <c r="F113" s="3" t="str">
        <f>'Sheet1 (2)'!I113&amp;"±"&amp;'Sheet1 (2)'!J113</f>
        <v>74.5±20.5</v>
      </c>
      <c r="G113" s="3" t="str">
        <f>'Sheet1 (2)'!K113&amp;"±"&amp;'Sheet1 (2)'!L113</f>
        <v>0.3±0.1</v>
      </c>
    </row>
    <row r="114" spans="1:7" ht="16.5" x14ac:dyDescent="0.35">
      <c r="A114" t="s">
        <v>120</v>
      </c>
      <c r="B114" s="1" t="s">
        <v>150</v>
      </c>
      <c r="C114" s="3" t="str">
        <f>'Sheet1 (2)'!C114&amp;"±"&amp;'Sheet1 (2)'!D114</f>
        <v>472.7±275.8</v>
      </c>
      <c r="D114" s="3" t="str">
        <f>'Sheet1 (2)'!E114&amp;"±"&amp;'Sheet1 (2)'!F114</f>
        <v>154.6±91.5</v>
      </c>
      <c r="E114" s="3" t="str">
        <f>'Sheet1 (2)'!G114&amp;"±"&amp;'Sheet1 (2)'!H114</f>
        <v>15.7±6.5</v>
      </c>
      <c r="F114" s="3" t="str">
        <f>'Sheet1 (2)'!I114&amp;"±"&amp;'Sheet1 (2)'!J114</f>
        <v>146.3±102.8</v>
      </c>
      <c r="G114" s="3" t="str">
        <f>'Sheet1 (2)'!K114&amp;"±"&amp;'Sheet1 (2)'!L114</f>
        <v>1.3±0.9</v>
      </c>
    </row>
    <row r="115" spans="1:7" ht="16.5" x14ac:dyDescent="0.35">
      <c r="A115" t="s">
        <v>121</v>
      </c>
      <c r="B115" s="1" t="s">
        <v>150</v>
      </c>
      <c r="C115" s="3" t="str">
        <f>'Sheet1 (2)'!C115&amp;"±"&amp;'Sheet1 (2)'!D115</f>
        <v>0.2±0.1</v>
      </c>
      <c r="D115" s="3" t="str">
        <f>'Sheet1 (2)'!E115&amp;"±"&amp;'Sheet1 (2)'!F115</f>
        <v>0.01±0.003</v>
      </c>
      <c r="E115" s="3" t="str">
        <f>'Sheet1 (2)'!G115&amp;"±"&amp;'Sheet1 (2)'!H115</f>
        <v>0.0002±0.0001</v>
      </c>
      <c r="F115" s="3" t="str">
        <f>'Sheet1 (2)'!I115&amp;"±"&amp;'Sheet1 (2)'!J115</f>
        <v>0.02±0.01</v>
      </c>
      <c r="G115" s="3" t="str">
        <f>'Sheet1 (2)'!K115&amp;"±"&amp;'Sheet1 (2)'!L115</f>
        <v>0.2±0.1</v>
      </c>
    </row>
    <row r="116" spans="1:7" ht="16.5" x14ac:dyDescent="0.35">
      <c r="A116" t="s">
        <v>122</v>
      </c>
      <c r="B116" s="1" t="s">
        <v>150</v>
      </c>
      <c r="C116" s="3" t="str">
        <f>'Sheet1 (2)'!C116&amp;"±"&amp;'Sheet1 (2)'!D116</f>
        <v>3±0.7</v>
      </c>
      <c r="D116" s="3" t="str">
        <f>'Sheet1 (2)'!E116&amp;"±"&amp;'Sheet1 (2)'!F116</f>
        <v>0.1±0.03</v>
      </c>
      <c r="E116" s="3" t="str">
        <f>'Sheet1 (2)'!G116&amp;"±"&amp;'Sheet1 (2)'!H116</f>
        <v>0.01±0.001</v>
      </c>
      <c r="F116" s="3" t="str">
        <f>'Sheet1 (2)'!I116&amp;"±"&amp;'Sheet1 (2)'!J116</f>
        <v>0.6±0.1</v>
      </c>
      <c r="G116" s="3" t="str">
        <f>'Sheet1 (2)'!K116&amp;"±"&amp;'Sheet1 (2)'!L116</f>
        <v>3.2±0.6</v>
      </c>
    </row>
    <row r="117" spans="1:7" ht="16.5" x14ac:dyDescent="0.35">
      <c r="A117" t="s">
        <v>123</v>
      </c>
      <c r="B117" s="1" t="s">
        <v>150</v>
      </c>
      <c r="C117" s="3" t="str">
        <f>'Sheet1 (2)'!C117&amp;"±"&amp;'Sheet1 (2)'!D117</f>
        <v>0.7±0.3</v>
      </c>
      <c r="D117" s="3" t="str">
        <f>'Sheet1 (2)'!E117&amp;"±"&amp;'Sheet1 (2)'!F117</f>
        <v>0.03±0.01</v>
      </c>
      <c r="E117" s="3" t="str">
        <f>'Sheet1 (2)'!G117&amp;"±"&amp;'Sheet1 (2)'!H117</f>
        <v>0.001±0.0003</v>
      </c>
      <c r="F117" s="3" t="str">
        <f>'Sheet1 (2)'!I117&amp;"±"&amp;'Sheet1 (2)'!J117</f>
        <v>0.1±0.03</v>
      </c>
      <c r="G117" s="3" t="str">
        <f>'Sheet1 (2)'!K117&amp;"±"&amp;'Sheet1 (2)'!L117</f>
        <v>0.7±0.3</v>
      </c>
    </row>
    <row r="118" spans="1:7" ht="16.5" x14ac:dyDescent="0.35">
      <c r="A118" t="s">
        <v>124</v>
      </c>
      <c r="B118" s="1" t="s">
        <v>150</v>
      </c>
      <c r="C118" s="3" t="str">
        <f>'Sheet1 (2)'!C118&amp;"±"&amp;'Sheet1 (2)'!D118</f>
        <v>9.4±2.3</v>
      </c>
      <c r="D118" s="3" t="str">
        <f>'Sheet1 (2)'!E118&amp;"±"&amp;'Sheet1 (2)'!F118</f>
        <v>0.4±0.1</v>
      </c>
      <c r="E118" s="3" t="str">
        <f>'Sheet1 (2)'!G118&amp;"±"&amp;'Sheet1 (2)'!H118</f>
        <v>0.02±0.002</v>
      </c>
      <c r="F118" s="3" t="str">
        <f>'Sheet1 (2)'!I118&amp;"±"&amp;'Sheet1 (2)'!J118</f>
        <v>1.7±0.5</v>
      </c>
      <c r="G118" s="3" t="str">
        <f>'Sheet1 (2)'!K118&amp;"±"&amp;'Sheet1 (2)'!L118</f>
        <v>9.6±2.6</v>
      </c>
    </row>
    <row r="119" spans="1:7" ht="16.5" x14ac:dyDescent="0.35">
      <c r="A119" t="s">
        <v>125</v>
      </c>
      <c r="B119" s="1" t="s">
        <v>150</v>
      </c>
      <c r="C119" s="3" t="str">
        <f>'Sheet1 (2)'!C119&amp;"±"&amp;'Sheet1 (2)'!D119</f>
        <v>4.4±1.8</v>
      </c>
      <c r="D119" s="3" t="str">
        <f>'Sheet1 (2)'!E119&amp;"±"&amp;'Sheet1 (2)'!F119</f>
        <v>0.2±0.1</v>
      </c>
      <c r="E119" s="3" t="str">
        <f>'Sheet1 (2)'!G119&amp;"±"&amp;'Sheet1 (2)'!H119</f>
        <v>0.01±0.002</v>
      </c>
      <c r="F119" s="3" t="str">
        <f>'Sheet1 (2)'!I119&amp;"±"&amp;'Sheet1 (2)'!J119</f>
        <v>0.9±0.3</v>
      </c>
      <c r="G119" s="3" t="str">
        <f>'Sheet1 (2)'!K119&amp;"±"&amp;'Sheet1 (2)'!L119</f>
        <v>4.7±1.7</v>
      </c>
    </row>
    <row r="120" spans="1:7" ht="16.5" x14ac:dyDescent="0.35">
      <c r="A120" t="s">
        <v>126</v>
      </c>
      <c r="B120" s="1" t="s">
        <v>150</v>
      </c>
      <c r="C120" s="3" t="str">
        <f>'Sheet1 (2)'!C120&amp;"±"&amp;'Sheet1 (2)'!D120</f>
        <v>5.4±2.7</v>
      </c>
      <c r="D120" s="3" t="str">
        <f>'Sheet1 (2)'!E120&amp;"±"&amp;'Sheet1 (2)'!F120</f>
        <v>0.2±0.1</v>
      </c>
      <c r="E120" s="3" t="str">
        <f>'Sheet1 (2)'!G120&amp;"±"&amp;'Sheet1 (2)'!H120</f>
        <v>0.01±0.002</v>
      </c>
      <c r="F120" s="3" t="str">
        <f>'Sheet1 (2)'!I120&amp;"±"&amp;'Sheet1 (2)'!J120</f>
        <v>1.3±0.5</v>
      </c>
      <c r="G120" s="3" t="str">
        <f>'Sheet1 (2)'!K120&amp;"±"&amp;'Sheet1 (2)'!L120</f>
        <v>6.3±2.9</v>
      </c>
    </row>
    <row r="121" spans="1:7" ht="16.5" x14ac:dyDescent="0.35">
      <c r="A121" t="s">
        <v>127</v>
      </c>
      <c r="B121" s="1" t="s">
        <v>150</v>
      </c>
      <c r="C121" s="3" t="str">
        <f>'Sheet1 (2)'!C121&amp;"±"&amp;'Sheet1 (2)'!D121</f>
        <v>7.1±2.7</v>
      </c>
      <c r="D121" s="3" t="str">
        <f>'Sheet1 (2)'!E121&amp;"±"&amp;'Sheet1 (2)'!F121</f>
        <v>6.8±2.6</v>
      </c>
      <c r="E121" s="3" t="str">
        <f>'Sheet1 (2)'!G121&amp;"±"&amp;'Sheet1 (2)'!H121</f>
        <v>5.7±2.2</v>
      </c>
      <c r="F121" s="3" t="str">
        <f>'Sheet1 (2)'!I121&amp;"±"&amp;'Sheet1 (2)'!J121</f>
        <v>5.1±2</v>
      </c>
      <c r="G121" s="3" t="str">
        <f>'Sheet1 (2)'!K121&amp;"±"&amp;'Sheet1 (2)'!L121</f>
        <v>2.2±0.9</v>
      </c>
    </row>
    <row r="122" spans="1:7" ht="16.5" x14ac:dyDescent="0.35">
      <c r="A122" t="s">
        <v>128</v>
      </c>
      <c r="B122" s="1" t="s">
        <v>150</v>
      </c>
      <c r="C122" s="3" t="str">
        <f>'Sheet1 (2)'!C122&amp;"±"&amp;'Sheet1 (2)'!D122</f>
        <v>3.6±1.5</v>
      </c>
      <c r="D122" s="3" t="str">
        <f>'Sheet1 (2)'!E122&amp;"±"&amp;'Sheet1 (2)'!F122</f>
        <v>3.5±1.5</v>
      </c>
      <c r="E122" s="3" t="str">
        <f>'Sheet1 (2)'!G122&amp;"±"&amp;'Sheet1 (2)'!H122</f>
        <v>2.9±1.2</v>
      </c>
      <c r="F122" s="3" t="str">
        <f>'Sheet1 (2)'!I122&amp;"±"&amp;'Sheet1 (2)'!J122</f>
        <v>2.6±1.1</v>
      </c>
      <c r="G122" s="3" t="str">
        <f>'Sheet1 (2)'!K122&amp;"±"&amp;'Sheet1 (2)'!L122</f>
        <v>1.1±0.5</v>
      </c>
    </row>
    <row r="123" spans="1:7" ht="16.5" x14ac:dyDescent="0.35">
      <c r="A123" t="s">
        <v>129</v>
      </c>
      <c r="B123" s="1" t="s">
        <v>150</v>
      </c>
      <c r="C123" s="3" t="str">
        <f>'Sheet1 (2)'!C123&amp;"±"&amp;'Sheet1 (2)'!D123</f>
        <v>5±2.4</v>
      </c>
      <c r="D123" s="3" t="str">
        <f>'Sheet1 (2)'!E123&amp;"±"&amp;'Sheet1 (2)'!F123</f>
        <v>4.8±2.4</v>
      </c>
      <c r="E123" s="3" t="str">
        <f>'Sheet1 (2)'!G123&amp;"±"&amp;'Sheet1 (2)'!H123</f>
        <v>4±2</v>
      </c>
      <c r="F123" s="3" t="str">
        <f>'Sheet1 (2)'!I123&amp;"±"&amp;'Sheet1 (2)'!J123</f>
        <v>3.6±1.8</v>
      </c>
      <c r="G123" s="3" t="str">
        <f>'Sheet1 (2)'!K123&amp;"±"&amp;'Sheet1 (2)'!L123</f>
        <v>1.6±0.8</v>
      </c>
    </row>
    <row r="124" spans="1:7" ht="16.5" x14ac:dyDescent="0.35">
      <c r="A124" t="s">
        <v>130</v>
      </c>
      <c r="B124" s="1" t="s">
        <v>150</v>
      </c>
      <c r="C124" s="3" t="str">
        <f>'Sheet1 (2)'!C124&amp;"±"&amp;'Sheet1 (2)'!D124</f>
        <v>2.9±1.5</v>
      </c>
      <c r="D124" s="3" t="str">
        <f>'Sheet1 (2)'!E124&amp;"±"&amp;'Sheet1 (2)'!F124</f>
        <v>2.8±1.5</v>
      </c>
      <c r="E124" s="3" t="str">
        <f>'Sheet1 (2)'!G124&amp;"±"&amp;'Sheet1 (2)'!H124</f>
        <v>2.3±1.2</v>
      </c>
      <c r="F124" s="3" t="str">
        <f>'Sheet1 (2)'!I124&amp;"±"&amp;'Sheet1 (2)'!J124</f>
        <v>2.1±1.1</v>
      </c>
      <c r="G124" s="3" t="str">
        <f>'Sheet1 (2)'!K124&amp;"±"&amp;'Sheet1 (2)'!L124</f>
        <v>0.9±0.5</v>
      </c>
    </row>
    <row r="125" spans="1:7" ht="16.5" x14ac:dyDescent="0.35">
      <c r="A125" t="s">
        <v>131</v>
      </c>
      <c r="B125" s="1" t="s">
        <v>150</v>
      </c>
      <c r="C125" s="3" t="str">
        <f>'Sheet1 (2)'!C125&amp;"±"&amp;'Sheet1 (2)'!D125</f>
        <v>43±17</v>
      </c>
      <c r="D125" s="3" t="str">
        <f>'Sheet1 (2)'!E125&amp;"±"&amp;'Sheet1 (2)'!F125</f>
        <v>24.5±9.3</v>
      </c>
      <c r="E125" s="3" t="str">
        <f>'Sheet1 (2)'!G125&amp;"±"&amp;'Sheet1 (2)'!H125</f>
        <v>0.4±0.1</v>
      </c>
      <c r="F125" s="3" t="str">
        <f>'Sheet1 (2)'!I125&amp;"±"&amp;'Sheet1 (2)'!J125</f>
        <v>28.7±11.3</v>
      </c>
      <c r="G125" s="3" t="str">
        <f>'Sheet1 (2)'!K125&amp;"±"&amp;'Sheet1 (2)'!L125</f>
        <v>0.2±0.1</v>
      </c>
    </row>
    <row r="126" spans="1:7" ht="16.5" x14ac:dyDescent="0.35">
      <c r="A126" t="s">
        <v>132</v>
      </c>
      <c r="B126" s="1" t="s">
        <v>150</v>
      </c>
      <c r="C126" s="3" t="str">
        <f>'Sheet1 (2)'!C126&amp;"±"&amp;'Sheet1 (2)'!D126</f>
        <v>21.8±9.7</v>
      </c>
      <c r="D126" s="3" t="str">
        <f>'Sheet1 (2)'!E126&amp;"±"&amp;'Sheet1 (2)'!F126</f>
        <v>12.4±5.3</v>
      </c>
      <c r="E126" s="3" t="str">
        <f>'Sheet1 (2)'!G126&amp;"±"&amp;'Sheet1 (2)'!H126</f>
        <v>0.2±0.1</v>
      </c>
      <c r="F126" s="3" t="str">
        <f>'Sheet1 (2)'!I126&amp;"±"&amp;'Sheet1 (2)'!J126</f>
        <v>14.5±6.4</v>
      </c>
      <c r="G126" s="3" t="str">
        <f>'Sheet1 (2)'!K126&amp;"±"&amp;'Sheet1 (2)'!L126</f>
        <v>0.1±0.05</v>
      </c>
    </row>
    <row r="127" spans="1:7" ht="16.5" x14ac:dyDescent="0.35">
      <c r="A127" t="s">
        <v>133</v>
      </c>
      <c r="B127" s="1" t="s">
        <v>150</v>
      </c>
      <c r="C127" s="3" t="str">
        <f>'Sheet1 (2)'!C127&amp;"±"&amp;'Sheet1 (2)'!D127</f>
        <v>30.2±15</v>
      </c>
      <c r="D127" s="3" t="str">
        <f>'Sheet1 (2)'!E127&amp;"±"&amp;'Sheet1 (2)'!F127</f>
        <v>17.2±8.3</v>
      </c>
      <c r="E127" s="3" t="str">
        <f>'Sheet1 (2)'!G127&amp;"±"&amp;'Sheet1 (2)'!H127</f>
        <v>0.3±0.1</v>
      </c>
      <c r="F127" s="3" t="str">
        <f>'Sheet1 (2)'!I127&amp;"±"&amp;'Sheet1 (2)'!J127</f>
        <v>20.1±10</v>
      </c>
      <c r="G127" s="3" t="str">
        <f>'Sheet1 (2)'!K127&amp;"±"&amp;'Sheet1 (2)'!L127</f>
        <v>0.2±0.1</v>
      </c>
    </row>
    <row r="128" spans="1:7" ht="16.5" x14ac:dyDescent="0.35">
      <c r="A128" t="s">
        <v>134</v>
      </c>
      <c r="B128" s="1" t="s">
        <v>150</v>
      </c>
      <c r="C128" s="3" t="str">
        <f>'Sheet1 (2)'!C128&amp;"±"&amp;'Sheet1 (2)'!D128</f>
        <v>17.3±9.3</v>
      </c>
      <c r="D128" s="3" t="str">
        <f>'Sheet1 (2)'!E128&amp;"±"&amp;'Sheet1 (2)'!F128</f>
        <v>9.9±5.2</v>
      </c>
      <c r="E128" s="3" t="str">
        <f>'Sheet1 (2)'!G128&amp;"±"&amp;'Sheet1 (2)'!H128</f>
        <v>0.2±0.1</v>
      </c>
      <c r="F128" s="3" t="str">
        <f>'Sheet1 (2)'!I128&amp;"±"&amp;'Sheet1 (2)'!J128</f>
        <v>11.6±6.2</v>
      </c>
      <c r="G128" s="3" t="str">
        <f>'Sheet1 (2)'!K128&amp;"±"&amp;'Sheet1 (2)'!L128</f>
        <v>0.1±0.05</v>
      </c>
    </row>
    <row r="129" spans="1:7" ht="16.5" x14ac:dyDescent="0.35">
      <c r="A129" t="s">
        <v>135</v>
      </c>
      <c r="B129" s="1" t="s">
        <v>150</v>
      </c>
      <c r="C129" s="3" t="str">
        <f>'Sheet1 (2)'!C129&amp;"±"&amp;'Sheet1 (2)'!D129</f>
        <v>7528.7±1501.5</v>
      </c>
      <c r="D129" s="3" t="str">
        <f>'Sheet1 (2)'!E129&amp;"±"&amp;'Sheet1 (2)'!F129</f>
        <v>4185.1±713.7</v>
      </c>
      <c r="E129" s="3" t="str">
        <f>'Sheet1 (2)'!G129&amp;"±"&amp;'Sheet1 (2)'!H129</f>
        <v>4694.6±604.4</v>
      </c>
      <c r="F129" s="3" t="str">
        <f>'Sheet1 (2)'!I129&amp;"±"&amp;'Sheet1 (2)'!J129</f>
        <v>4628.7±711.3</v>
      </c>
      <c r="G129" s="3" t="str">
        <f>'Sheet1 (2)'!K129&amp;"±"&amp;'Sheet1 (2)'!L129</f>
        <v>2929.4±517.5</v>
      </c>
    </row>
    <row r="130" spans="1:7" ht="16.5" x14ac:dyDescent="0.35">
      <c r="A130" t="s">
        <v>136</v>
      </c>
      <c r="B130" s="1" t="s">
        <v>150</v>
      </c>
      <c r="C130" s="3" t="str">
        <f>'Sheet1 (2)'!C130&amp;"±"&amp;'Sheet1 (2)'!D130</f>
        <v>1420±469.5</v>
      </c>
      <c r="D130" s="3" t="str">
        <f>'Sheet1 (2)'!E130&amp;"±"&amp;'Sheet1 (2)'!F130</f>
        <v>2168.6±437.2</v>
      </c>
      <c r="E130" s="3" t="str">
        <f>'Sheet1 (2)'!G130&amp;"±"&amp;'Sheet1 (2)'!H130</f>
        <v>4933.8±1100.7</v>
      </c>
      <c r="F130" s="3" t="str">
        <f>'Sheet1 (2)'!I130&amp;"±"&amp;'Sheet1 (2)'!J130</f>
        <v>1235.7±480.5</v>
      </c>
      <c r="G130" s="3" t="str">
        <f>'Sheet1 (2)'!K130&amp;"±"&amp;'Sheet1 (2)'!L130</f>
        <v>1380.3±406.6</v>
      </c>
    </row>
    <row r="131" spans="1:7" ht="16.5" x14ac:dyDescent="0.35">
      <c r="A131" t="s">
        <v>137</v>
      </c>
      <c r="B131" s="1" t="s">
        <v>150</v>
      </c>
      <c r="C131" s="3" t="str">
        <f>'Sheet1 (2)'!C131&amp;"±"&amp;'Sheet1 (2)'!D131</f>
        <v>417.5±301.5</v>
      </c>
      <c r="D131" s="3" t="str">
        <f>'Sheet1 (2)'!E131&amp;"±"&amp;'Sheet1 (2)'!F131</f>
        <v>105.5±71.4</v>
      </c>
      <c r="E131" s="3" t="str">
        <f>'Sheet1 (2)'!G131&amp;"±"&amp;'Sheet1 (2)'!H131</f>
        <v>123.7±103.2</v>
      </c>
      <c r="F131" s="3" t="str">
        <f>'Sheet1 (2)'!I131&amp;"±"&amp;'Sheet1 (2)'!J131</f>
        <v>1392.1±678.7</v>
      </c>
      <c r="G131" s="3" t="str">
        <f>'Sheet1 (2)'!K131&amp;"±"&amp;'Sheet1 (2)'!L131</f>
        <v>276±188.4</v>
      </c>
    </row>
    <row r="132" spans="1:7" ht="16.5" x14ac:dyDescent="0.35">
      <c r="A132" t="s">
        <v>138</v>
      </c>
      <c r="B132" s="1" t="s">
        <v>150</v>
      </c>
      <c r="C132" s="3" t="str">
        <f>'Sheet1 (2)'!C132&amp;"±"&amp;'Sheet1 (2)'!D132</f>
        <v>618.7±490.1</v>
      </c>
      <c r="D132" s="3" t="str">
        <f>'Sheet1 (2)'!E132&amp;"±"&amp;'Sheet1 (2)'!F132</f>
        <v>177.6±167.7</v>
      </c>
      <c r="E132" s="3" t="str">
        <f>'Sheet1 (2)'!G132&amp;"±"&amp;'Sheet1 (2)'!H132</f>
        <v>464.2±412.4</v>
      </c>
      <c r="F132" s="3" t="str">
        <f>'Sheet1 (2)'!I132&amp;"±"&amp;'Sheet1 (2)'!J132</f>
        <v>294.4±272.4</v>
      </c>
      <c r="G132" s="3" t="str">
        <f>'Sheet1 (2)'!K132&amp;"±"&amp;'Sheet1 (2)'!L132</f>
        <v>202.1±181.6</v>
      </c>
    </row>
    <row r="133" spans="1:7" ht="16.5" x14ac:dyDescent="0.35">
      <c r="A133" t="s">
        <v>139</v>
      </c>
      <c r="B133" s="1" t="s">
        <v>150</v>
      </c>
      <c r="C133" s="3" t="str">
        <f>'Sheet1 (2)'!C133&amp;"±"&amp;'Sheet1 (2)'!D133</f>
        <v>395.4±300.2</v>
      </c>
      <c r="D133" s="3" t="str">
        <f>'Sheet1 (2)'!E133&amp;"±"&amp;'Sheet1 (2)'!F133</f>
        <v>53.7±46.8</v>
      </c>
      <c r="E133" s="3" t="str">
        <f>'Sheet1 (2)'!G133&amp;"±"&amp;'Sheet1 (2)'!H133</f>
        <v>82.3±73.6</v>
      </c>
      <c r="F133" s="3" t="str">
        <f>'Sheet1 (2)'!I133&amp;"±"&amp;'Sheet1 (2)'!J133</f>
        <v>240.3±215.5</v>
      </c>
      <c r="G133" s="3" t="str">
        <f>'Sheet1 (2)'!K133&amp;"±"&amp;'Sheet1 (2)'!L133</f>
        <v>108.2±98.6</v>
      </c>
    </row>
    <row r="134" spans="1:7" ht="16.5" x14ac:dyDescent="0.35">
      <c r="A134" t="s">
        <v>140</v>
      </c>
      <c r="B134" s="1" t="s">
        <v>150</v>
      </c>
      <c r="C134" s="3" t="str">
        <f>'Sheet1 (2)'!C134&amp;"±"&amp;'Sheet1 (2)'!D134</f>
        <v>2366.1±1183.7</v>
      </c>
      <c r="D134" s="3" t="str">
        <f>'Sheet1 (2)'!E134&amp;"±"&amp;'Sheet1 (2)'!F134</f>
        <v>319.9±268.4</v>
      </c>
      <c r="E134" s="3" t="str">
        <f>'Sheet1 (2)'!G134&amp;"±"&amp;'Sheet1 (2)'!H134</f>
        <v>1234.3±791.9</v>
      </c>
      <c r="F134" s="3" t="str">
        <f>'Sheet1 (2)'!I134&amp;"±"&amp;'Sheet1 (2)'!J134</f>
        <v>720.2±486.5</v>
      </c>
      <c r="G134" s="3" t="str">
        <f>'Sheet1 (2)'!K134&amp;"±"&amp;'Sheet1 (2)'!L134</f>
        <v>328.2±226.1</v>
      </c>
    </row>
    <row r="135" spans="1:7" ht="16.5" x14ac:dyDescent="0.35">
      <c r="A135" t="s">
        <v>141</v>
      </c>
      <c r="B135" s="1" t="s">
        <v>150</v>
      </c>
      <c r="C135" s="6" t="s">
        <v>1</v>
      </c>
      <c r="D135" s="3" t="str">
        <f>'Sheet1 (2)'!E135&amp;"±"&amp;'Sheet1 (2)'!F135</f>
        <v>950.4±496.4</v>
      </c>
      <c r="E135" s="3" t="str">
        <f>'Sheet1 (2)'!G135&amp;"±"&amp;'Sheet1 (2)'!H135</f>
        <v>2218.1±1046.2</v>
      </c>
      <c r="F135" s="3" t="str">
        <f>'Sheet1 (2)'!I135&amp;"±"&amp;'Sheet1 (2)'!J135</f>
        <v>757.2±498.8</v>
      </c>
      <c r="G135" s="3" t="str">
        <f>'Sheet1 (2)'!K135&amp;"±"&amp;'Sheet1 (2)'!L135</f>
        <v>834.9±395.2</v>
      </c>
    </row>
    <row r="136" spans="1:7" ht="16.5" x14ac:dyDescent="0.35">
      <c r="A136" t="s">
        <v>142</v>
      </c>
      <c r="B136" s="1" t="s">
        <v>150</v>
      </c>
      <c r="C136" s="3" t="str">
        <f>'Sheet1 (2)'!C136&amp;"±"&amp;'Sheet1 (2)'!D136</f>
        <v>843.3±721.6</v>
      </c>
      <c r="D136" s="3" t="str">
        <f>'Sheet1 (2)'!E136&amp;"±"&amp;'Sheet1 (2)'!F136</f>
        <v>69.8±69.7</v>
      </c>
      <c r="E136" s="3" t="str">
        <f>'Sheet1 (2)'!G136&amp;"±"&amp;'Sheet1 (2)'!H136</f>
        <v>228.9±210.3</v>
      </c>
      <c r="F136" s="3" t="str">
        <f>'Sheet1 (2)'!I136&amp;"±"&amp;'Sheet1 (2)'!J136</f>
        <v>141.7±134.2</v>
      </c>
      <c r="G136" s="3" t="str">
        <f>'Sheet1 (2)'!K136&amp;"±"&amp;'Sheet1 (2)'!L136</f>
        <v>93.5±85.4</v>
      </c>
    </row>
    <row r="137" spans="1:7" ht="16.5" x14ac:dyDescent="0.35">
      <c r="A137" t="s">
        <v>143</v>
      </c>
      <c r="B137" s="1" t="s">
        <v>150</v>
      </c>
      <c r="C137" s="3" t="str">
        <f>'Sheet1 (2)'!C137&amp;"±"&amp;'Sheet1 (2)'!D137</f>
        <v>317.3±207.5</v>
      </c>
      <c r="D137" s="3" t="str">
        <f>'Sheet1 (2)'!E137&amp;"±"&amp;'Sheet1 (2)'!F137</f>
        <v>618.6±219.7</v>
      </c>
      <c r="E137" s="3" t="str">
        <f>'Sheet1 (2)'!G137&amp;"±"&amp;'Sheet1 (2)'!H137</f>
        <v>424±37.8</v>
      </c>
      <c r="F137" s="3" t="str">
        <f>'Sheet1 (2)'!I137&amp;"±"&amp;'Sheet1 (2)'!J137</f>
        <v>205.6±191.2</v>
      </c>
      <c r="G137" s="3" t="str">
        <f>'Sheet1 (2)'!K137&amp;"±"&amp;'Sheet1 (2)'!L137</f>
        <v>128.6±97.1</v>
      </c>
    </row>
    <row r="138" spans="1:7" ht="16.5" x14ac:dyDescent="0.35">
      <c r="A138" t="s">
        <v>144</v>
      </c>
      <c r="B138" s="1" t="s">
        <v>150</v>
      </c>
      <c r="C138" s="3" t="str">
        <f>'Sheet1 (2)'!C138&amp;"±"&amp;'Sheet1 (2)'!D138</f>
        <v>89.1±59.7</v>
      </c>
      <c r="D138" s="3" t="str">
        <f>'Sheet1 (2)'!E138&amp;"±"&amp;'Sheet1 (2)'!F138</f>
        <v>59.9±55.9</v>
      </c>
      <c r="E138" s="3" t="str">
        <f>'Sheet1 (2)'!G138&amp;"±"&amp;'Sheet1 (2)'!H138</f>
        <v>37.3±25.9</v>
      </c>
      <c r="F138" s="3" t="str">
        <f>'Sheet1 (2)'!I138&amp;"±"&amp;'Sheet1 (2)'!J138</f>
        <v>45.7±29.9</v>
      </c>
      <c r="G138" s="3" t="str">
        <f>'Sheet1 (2)'!K138&amp;"±"&amp;'Sheet1 (2)'!L138</f>
        <v>81.8±61.4</v>
      </c>
    </row>
    <row r="139" spans="1:7" ht="16.5" x14ac:dyDescent="0.35">
      <c r="A139" t="s">
        <v>145</v>
      </c>
      <c r="B139" s="1" t="s">
        <v>150</v>
      </c>
      <c r="C139" s="3" t="str">
        <f>'Sheet1 (2)'!C139&amp;"±"&amp;'Sheet1 (2)'!D139</f>
        <v>82.4±57.3</v>
      </c>
      <c r="D139" s="3" t="str">
        <f>'Sheet1 (2)'!E139&amp;"±"&amp;'Sheet1 (2)'!F139</f>
        <v>296.2±128.9</v>
      </c>
      <c r="E139" s="3" t="str">
        <f>'Sheet1 (2)'!G139&amp;"±"&amp;'Sheet1 (2)'!H139</f>
        <v>35.1±23.2</v>
      </c>
      <c r="F139" s="3" t="str">
        <f>'Sheet1 (2)'!I139&amp;"±"&amp;'Sheet1 (2)'!J139</f>
        <v>44.4±30</v>
      </c>
      <c r="G139" s="3" t="str">
        <f>'Sheet1 (2)'!K139&amp;"±"&amp;'Sheet1 (2)'!L139</f>
        <v>100±66.5</v>
      </c>
    </row>
    <row r="140" spans="1:7" ht="16.5" x14ac:dyDescent="0.35">
      <c r="A140" t="s">
        <v>146</v>
      </c>
      <c r="B140" s="1" t="s">
        <v>150</v>
      </c>
      <c r="C140" s="3" t="str">
        <f>'Sheet1 (2)'!C140&amp;"±"&amp;'Sheet1 (2)'!D140</f>
        <v>350.9±280.8</v>
      </c>
      <c r="D140" s="3" t="str">
        <f>'Sheet1 (2)'!E140&amp;"±"&amp;'Sheet1 (2)'!F140</f>
        <v>64.3±62.6</v>
      </c>
      <c r="E140" s="3" t="str">
        <f>'Sheet1 (2)'!G140&amp;"±"&amp;'Sheet1 (2)'!H140</f>
        <v>3.3±2.3</v>
      </c>
      <c r="F140" s="3" t="str">
        <f>'Sheet1 (2)'!I140&amp;"±"&amp;'Sheet1 (2)'!J140</f>
        <v>113.6±103.5</v>
      </c>
      <c r="G140" s="3" t="str">
        <f>'Sheet1 (2)'!K140&amp;"±"&amp;'Sheet1 (2)'!L140</f>
        <v>1.9±1.3</v>
      </c>
    </row>
    <row r="141" spans="1:7" ht="16.5" x14ac:dyDescent="0.35">
      <c r="A141" t="s">
        <v>147</v>
      </c>
      <c r="B141" s="1" t="s">
        <v>150</v>
      </c>
      <c r="C141" s="3" t="str">
        <f>'Sheet1 (2)'!C141&amp;"±"&amp;'Sheet1 (2)'!D141</f>
        <v>605.3±188.6</v>
      </c>
      <c r="D141" s="3" t="str">
        <f>'Sheet1 (2)'!E141&amp;"±"&amp;'Sheet1 (2)'!F141</f>
        <v>670±180</v>
      </c>
      <c r="E141" s="3" t="str">
        <f>'Sheet1 (2)'!G141&amp;"±"&amp;'Sheet1 (2)'!H141</f>
        <v>12.8±4.2</v>
      </c>
      <c r="F141" s="3" t="str">
        <f>'Sheet1 (2)'!I141&amp;"±"&amp;'Sheet1 (2)'!J141</f>
        <v>813.6±183.6</v>
      </c>
      <c r="G141" s="3" t="str">
        <f>'Sheet1 (2)'!K141&amp;"±"&amp;'Sheet1 (2)'!L141</f>
        <v>2.1±1.3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Fender</cp:lastModifiedBy>
  <dcterms:modified xsi:type="dcterms:W3CDTF">2025-04-30T15:49:35Z</dcterms:modified>
</cp:coreProperties>
</file>