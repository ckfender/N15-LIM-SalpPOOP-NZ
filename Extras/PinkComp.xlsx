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SalpLIM\N15-LIM-SalpPOOP-main\"/>
    </mc:Choice>
  </mc:AlternateContent>
  <xr:revisionPtr revIDLastSave="0" documentId="13_ncr:1_{2FE8C624-3E91-4680-AE45-DBA2D2C9C164}" xr6:coauthVersionLast="47" xr6:coauthVersionMax="47" xr10:uidLastSave="{00000000-0000-0000-0000-000000000000}"/>
  <bookViews>
    <workbookView xWindow="-110" yWindow="-110" windowWidth="19420" windowHeight="10420" xr2:uid="{5A336EC2-5177-4AC2-B94F-BF173958D949}"/>
  </bookViews>
  <sheets>
    <sheet name="C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M11" i="1"/>
  <c r="L11" i="1"/>
  <c r="K11" i="1"/>
  <c r="J11" i="1"/>
  <c r="I11" i="1"/>
  <c r="M10" i="1"/>
  <c r="L10" i="1"/>
  <c r="K10" i="1"/>
  <c r="J10" i="1"/>
  <c r="I10" i="1"/>
  <c r="M9" i="1"/>
  <c r="L9" i="1"/>
  <c r="K9" i="1"/>
  <c r="J9" i="1"/>
  <c r="I9" i="1"/>
  <c r="M8" i="1"/>
  <c r="L8" i="1"/>
  <c r="K8" i="1"/>
  <c r="J8" i="1"/>
  <c r="I8" i="1"/>
  <c r="M7" i="1"/>
  <c r="L7" i="1"/>
  <c r="K7" i="1"/>
  <c r="J7" i="1"/>
  <c r="I7" i="1"/>
  <c r="M6" i="1"/>
  <c r="L6" i="1"/>
  <c r="K6" i="1"/>
  <c r="J6" i="1"/>
  <c r="I6" i="1"/>
  <c r="M5" i="1"/>
  <c r="L5" i="1"/>
  <c r="K5" i="1"/>
  <c r="J5" i="1"/>
  <c r="I5" i="1"/>
  <c r="M4" i="1"/>
  <c r="L4" i="1"/>
  <c r="K4" i="1"/>
  <c r="J4" i="1"/>
  <c r="I4" i="1"/>
  <c r="M3" i="1"/>
  <c r="L3" i="1"/>
  <c r="K3" i="1"/>
  <c r="J3" i="1"/>
  <c r="M2" i="1"/>
  <c r="L2" i="1"/>
  <c r="K2" i="1"/>
  <c r="J2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tc={9289C39F-0447-43DB-BD9A-414DDA8B0DF1}</author>
    <author>tc={35A471D8-70E7-4AB4-8C58-6813683CD07A}</author>
  </authors>
  <commentList>
    <comment ref="A6" authorId="0" shapeId="0" xr:uid="{9289C39F-0447-43DB-BD9A-414DDA8B0DF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primarily krill, although Pinkerton also includes decapods and amphipods</t>
      </text>
    </comment>
    <comment ref="A7" authorId="1" shapeId="0" xr:uid="{35A471D8-70E7-4AB4-8C58-6813683CD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Pinkerton parameterizes as primarily copepods like Paracalanus and Calanus.</t>
      </text>
    </comment>
  </commentList>
</comments>
</file>

<file path=xl/sharedStrings.xml><?xml version="1.0" encoding="utf-8"?>
<sst xmlns="http://schemas.openxmlformats.org/spreadsheetml/2006/main" count="35" uniqueCount="35">
  <si>
    <t>Consumption (mmol N m-2 d-1)</t>
  </si>
  <si>
    <t>PiscivFish</t>
  </si>
  <si>
    <t>Myct</t>
  </si>
  <si>
    <t>Salps+Gel</t>
  </si>
  <si>
    <t>Macro+Amph</t>
  </si>
  <si>
    <t>Meso</t>
  </si>
  <si>
    <t>Mic</t>
  </si>
  <si>
    <t>HNF</t>
  </si>
  <si>
    <t>Pico+DTM+Flag</t>
  </si>
  <si>
    <t>Hbact</t>
  </si>
  <si>
    <t>C1 Biomass</t>
  </si>
  <si>
    <t>C1 Production</t>
  </si>
  <si>
    <t>C1 Consumption</t>
  </si>
  <si>
    <t>Gelativ</t>
  </si>
  <si>
    <t>C2 Biomass</t>
  </si>
  <si>
    <t>C3 Biomass</t>
  </si>
  <si>
    <t>C4 Biomass</t>
  </si>
  <si>
    <t>C5 Biomass</t>
  </si>
  <si>
    <t>Pinkerton Biomass (mmol N m-2)</t>
  </si>
  <si>
    <t>Pinkerton Production (mmol N m-2 d-1)</t>
  </si>
  <si>
    <t>C2 Production</t>
  </si>
  <si>
    <t>C3 Production</t>
  </si>
  <si>
    <t>C4 Production</t>
  </si>
  <si>
    <t>C5 Production</t>
  </si>
  <si>
    <t>C2 Consumption</t>
  </si>
  <si>
    <t>C3 Consumption</t>
  </si>
  <si>
    <t>C4 Consumption</t>
  </si>
  <si>
    <t>C5 Consumption</t>
  </si>
  <si>
    <t>Group</t>
  </si>
  <si>
    <t>Pinkerton TL</t>
  </si>
  <si>
    <t>C1 TL</t>
  </si>
  <si>
    <t>C2 TL</t>
  </si>
  <si>
    <t>C3 TL</t>
  </si>
  <si>
    <t>C4 TL</t>
  </si>
  <si>
    <t>C5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</si>
</sst>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ropbox\SalpLIM\N15-LIM-SalpPOOP-main\Prod.xlsx" TargetMode="External"/><Relationship Id="rId1" Type="http://schemas.openxmlformats.org/officeDocument/2006/relationships/externalLinkPath" Target="Pr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an"/>
      <sheetName val="LCI"/>
      <sheetName val="UCI"/>
      <sheetName val="Std"/>
    </sheetNames>
    <sheetDataSet>
      <sheetData sheetId="0">
        <row r="2">
          <cell r="A2">
            <v>3.195127824699922</v>
          </cell>
          <cell r="B2">
            <v>5.0298100985261271</v>
          </cell>
          <cell r="C2">
            <v>2.7577145083380357</v>
          </cell>
          <cell r="D2">
            <v>0.88777961774424008</v>
          </cell>
          <cell r="E2">
            <v>1.0605644433471155</v>
          </cell>
          <cell r="F2">
            <v>0.82979989095182716</v>
          </cell>
          <cell r="G2">
            <v>1.780867513658114</v>
          </cell>
          <cell r="I2">
            <v>2.4816308682662137E-2</v>
          </cell>
          <cell r="J2">
            <v>7.5323697025013403E-2</v>
          </cell>
          <cell r="K2">
            <v>1.479476940379874E-2</v>
          </cell>
          <cell r="L2">
            <v>0.87148390769969131</v>
          </cell>
          <cell r="M2">
            <v>3.9385779794208773E-3</v>
          </cell>
          <cell r="N2">
            <v>2.868761268488079E-3</v>
          </cell>
          <cell r="O2">
            <v>1.726316806965748E-2</v>
          </cell>
          <cell r="P2">
            <v>4.6797085089053662E-2</v>
          </cell>
        </row>
        <row r="3">
          <cell r="A3">
            <v>4.1754080853876188</v>
          </cell>
          <cell r="B3">
            <v>1.048675546495621</v>
          </cell>
          <cell r="C3">
            <v>1.8284393530168881</v>
          </cell>
          <cell r="D3">
            <v>0.82896341034755183</v>
          </cell>
          <cell r="E3">
            <v>1.794608742224522</v>
          </cell>
          <cell r="F3">
            <v>0.19323575707256058</v>
          </cell>
          <cell r="G3">
            <v>0.61349957694460833</v>
          </cell>
          <cell r="H3">
            <v>0.9333041580658944</v>
          </cell>
          <cell r="I3">
            <v>8.6182561337374244E-2</v>
          </cell>
          <cell r="J3">
            <v>0.1389548757499405</v>
          </cell>
          <cell r="K3">
            <v>4.2307143920960744E-2</v>
          </cell>
          <cell r="L3">
            <v>0.33387354631957505</v>
          </cell>
          <cell r="M3">
            <v>1.6899729743637424E-4</v>
          </cell>
          <cell r="N3">
            <v>2.7926101162505383E-3</v>
          </cell>
          <cell r="O3">
            <v>9.8975337403960466E-3</v>
          </cell>
          <cell r="P3">
            <v>4.3434253671525626E-2</v>
          </cell>
        </row>
        <row r="4">
          <cell r="A4">
            <v>8.5512444470445104</v>
          </cell>
          <cell r="B4">
            <v>0.76114073846769392</v>
          </cell>
          <cell r="C4">
            <v>0.54490505709648485</v>
          </cell>
          <cell r="D4">
            <v>0.91745715246002302</v>
          </cell>
          <cell r="E4">
            <v>4.2572634471493283</v>
          </cell>
          <cell r="F4">
            <v>0.30498035575693538</v>
          </cell>
          <cell r="G4">
            <v>1.3300908110418941</v>
          </cell>
          <cell r="H4">
            <v>1.4673994472990592</v>
          </cell>
          <cell r="I4">
            <v>1.5613392346724948E-2</v>
          </cell>
          <cell r="J4">
            <v>3.3286261172751609E-2</v>
          </cell>
          <cell r="K4">
            <v>2.8537659858768705E-3</v>
          </cell>
          <cell r="L4">
            <v>1.7096581613238654E-2</v>
          </cell>
          <cell r="M4">
            <v>6.1978341891690174E-6</v>
          </cell>
          <cell r="N4">
            <v>2.2858656942436198E-3</v>
          </cell>
          <cell r="O4">
            <v>1.6058774545978601E-4</v>
          </cell>
          <cell r="P4">
            <v>3.5341339494329022E-2</v>
          </cell>
        </row>
        <row r="5">
          <cell r="A5">
            <v>2.3621658749649335</v>
          </cell>
          <cell r="B5">
            <v>0.45195044947093493</v>
          </cell>
          <cell r="C5">
            <v>5.2803325874838061</v>
          </cell>
          <cell r="D5">
            <v>0.98051825764506539</v>
          </cell>
          <cell r="E5">
            <v>1.0093102331718151</v>
          </cell>
          <cell r="F5">
            <v>2.0555199621175633</v>
          </cell>
          <cell r="G5">
            <v>0.85001239513671611</v>
          </cell>
          <cell r="H5">
            <v>0.8314082939814611</v>
          </cell>
          <cell r="I5">
            <v>1.9113673077209233E-2</v>
          </cell>
          <cell r="J5">
            <v>3.1053578941063881E-2</v>
          </cell>
          <cell r="K5">
            <v>6.4265673501224573E-3</v>
          </cell>
          <cell r="L5">
            <v>0.40374704545533002</v>
          </cell>
          <cell r="M5">
            <v>7.1541682668236478E-4</v>
          </cell>
          <cell r="N5">
            <v>2.0698570753213473E-3</v>
          </cell>
          <cell r="O5">
            <v>1.1632143592271023E-2</v>
          </cell>
          <cell r="P5">
            <v>3.3152352214352636E-2</v>
          </cell>
        </row>
        <row r="6">
          <cell r="A6">
            <v>2.7653676854550238</v>
          </cell>
          <cell r="B6">
            <v>0.52183839838612367</v>
          </cell>
          <cell r="C6">
            <v>0.82853318425322475</v>
          </cell>
          <cell r="D6">
            <v>0.5375525861314544</v>
          </cell>
          <cell r="E6">
            <v>1.1654917444430091</v>
          </cell>
          <cell r="F6">
            <v>0.4864547397925833</v>
          </cell>
          <cell r="G6">
            <v>0.49340196168501149</v>
          </cell>
          <cell r="H6">
            <v>0.78929204580282541</v>
          </cell>
          <cell r="I6">
            <v>8.8317047123206066E-2</v>
          </cell>
          <cell r="J6">
            <v>1.4198987331019586E-3</v>
          </cell>
          <cell r="K6">
            <v>2.475853870652947E-2</v>
          </cell>
          <cell r="L6">
            <v>3.1750586562315167E-3</v>
          </cell>
          <cell r="M6">
            <v>4.1841665439620443E-3</v>
          </cell>
          <cell r="N6">
            <v>9.0202733041328713E-4</v>
          </cell>
          <cell r="O6">
            <v>8.7007228127277243E-5</v>
          </cell>
          <cell r="P6">
            <v>1.766094787023003E-2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ian Fender" id="{11F46F2F-901A-4A71-98DB-9C11205BA025}" userId="S::ckf18b@fsu.edu::115f5a08-9fb3-419d-8533-fde993f65bf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3-06-23T19:12:10.36" personId="{11F46F2F-901A-4A71-98DB-9C11205BA025}" id="{9289C39F-0447-43DB-BD9A-414DDA8B0DF1}">
    <text>Assumed to be primarily krill, although Pinkerton also includes decapods and amphipods</text>
  </threadedComment>
  <threadedComment ref="A7" dT="2023-06-23T19:14:42.83" personId="{11F46F2F-901A-4A71-98DB-9C11205BA025}" id="{35A471D8-70E7-4AB4-8C58-6813683CD07A}">
    <text>Pinkerton parameterizes as primarily copepods like Paracalanus and Calanus.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7D96-54F1-40BE-BF57-B7255C362F46}">
  <dimension ref="A1:Y14"/>
  <sheetViews>
    <sheetView tabSelected="1" workbookViewId="0">
      <pane xSplit="1" topLeftCell="B1" activePane="topRight" state="frozen"/>
      <selection pane="topRight" activeCell="I15" sqref="I15"/>
    </sheetView>
  </sheetViews>
  <sheetFormatPr defaultRowHeight="14.5" x14ac:dyDescent="0.35"/>
  <cols>
    <col min="2" max="7" width="13.453125" customWidth="1"/>
    <col min="8" max="13" width="15.453125" customWidth="1"/>
    <col min="14" max="15" width="17.26953125" customWidth="1"/>
    <col min="16" max="16" width="14.90625" customWidth="1"/>
    <col min="17" max="17" width="15.54296875" customWidth="1"/>
    <col min="18" max="18" width="15.7265625" customWidth="1"/>
    <col min="19" max="19" width="15.81640625" customWidth="1"/>
  </cols>
  <sheetData>
    <row r="1" spans="1:25" ht="43.5" x14ac:dyDescent="0.35">
      <c r="A1" s="1" t="s">
        <v>28</v>
      </c>
      <c r="B1" s="1" t="s">
        <v>18</v>
      </c>
      <c r="C1" s="1" t="s">
        <v>10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19</v>
      </c>
      <c r="I1" s="1" t="s">
        <v>11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0</v>
      </c>
      <c r="O1" s="1" t="s">
        <v>12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35">
      <c r="A2" t="s">
        <v>1</v>
      </c>
      <c r="B2">
        <v>0.88050314465408797</v>
      </c>
      <c r="C2">
        <v>1.5578214515930142</v>
      </c>
      <c r="D2">
        <v>1.3807395753864304</v>
      </c>
      <c r="E2">
        <v>1.093792666100704</v>
      </c>
      <c r="F2">
        <v>0.87898105291124362</v>
      </c>
      <c r="G2">
        <v>0.35441645392681881</v>
      </c>
      <c r="H2">
        <v>7.9607133626260031E-4</v>
      </c>
      <c r="I2">
        <f>[1]Mean!$N$2</f>
        <v>2.868761268488079E-3</v>
      </c>
      <c r="J2">
        <f>[1]Mean!$N$3</f>
        <v>2.7926101162505383E-3</v>
      </c>
      <c r="K2">
        <f>[1]Mean!$N$4</f>
        <v>2.2858656942436198E-3</v>
      </c>
      <c r="L2">
        <f>[1]Mean!$N$5</f>
        <v>2.0698570753213473E-3</v>
      </c>
      <c r="M2">
        <f>[1]Mean!$N$6</f>
        <v>9.0202733041328713E-4</v>
      </c>
      <c r="N2">
        <v>6.5133109330576368E-3</v>
      </c>
      <c r="O2">
        <v>9.5999999999999992E-3</v>
      </c>
      <c r="T2">
        <v>5</v>
      </c>
    </row>
    <row r="3" spans="1:25" x14ac:dyDescent="0.35">
      <c r="A3" t="s">
        <v>13</v>
      </c>
      <c r="B3">
        <v>0.4578616352201258</v>
      </c>
      <c r="C3">
        <v>18.403219989872277</v>
      </c>
      <c r="D3">
        <v>10.490392913780543</v>
      </c>
      <c r="E3">
        <v>0.11712693059168898</v>
      </c>
      <c r="F3">
        <v>12.434821842925722</v>
      </c>
      <c r="G3">
        <v>0.10979391035521449</v>
      </c>
      <c r="H3">
        <v>3.1594727319720858E-4</v>
      </c>
      <c r="I3">
        <f>[1]Mean!$O$2</f>
        <v>1.726316806965748E-2</v>
      </c>
      <c r="J3">
        <f>[1]Mean!$O$3</f>
        <v>9.8975337403960466E-3</v>
      </c>
      <c r="K3">
        <f>[1]Mean!$O$4</f>
        <v>1.6058774545978601E-4</v>
      </c>
      <c r="L3">
        <f>[1]Mean!$O$5</f>
        <v>1.1632143592271023E-2</v>
      </c>
      <c r="M3">
        <f>[1]Mean!$O$6</f>
        <v>8.7007228127277243E-5</v>
      </c>
      <c r="N3">
        <v>2.07736710605669E-3</v>
      </c>
      <c r="O3">
        <v>3.3300000000000003E-2</v>
      </c>
      <c r="T3">
        <v>4.3</v>
      </c>
    </row>
    <row r="4" spans="1:25" x14ac:dyDescent="0.35">
      <c r="A4" t="s">
        <v>2</v>
      </c>
      <c r="B4">
        <v>1.5094339622641508</v>
      </c>
      <c r="C4">
        <v>5.354917872714231</v>
      </c>
      <c r="D4">
        <v>5.3429932071880728</v>
      </c>
      <c r="E4">
        <v>4.451094572511467</v>
      </c>
      <c r="F4">
        <v>4.116539054311926</v>
      </c>
      <c r="G4">
        <v>1.8180427205504586</v>
      </c>
      <c r="H4">
        <v>4.7557508400103386E-3</v>
      </c>
      <c r="I4">
        <f>[1]Mean!$P$2</f>
        <v>4.6797085089053662E-2</v>
      </c>
      <c r="J4">
        <f>[1]Mean!$P$3</f>
        <v>4.3434253671525626E-2</v>
      </c>
      <c r="K4">
        <f>[1]Mean!$P$4</f>
        <v>3.5341339494329022E-2</v>
      </c>
      <c r="L4">
        <f>[1]Mean!$P$5</f>
        <v>3.3152352214352636E-2</v>
      </c>
      <c r="M4">
        <f>[1]Mean!$P$6</f>
        <v>1.766094787023003E-2</v>
      </c>
      <c r="N4">
        <v>6.6166968208839494E-2</v>
      </c>
      <c r="O4">
        <v>0.11650000000000001</v>
      </c>
      <c r="T4">
        <v>4.5</v>
      </c>
    </row>
    <row r="5" spans="1:25" x14ac:dyDescent="0.35">
      <c r="A5" t="s">
        <v>3</v>
      </c>
      <c r="B5">
        <v>0.62893081761006286</v>
      </c>
      <c r="C5">
        <v>25.279148349890079</v>
      </c>
      <c r="D5">
        <v>14.409880382999999</v>
      </c>
      <c r="E5">
        <v>0.160888641</v>
      </c>
      <c r="F5">
        <v>17.080799243000001</v>
      </c>
      <c r="G5">
        <v>0.15081581100000002</v>
      </c>
      <c r="H5">
        <v>5.1692943913155846E-3</v>
      </c>
      <c r="I5">
        <f>SUM([1]Mean!$K$2:$L$2)</f>
        <v>0.88627867710349006</v>
      </c>
      <c r="J5">
        <f>SUM([1]Mean!$K$3:$L$3)</f>
        <v>0.3761806902405358</v>
      </c>
      <c r="K5">
        <f>SUM([1]Mean!$K$4:$L$4)</f>
        <v>1.9950347599115525E-2</v>
      </c>
      <c r="L5">
        <f>SUM([1]Mean!$K$5:$L$5)</f>
        <v>0.4101736128054525</v>
      </c>
      <c r="M5">
        <f>SUM([1]Mean!$K$6:$L$6)</f>
        <v>2.7933597362760985E-2</v>
      </c>
      <c r="N5">
        <v>1.2923235978288964E-2</v>
      </c>
      <c r="O5">
        <v>4.2652999999999999</v>
      </c>
      <c r="T5">
        <v>3.2</v>
      </c>
    </row>
    <row r="6" spans="1:25" x14ac:dyDescent="0.35">
      <c r="A6" t="s">
        <v>4</v>
      </c>
      <c r="B6">
        <v>3.8993710691823895</v>
      </c>
      <c r="C6">
        <v>4.4541008584999995</v>
      </c>
      <c r="D6">
        <v>3.9296532558999999</v>
      </c>
      <c r="E6">
        <v>2.7368209192499999</v>
      </c>
      <c r="F6">
        <v>1.5150548849999999</v>
      </c>
      <c r="G6">
        <v>1.564616625</v>
      </c>
      <c r="H6">
        <v>2.1366416817437752E-2</v>
      </c>
      <c r="I6">
        <f>SUM([1]Mean!$I$2:$J$2,[1]Mean!$M$2)</f>
        <v>0.10407858368709641</v>
      </c>
      <c r="J6">
        <f>SUM([1]Mean!$I$3:$J$3,[1]Mean!$M$3)</f>
        <v>0.22530643438475115</v>
      </c>
      <c r="K6">
        <f>SUM([1]Mean!$I$4:$J$4,[1]Mean!$M$4)</f>
        <v>4.8905851353665729E-2</v>
      </c>
      <c r="L6">
        <f>SUM([1]Mean!$I$5:$J$5,[1]Mean!$M$5)</f>
        <v>5.088266884495548E-2</v>
      </c>
      <c r="M6">
        <f>SUM([1]Mean!$I$6:$J$6,[1]Mean!$M$6)</f>
        <v>9.3921112400270068E-2</v>
      </c>
      <c r="N6">
        <v>7.1577496338416466E-2</v>
      </c>
      <c r="O6">
        <v>0.62609999999999999</v>
      </c>
      <c r="T6">
        <v>3.5</v>
      </c>
    </row>
    <row r="7" spans="1:25" x14ac:dyDescent="0.35">
      <c r="A7" t="s">
        <v>5</v>
      </c>
      <c r="B7">
        <v>6.4402515723270435</v>
      </c>
      <c r="C7">
        <v>8.4445289999999993</v>
      </c>
      <c r="D7">
        <v>20.486217</v>
      </c>
      <c r="E7">
        <v>29.446911</v>
      </c>
      <c r="F7">
        <v>11.317663</v>
      </c>
      <c r="G7">
        <v>11.495678</v>
      </c>
      <c r="H7">
        <v>1.1717067286981993</v>
      </c>
      <c r="I7">
        <f>SUM([1]Mean!$G$2:$H$2)</f>
        <v>1.780867513658114</v>
      </c>
      <c r="J7">
        <f>SUM([1]Mean!$G$3:$H$3)</f>
        <v>1.5468037350105028</v>
      </c>
      <c r="K7">
        <f>SUM([1]Mean!$G$4:$H$4)</f>
        <v>2.7974902583409533</v>
      </c>
      <c r="L7">
        <f>SUM([1]Mean!$G$5:$H$5)</f>
        <v>1.6814206891181773</v>
      </c>
      <c r="M7">
        <f>SUM([1]Mean!$G$6:$H$6)</f>
        <v>1.2826940074878368</v>
      </c>
      <c r="N7">
        <v>3.3393641767898679</v>
      </c>
      <c r="O7">
        <v>2.3077000000000001</v>
      </c>
      <c r="T7">
        <v>3.6</v>
      </c>
    </row>
    <row r="8" spans="1:25" x14ac:dyDescent="0.35">
      <c r="A8" t="s">
        <v>6</v>
      </c>
      <c r="B8">
        <v>2.10062893081761</v>
      </c>
      <c r="C8">
        <v>1.0521291991626498</v>
      </c>
      <c r="D8">
        <v>0.20896667907169963</v>
      </c>
      <c r="E8">
        <v>0.26691986144075114</v>
      </c>
      <c r="F8">
        <v>2.3268684258918482</v>
      </c>
      <c r="G8">
        <v>0.55378937264701944</v>
      </c>
      <c r="H8">
        <v>0.78848970448867062</v>
      </c>
      <c r="I8">
        <f>[1]Mean!$F$2</f>
        <v>0.82979989095182716</v>
      </c>
      <c r="J8">
        <f>[1]Mean!$F$3</f>
        <v>0.19323575707256058</v>
      </c>
      <c r="K8">
        <f>[1]Mean!$F$4</f>
        <v>0.30498035575693538</v>
      </c>
      <c r="L8">
        <f>[1]Mean!$F$5</f>
        <v>2.0555199621175633</v>
      </c>
      <c r="M8">
        <f>[1]Mean!$F$6</f>
        <v>0.4864547397925833</v>
      </c>
      <c r="N8">
        <v>2.2221073490135264</v>
      </c>
      <c r="O8">
        <v>3.3613</v>
      </c>
      <c r="T8">
        <v>2.6</v>
      </c>
    </row>
    <row r="9" spans="1:25" x14ac:dyDescent="0.35">
      <c r="A9" t="s">
        <v>7</v>
      </c>
      <c r="B9">
        <v>3.7861635220125782</v>
      </c>
      <c r="C9">
        <v>0.90800919603657448</v>
      </c>
      <c r="D9">
        <v>1.1168357740714712</v>
      </c>
      <c r="E9">
        <v>2.0222311417669885</v>
      </c>
      <c r="F9">
        <v>1.7585174218494173</v>
      </c>
      <c r="G9">
        <v>0.81948828811823138</v>
      </c>
      <c r="H9">
        <v>4.8301886792452828</v>
      </c>
      <c r="I9">
        <f>[1]Mean!$E$2</f>
        <v>1.0605644433471155</v>
      </c>
      <c r="J9">
        <f>[1]Mean!$E$3</f>
        <v>1.794608742224522</v>
      </c>
      <c r="K9">
        <f>[1]Mean!$E$4</f>
        <v>4.2572634471493283</v>
      </c>
      <c r="L9">
        <f>[1]Mean!$E$5</f>
        <v>1.0093102331718151</v>
      </c>
      <c r="M9">
        <f>[1]Mean!$E$6</f>
        <v>1.1654917444430091</v>
      </c>
      <c r="N9">
        <v>13.729645903334193</v>
      </c>
      <c r="O9">
        <v>3.3704000000000001</v>
      </c>
      <c r="T9">
        <v>2.2000000000000002</v>
      </c>
    </row>
    <row r="10" spans="1:25" x14ac:dyDescent="0.35">
      <c r="A10" t="s">
        <v>8</v>
      </c>
      <c r="B10">
        <v>22.641509433962263</v>
      </c>
      <c r="C10">
        <v>16.261780479237601</v>
      </c>
      <c r="D10">
        <v>8.3063033514776947</v>
      </c>
      <c r="E10">
        <v>9.6458680001101413</v>
      </c>
      <c r="F10">
        <v>5.687246385860913</v>
      </c>
      <c r="G10">
        <v>12.128184004160701</v>
      </c>
      <c r="H10">
        <v>3.8459550271387957</v>
      </c>
      <c r="I10">
        <f>SUM([1]Mean!$A$2:$C$2)</f>
        <v>10.982652431564084</v>
      </c>
      <c r="J10">
        <f>SUM([1]Mean!$A$3:$C$3)</f>
        <v>7.0525229849001274</v>
      </c>
      <c r="K10">
        <f>SUM([1]Mean!$A$4:$C$4)</f>
        <v>9.8572902426086877</v>
      </c>
      <c r="L10">
        <f>SUM([1]Mean!$A$5:$C$5)</f>
        <v>8.0944489119196739</v>
      </c>
      <c r="M10">
        <f>SUM([1]Mean!$A$6:$C$6)</f>
        <v>4.1157392680943721</v>
      </c>
      <c r="N10">
        <v>0</v>
      </c>
      <c r="T10">
        <v>1</v>
      </c>
    </row>
    <row r="11" spans="1:25" x14ac:dyDescent="0.35">
      <c r="A11" t="s">
        <v>9</v>
      </c>
      <c r="B11">
        <v>27.672955974842768</v>
      </c>
      <c r="H11">
        <v>2.805203756353924</v>
      </c>
      <c r="I11">
        <f>[1]Mean!$D$2</f>
        <v>0.88777961774424008</v>
      </c>
      <c r="J11">
        <f>[1]Mean!$D$3</f>
        <v>0.82896341034755183</v>
      </c>
      <c r="K11">
        <f>[1]Mean!$D$4</f>
        <v>0.91745715246002302</v>
      </c>
      <c r="L11">
        <f>[1]Mean!$D$5</f>
        <v>0.98051825764506539</v>
      </c>
      <c r="M11">
        <f>[1]Mean!$D$6</f>
        <v>0.5375525861314544</v>
      </c>
      <c r="N11">
        <v>12.282243473765831</v>
      </c>
      <c r="T11">
        <v>2</v>
      </c>
    </row>
    <row r="13" spans="1:25" x14ac:dyDescent="0.35">
      <c r="I13">
        <f>AVERAGE(I3:J3,L3)/H3</f>
        <v>40.927552045591639</v>
      </c>
    </row>
    <row r="14" spans="1:25" x14ac:dyDescent="0.35">
      <c r="I14">
        <f>AVERAGE(I5:J5,L5)/H5</f>
        <v>107.85695000330554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Fender</dc:creator>
  <cp:lastModifiedBy>Christian Fender</cp:lastModifiedBy>
  <dcterms:created xsi:type="dcterms:W3CDTF">2024-08-26T20:34:01Z</dcterms:created>
  <dcterms:modified xsi:type="dcterms:W3CDTF">2025-04-30T16:30:09Z</dcterms:modified>
</cp:coreProperties>
</file>