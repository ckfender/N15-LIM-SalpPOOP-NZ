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dmin\Dropbox\SalpLIM\N15-LIM-SalpPOOP-main\"/>
    </mc:Choice>
  </mc:AlternateContent>
  <xr:revisionPtr revIDLastSave="0" documentId="13_ncr:1_{92D31A37-CA7F-4767-A66E-F1F0E7963920}" xr6:coauthVersionLast="47" xr6:coauthVersionMax="47" xr10:uidLastSave="{00000000-0000-0000-0000-000000000000}"/>
  <bookViews>
    <workbookView xWindow="-28920" yWindow="-120" windowWidth="29040" windowHeight="15840" xr2:uid="{00000000-000D-0000-FFFF-FFFF00000000}"/>
  </bookViews>
  <sheets>
    <sheet name="InputsNZ" sheetId="9" r:id="rId1"/>
    <sheet name="InputsNZ (2)" sheetId="10" r:id="rId2"/>
    <sheet name="InputsNZ Old" sheetId="4" r:id="rId3"/>
    <sheet name="NZ_Extra" sheetId="6" r:id="rId4"/>
    <sheet name="Sheet1" sheetId="7" r:id="rId5"/>
    <sheet name="InputsGoM" sheetId="3" r:id="rId6"/>
    <sheet name="InputCRD"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 i="9" l="1"/>
  <c r="P22" i="9"/>
  <c r="L71" i="10"/>
  <c r="J71" i="10"/>
  <c r="H71" i="10"/>
  <c r="F71" i="10"/>
  <c r="D71" i="10"/>
  <c r="L70" i="10"/>
  <c r="J70" i="10"/>
  <c r="H70" i="10"/>
  <c r="F70" i="10"/>
  <c r="D70" i="10"/>
  <c r="L69" i="10"/>
  <c r="J69" i="10"/>
  <c r="H69" i="10"/>
  <c r="F69" i="10"/>
  <c r="D69" i="10"/>
  <c r="S22" i="10"/>
  <c r="R22" i="10"/>
  <c r="Q22" i="10"/>
  <c r="P22" i="10"/>
  <c r="O22" i="10"/>
  <c r="L18" i="10"/>
  <c r="F18" i="10"/>
  <c r="D18" i="10"/>
  <c r="P17" i="10"/>
  <c r="H17" i="10"/>
  <c r="P16" i="10"/>
  <c r="L16" i="10"/>
  <c r="L17" i="10" s="1"/>
  <c r="J16" i="10"/>
  <c r="J18" i="10" s="1"/>
  <c r="H16" i="10"/>
  <c r="I16" i="10" s="1"/>
  <c r="I17" i="10" s="1"/>
  <c r="F16" i="10"/>
  <c r="F17" i="10" s="1"/>
  <c r="D16" i="10"/>
  <c r="D17" i="10" s="1"/>
  <c r="P15" i="10"/>
  <c r="P14" i="10"/>
  <c r="P13" i="10"/>
  <c r="L10" i="10"/>
  <c r="M10" i="10" s="1"/>
  <c r="K10" i="10"/>
  <c r="J10" i="10"/>
  <c r="I10" i="10"/>
  <c r="H10" i="10"/>
  <c r="G10" i="10"/>
  <c r="F10" i="10"/>
  <c r="D10" i="10"/>
  <c r="E10" i="10" s="1"/>
  <c r="M9" i="10"/>
  <c r="L9" i="10"/>
  <c r="K9" i="10"/>
  <c r="J9" i="10"/>
  <c r="I9" i="10"/>
  <c r="H9" i="10"/>
  <c r="F9" i="10"/>
  <c r="G9" i="10" s="1"/>
  <c r="E9" i="10"/>
  <c r="D9" i="10"/>
  <c r="M8" i="10"/>
  <c r="L8" i="10"/>
  <c r="K8" i="10"/>
  <c r="J8" i="10"/>
  <c r="H8" i="10"/>
  <c r="I8" i="10" s="1"/>
  <c r="G8" i="10"/>
  <c r="F8" i="10"/>
  <c r="E8" i="10"/>
  <c r="D8" i="10"/>
  <c r="M7" i="10"/>
  <c r="L7" i="10"/>
  <c r="J7" i="10"/>
  <c r="K7" i="10" s="1"/>
  <c r="I7" i="10"/>
  <c r="H7" i="10"/>
  <c r="G7" i="10"/>
  <c r="F7" i="10"/>
  <c r="E7" i="10"/>
  <c r="D7" i="10"/>
  <c r="L6" i="10"/>
  <c r="M6" i="10" s="1"/>
  <c r="K6" i="10"/>
  <c r="J6" i="10"/>
  <c r="I6" i="10"/>
  <c r="H6" i="10"/>
  <c r="G6" i="10"/>
  <c r="F6" i="10"/>
  <c r="D6" i="10"/>
  <c r="E6" i="10" s="1"/>
  <c r="M5" i="10"/>
  <c r="L5" i="10"/>
  <c r="K5" i="10"/>
  <c r="J5" i="10"/>
  <c r="I5" i="10"/>
  <c r="H5" i="10"/>
  <c r="F5" i="10"/>
  <c r="G5" i="10" s="1"/>
  <c r="E5" i="10"/>
  <c r="D5" i="10"/>
  <c r="R22" i="9"/>
  <c r="O22" i="9" l="1"/>
  <c r="S22" i="9"/>
  <c r="G17" i="10"/>
  <c r="K18" i="10"/>
  <c r="G18" i="10"/>
  <c r="J19" i="10"/>
  <c r="K19" i="10" s="1"/>
  <c r="K16" i="10"/>
  <c r="D19" i="10"/>
  <c r="L19" i="10"/>
  <c r="M19" i="10" s="1"/>
  <c r="E16" i="10"/>
  <c r="E18" i="10" s="1"/>
  <c r="M16" i="10"/>
  <c r="M18" i="10" s="1"/>
  <c r="J17" i="10"/>
  <c r="K17" i="10" s="1"/>
  <c r="H18" i="10"/>
  <c r="I18" i="10" s="1"/>
  <c r="F19" i="10"/>
  <c r="G19" i="10" s="1"/>
  <c r="G16" i="10"/>
  <c r="H19" i="10"/>
  <c r="I19" i="10" s="1"/>
  <c r="L71" i="9"/>
  <c r="J71" i="9"/>
  <c r="H71" i="9"/>
  <c r="F71" i="9"/>
  <c r="D71" i="9"/>
  <c r="L70" i="9"/>
  <c r="J70" i="9"/>
  <c r="H70" i="9"/>
  <c r="F70" i="9"/>
  <c r="D70" i="9"/>
  <c r="L69" i="9"/>
  <c r="J69" i="9"/>
  <c r="H69" i="9"/>
  <c r="F69" i="9"/>
  <c r="D69" i="9"/>
  <c r="P17" i="9"/>
  <c r="P16" i="9"/>
  <c r="L16" i="9"/>
  <c r="L18" i="9" s="1"/>
  <c r="J16" i="9"/>
  <c r="J19" i="9" s="1"/>
  <c r="H16" i="9"/>
  <c r="H19" i="9" s="1"/>
  <c r="F16" i="9"/>
  <c r="F17" i="9" s="1"/>
  <c r="D16" i="9"/>
  <c r="D18" i="9" s="1"/>
  <c r="P15" i="9"/>
  <c r="P14" i="9"/>
  <c r="P13" i="9"/>
  <c r="L10" i="9"/>
  <c r="M10" i="9" s="1"/>
  <c r="J10" i="9"/>
  <c r="K10" i="9" s="1"/>
  <c r="H10" i="9"/>
  <c r="I10" i="9" s="1"/>
  <c r="F10" i="9"/>
  <c r="G10" i="9" s="1"/>
  <c r="D10" i="9"/>
  <c r="E10" i="9" s="1"/>
  <c r="L9" i="9"/>
  <c r="M9" i="9" s="1"/>
  <c r="J9" i="9"/>
  <c r="K9" i="9" s="1"/>
  <c r="H9" i="9"/>
  <c r="I9" i="9" s="1"/>
  <c r="F9" i="9"/>
  <c r="G9" i="9" s="1"/>
  <c r="D9" i="9"/>
  <c r="E9" i="9" s="1"/>
  <c r="L8" i="9"/>
  <c r="M8" i="9" s="1"/>
  <c r="J8" i="9"/>
  <c r="K8" i="9" s="1"/>
  <c r="H8" i="9"/>
  <c r="I8" i="9" s="1"/>
  <c r="F8" i="9"/>
  <c r="G8" i="9" s="1"/>
  <c r="D8" i="9"/>
  <c r="E8" i="9" s="1"/>
  <c r="L7" i="9"/>
  <c r="M7" i="9" s="1"/>
  <c r="J7" i="9"/>
  <c r="K7" i="9" s="1"/>
  <c r="H7" i="9"/>
  <c r="I7" i="9" s="1"/>
  <c r="F7" i="9"/>
  <c r="G7" i="9" s="1"/>
  <c r="D7" i="9"/>
  <c r="E7" i="9" s="1"/>
  <c r="L6" i="9"/>
  <c r="M6" i="9" s="1"/>
  <c r="J6" i="9"/>
  <c r="K6" i="9" s="1"/>
  <c r="H6" i="9"/>
  <c r="I6" i="9" s="1"/>
  <c r="F6" i="9"/>
  <c r="G6" i="9" s="1"/>
  <c r="D6" i="9"/>
  <c r="E6" i="9" s="1"/>
  <c r="L5" i="9"/>
  <c r="M5" i="9" s="1"/>
  <c r="J5" i="9"/>
  <c r="K5" i="9" s="1"/>
  <c r="H5" i="9"/>
  <c r="I5" i="9" s="1"/>
  <c r="F5" i="9"/>
  <c r="G5" i="9" s="1"/>
  <c r="D5" i="9"/>
  <c r="E5" i="9" s="1"/>
  <c r="M17" i="10" l="1"/>
  <c r="E17" i="10"/>
  <c r="E19" i="10"/>
  <c r="J17" i="9"/>
  <c r="F18" i="9"/>
  <c r="I16" i="9"/>
  <c r="I19" i="9" s="1"/>
  <c r="K16" i="9"/>
  <c r="M16" i="9"/>
  <c r="M18" i="9" s="1"/>
  <c r="E16" i="9"/>
  <c r="E18" i="9" s="1"/>
  <c r="H17" i="9"/>
  <c r="D19" i="9"/>
  <c r="L19" i="9"/>
  <c r="H18" i="9"/>
  <c r="F19" i="9"/>
  <c r="G16" i="9"/>
  <c r="D17" i="9"/>
  <c r="L17" i="9"/>
  <c r="J18" i="9"/>
  <c r="K17" i="9" l="1"/>
  <c r="I17" i="9"/>
  <c r="K18" i="9"/>
  <c r="G18" i="9"/>
  <c r="I18" i="9"/>
  <c r="K19" i="9"/>
  <c r="E17" i="9"/>
  <c r="E19" i="9"/>
  <c r="M19" i="9"/>
  <c r="M17" i="9"/>
  <c r="G19" i="9"/>
  <c r="G17" i="9"/>
  <c r="E38" i="4" l="1"/>
  <c r="E37" i="4"/>
  <c r="I38" i="4"/>
  <c r="H38" i="4"/>
  <c r="G38" i="4"/>
  <c r="F38" i="4"/>
  <c r="D38" i="4"/>
  <c r="I37" i="4"/>
  <c r="H37" i="4"/>
  <c r="G37" i="4"/>
  <c r="F37" i="4"/>
  <c r="D37" i="4"/>
  <c r="P17" i="4" l="1"/>
  <c r="P16" i="4"/>
  <c r="P15" i="4"/>
  <c r="P13" i="4"/>
  <c r="P14" i="4"/>
  <c r="F16" i="4"/>
  <c r="G16" i="4" s="1"/>
  <c r="H16" i="4"/>
  <c r="H17" i="4" s="1"/>
  <c r="I16" i="4"/>
  <c r="J16" i="4"/>
  <c r="K16" i="4" s="1"/>
  <c r="L16" i="4"/>
  <c r="M16" i="4" s="1"/>
  <c r="F17" i="4"/>
  <c r="F18" i="4"/>
  <c r="G18" i="4" s="1"/>
  <c r="H18" i="4"/>
  <c r="I18" i="4" s="1"/>
  <c r="J18" i="4"/>
  <c r="F19" i="4"/>
  <c r="J38" i="4"/>
  <c r="F77" i="4"/>
  <c r="H77" i="4"/>
  <c r="J77" i="4"/>
  <c r="L77" i="4"/>
  <c r="F78" i="4"/>
  <c r="H78" i="4"/>
  <c r="J78" i="4"/>
  <c r="L78" i="4"/>
  <c r="F79" i="4"/>
  <c r="H79" i="4"/>
  <c r="J79" i="4"/>
  <c r="L79" i="4"/>
  <c r="H80" i="4"/>
  <c r="I17" i="4" l="1"/>
  <c r="L17" i="4"/>
  <c r="M17" i="4" s="1"/>
  <c r="J19" i="4"/>
  <c r="J17" i="4"/>
  <c r="K17" i="4" s="1"/>
  <c r="L19" i="4"/>
  <c r="M19" i="4" s="1"/>
  <c r="H19" i="4"/>
  <c r="I19" i="4" s="1"/>
  <c r="L18" i="4"/>
  <c r="M18" i="4" s="1"/>
  <c r="K18" i="4"/>
  <c r="G19" i="4"/>
  <c r="G17" i="4"/>
  <c r="K19" i="4"/>
  <c r="L6" i="7" l="1"/>
  <c r="L7" i="7"/>
  <c r="J7" i="7"/>
  <c r="J6" i="7"/>
  <c r="H6" i="7"/>
  <c r="H7" i="7"/>
  <c r="F7" i="7"/>
  <c r="F6" i="7"/>
  <c r="D7" i="7"/>
  <c r="D6" i="7"/>
  <c r="C6" i="7"/>
  <c r="K7" i="7"/>
  <c r="K6" i="7"/>
  <c r="I6" i="7"/>
  <c r="I7" i="7"/>
  <c r="G7" i="7"/>
  <c r="G6" i="7"/>
  <c r="E6" i="7"/>
  <c r="E7" i="7"/>
  <c r="C7" i="7"/>
  <c r="L2" i="7"/>
  <c r="L3" i="7"/>
  <c r="L4" i="7"/>
  <c r="L5" i="7"/>
  <c r="J5" i="7"/>
  <c r="J4" i="7"/>
  <c r="J3" i="7"/>
  <c r="J2" i="7"/>
  <c r="H2" i="7"/>
  <c r="H3" i="7"/>
  <c r="H4" i="7"/>
  <c r="H5" i="7"/>
  <c r="F5" i="7"/>
  <c r="F4" i="7"/>
  <c r="F3" i="7"/>
  <c r="F2" i="7"/>
  <c r="D5" i="7"/>
  <c r="D4" i="7"/>
  <c r="D3" i="7"/>
  <c r="D2" i="7"/>
  <c r="C2" i="7"/>
  <c r="K5" i="7"/>
  <c r="I5" i="7"/>
  <c r="G5" i="7"/>
  <c r="E5" i="7"/>
  <c r="C5" i="7"/>
  <c r="K3" i="7"/>
  <c r="K4" i="7"/>
  <c r="I4" i="7"/>
  <c r="I3" i="7"/>
  <c r="G3" i="7"/>
  <c r="G4" i="7"/>
  <c r="E4" i="7"/>
  <c r="E3" i="7"/>
  <c r="C4" i="7"/>
  <c r="C3" i="7"/>
  <c r="K2" i="7"/>
  <c r="I2" i="7"/>
  <c r="G2" i="7"/>
  <c r="E2" i="7"/>
  <c r="P19" i="3" l="1"/>
  <c r="F13" i="6"/>
  <c r="F15" i="6" s="1"/>
  <c r="F9" i="4" s="1"/>
  <c r="M13" i="6"/>
  <c r="L13" i="6"/>
  <c r="L15" i="6" s="1"/>
  <c r="L9" i="4" s="1"/>
  <c r="K13" i="6"/>
  <c r="J13" i="6"/>
  <c r="J16" i="6" s="1"/>
  <c r="J10" i="4" s="1"/>
  <c r="I13" i="6"/>
  <c r="H13" i="6"/>
  <c r="H15" i="6" s="1"/>
  <c r="G13" i="6"/>
  <c r="E13" i="6"/>
  <c r="D13" i="6"/>
  <c r="D15" i="6" s="1"/>
  <c r="D9" i="4" s="1"/>
  <c r="P18" i="3"/>
  <c r="I15" i="6" l="1"/>
  <c r="H9" i="4"/>
  <c r="K16" i="6"/>
  <c r="K10" i="4" s="1"/>
  <c r="G15" i="6"/>
  <c r="G9" i="4" s="1"/>
  <c r="L14" i="6"/>
  <c r="L8" i="4" s="1"/>
  <c r="H14" i="6"/>
  <c r="D14" i="6"/>
  <c r="M14" i="6"/>
  <c r="J15" i="6"/>
  <c r="D16" i="6"/>
  <c r="H16" i="6"/>
  <c r="E15" i="6"/>
  <c r="E9" i="4" s="1"/>
  <c r="M15" i="6"/>
  <c r="M9" i="4" s="1"/>
  <c r="L16" i="6"/>
  <c r="J14" i="6"/>
  <c r="F16" i="6"/>
  <c r="F14" i="6"/>
  <c r="G5" i="6"/>
  <c r="E5" i="6"/>
  <c r="G14" i="6" l="1"/>
  <c r="F8" i="4"/>
  <c r="G8" i="4" s="1"/>
  <c r="K15" i="6"/>
  <c r="J9" i="4"/>
  <c r="K9" i="4" s="1"/>
  <c r="I9" i="4"/>
  <c r="G16" i="6"/>
  <c r="F10" i="4"/>
  <c r="K14" i="6"/>
  <c r="J8" i="4"/>
  <c r="E14" i="6"/>
  <c r="D8" i="4"/>
  <c r="E8" i="4" s="1"/>
  <c r="I14" i="6"/>
  <c r="H8" i="4"/>
  <c r="I16" i="6"/>
  <c r="H10" i="4"/>
  <c r="E16" i="6"/>
  <c r="D10" i="4"/>
  <c r="M16" i="6"/>
  <c r="L10" i="4"/>
  <c r="M10" i="4" s="1"/>
  <c r="M8" i="4"/>
  <c r="I8" i="4" l="1"/>
  <c r="E10" i="4"/>
  <c r="K8" i="4"/>
  <c r="I10" i="4"/>
  <c r="G10" i="4"/>
  <c r="M5" i="6"/>
  <c r="L5" i="6"/>
  <c r="L8" i="6" s="1"/>
  <c r="L7" i="4" s="1"/>
  <c r="K5" i="6"/>
  <c r="J5" i="6"/>
  <c r="J8" i="6" s="1"/>
  <c r="J7" i="4" s="1"/>
  <c r="I5" i="6"/>
  <c r="H5" i="6"/>
  <c r="H6" i="6" s="1"/>
  <c r="H5" i="4" s="1"/>
  <c r="F5" i="6"/>
  <c r="F7" i="6" s="1"/>
  <c r="D5" i="6"/>
  <c r="D8" i="6" s="1"/>
  <c r="F6" i="4" l="1"/>
  <c r="G7" i="6"/>
  <c r="M8" i="6"/>
  <c r="M7" i="4" s="1"/>
  <c r="K8" i="6"/>
  <c r="K7" i="4" s="1"/>
  <c r="E8" i="6"/>
  <c r="D7" i="4"/>
  <c r="J6" i="6"/>
  <c r="J5" i="4" s="1"/>
  <c r="H7" i="6"/>
  <c r="H6" i="4" s="1"/>
  <c r="I6" i="6"/>
  <c r="I5" i="4" s="1"/>
  <c r="F8" i="6"/>
  <c r="D6" i="6"/>
  <c r="L6" i="6"/>
  <c r="L5" i="4" s="1"/>
  <c r="J7" i="6"/>
  <c r="J6" i="4" s="1"/>
  <c r="H8" i="6"/>
  <c r="H7" i="4" s="1"/>
  <c r="F6" i="6"/>
  <c r="D7" i="6"/>
  <c r="L7" i="6"/>
  <c r="L6" i="4" s="1"/>
  <c r="G6" i="4" l="1"/>
  <c r="F7" i="4"/>
  <c r="G8" i="6"/>
  <c r="K6" i="4"/>
  <c r="F5" i="4"/>
  <c r="G6" i="6"/>
  <c r="E7" i="4"/>
  <c r="K7" i="6"/>
  <c r="I8" i="6"/>
  <c r="I7" i="4" s="1"/>
  <c r="M6" i="6"/>
  <c r="M5" i="4" s="1"/>
  <c r="E6" i="6"/>
  <c r="D5" i="4"/>
  <c r="M7" i="6"/>
  <c r="M6" i="4" s="1"/>
  <c r="E7" i="6"/>
  <c r="D6" i="4"/>
  <c r="I7" i="6"/>
  <c r="I6" i="4" s="1"/>
  <c r="K6" i="6"/>
  <c r="K5" i="4" s="1"/>
  <c r="D16" i="4"/>
  <c r="G7" i="4" l="1"/>
  <c r="E5" i="4"/>
  <c r="G5" i="4"/>
  <c r="D17" i="4"/>
  <c r="E6" i="4"/>
  <c r="D19" i="4"/>
  <c r="E16" i="4"/>
  <c r="D18" i="4"/>
  <c r="E18" i="4" l="1"/>
  <c r="E17" i="4"/>
  <c r="E19" i="4"/>
  <c r="D79" i="4" l="1"/>
  <c r="D78" i="4"/>
  <c r="D7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tc={44A3FFB9-3E72-4C59-88C7-C0F11AD6A7EE}</author>
    <author>tc={C8310C99-6F78-4A92-9E39-97107B3C8EB5}</author>
    <author>tc={DE61866F-70B0-410D-A003-A5B9FBB5710C}</author>
    <author>tc={536E2A58-B49A-4486-911F-AEF4CDF1D8AC}</author>
    <author>tc={A34AD5ED-3F73-4B2A-BDF7-456B286D4DDB}</author>
    <author>tc={488DC14C-835F-4C5E-BCFB-4E65868D2E94}</author>
    <author>tc={FC1241F7-29AF-4466-A7CC-CB8ECB56EC97}</author>
    <author>tc={30FBFE63-9850-4D4D-9212-48439013EF66}</author>
    <author>tc={574BDD1C-7815-44DA-B6C5-0E8808F7A5CB}</author>
    <author>tc={1AC093D8-4AC1-425D-8C77-3799E11276C0}</author>
    <author>tc={990D3A3B-90B9-4F25-BECA-5D58C24260A1}</author>
    <author>tc={C2E7DDD8-8688-410A-9993-1514C5552832}</author>
    <author>tc={623F09F6-00E5-4C9A-A87E-357C2E9D846A}</author>
    <author>tc={7B567189-C1C5-4EAB-AC23-1F27DDFB314B}</author>
    <author>tc={E2236637-69AC-4CD9-B709-5F4E63C1B4D9}</author>
    <author>tc={5F086734-A49A-4260-B1DC-55ACD8FC8D41}</author>
    <author>tc={8EC1EEA2-A513-4FBD-BF34-91219D09AF38}</author>
    <author>tc={9FE716CE-163B-4AAE-980A-39E6BEF4A01C}</author>
    <author>tc={9A61F654-2E04-48D1-A8AC-17BAE7163D7F}</author>
    <author>tc={52C1C709-DD10-48E8-B07E-F0D4ADD54F65}</author>
    <author>tc={B5C6592D-95E8-4ACD-88AF-77B20D4B6728}</author>
    <author>tc={87BAD8CB-810B-4DE1-AA1A-809BD4D94D54}</author>
    <author>tc={7DECC4CB-6888-4C18-9132-70BBD4A390CB}</author>
    <author>tc={7B6EC8CD-9B04-491E-98BC-22AA7773BAB8}</author>
    <author>tc={A18B20AB-65D6-4547-9CCE-10B143823D1A}</author>
    <author>tc={FE971E25-6C3F-4DD1-B9C2-22B6313D6501}</author>
    <author>tc={04563457-786B-4783-B31C-30259E884E50}</author>
    <author>tc={A55964AA-F166-4E83-BBAA-7BF24C845BBE}</author>
    <author>tc={4425CFA4-B51F-44B1-A21E-6D67A8CDC70D}</author>
    <author>tc={FEC0952D-5F3F-41F5-8A60-C794D4B61273}</author>
    <author>tc={9FD5139B-1D9E-4304-91CB-8432105AFB63}</author>
    <author>tc={9C547C35-D319-4DD4-9ACE-3EBBED11CC00}</author>
    <author>tc={54F76B71-23C7-43F5-AB4E-B452A7B50E5B}</author>
    <author>tc={4C10A48B-FFFB-46E9-B3F5-991399B686A7}</author>
    <author>tc={13DD4D45-ABA3-4053-8DF8-40C5D6811056}</author>
    <author>tc={2EAC7138-FEE5-4551-BA3A-A02D9D4048EC}</author>
    <author>tc={03CCBEB6-EF73-4BEA-9A9A-3AD0662CF7D2}</author>
    <author>tc={5204A941-D0E4-4FE7-982C-422D3278935A}</author>
    <author>tc={8C41C622-EF30-4F7E-842F-4618EB23C721}</author>
    <author>tc={B3A05ABA-EDB9-462F-82DF-3ECF6BCF5A8A}</author>
    <author>tc={7AC26715-07E0-4982-9E8B-E03FD02BF71B}</author>
    <author>tc={9F0CA826-1149-46BE-B6DB-FB61B86483F3}</author>
    <author>tc={3257235B-DE03-4924-BF24-FDE099EADEB7}</author>
    <author>tc={2A8B62B0-4F6A-4FCC-BA8C-2472784FBB44}</author>
    <author>tc={4573CB8A-3CDE-4806-8B6C-A8189A3AB022}</author>
    <author>tc={31835C03-AE9D-4CDD-9CFB-78FD45FDEFB9}</author>
    <author>tc={3EECB655-945E-4BD9-A2D6-8CBDB1F62359}</author>
    <author>tc={F560F2A3-955A-4EE4-BBC7-F095A282A322}</author>
    <author>tc={E27D7C73-B495-471C-A212-8DC47B59C838}</author>
    <author>tc={0B683244-B87E-47D2-AB17-2D1066445F33}</author>
    <author>tc={E8D27CDA-65E7-48C5-A246-53B17FCC446D}</author>
    <author>tc={0F13AACB-8651-472B-A8C9-51A62909F37D}</author>
    <author>tc={14EF76C6-AA1A-46C3-8874-10A8C786CE3A}</author>
    <author>tc={F1BA14D5-8F39-4307-BDC2-C00ECFDD34ED}</author>
    <author>tc={8832FB77-6AD2-498B-8C4D-C8FFC8480EDB}</author>
  </authors>
  <commentList>
    <comment ref="D3" authorId="0" shapeId="0" xr:uid="{44A3FFB9-3E72-4C59-88C7-C0F11AD6A7EE}">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C8310C99-6F78-4A92-9E39-97107B3C8EB5}">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DE61866F-70B0-410D-A003-A5B9FBB5710C}">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536E2A58-B49A-4486-911F-AEF4CDF1D8AC}">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A34AD5ED-3F73-4B2A-BDF7-456B286D4DDB}">
      <text>
        <t>[Threaded comment]
Your version of Excel allows you to read this threaded comment; however, any edits to it will get removed if the file is opened in a newer version of Excel. Learn more: https://go.microsoft.com/fwlink/?linkid=870924
Comment:
    From HPLC of Total Chl a of minidilution experiments</t>
      </text>
    </comment>
    <comment ref="B12" authorId="5" shapeId="0" xr:uid="{488DC14C-835F-4C5E-BCFB-4E65868D2E94}">
      <text>
        <t>[Threaded comment]
Your version of Excel allows you to read this threaded comment; however, any edits to it will get removed if the file is opened in a newer version of Excel. Learn more: https://go.microsoft.com/fwlink/?linkid=870924
Comment:
    Grazing in ug chl/h comes from chl content per sample * a temperature dependent feeding rate from Dam and Peterson using the temperature at 25 meters.</t>
      </text>
    </comment>
    <comment ref="C12" authorId="6" shapeId="0" xr:uid="{FC1241F7-29AF-4466-A7CC-CB8ECB56EC97}">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C13" authorId="7" shapeId="0" xr:uid="{30FBFE63-9850-4D4D-9212-48439013EF66}">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5" authorId="8" shapeId="0" xr:uid="{574BDD1C-7815-44DA-B6C5-0E8808F7A5CB}">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
      </text>
    </comment>
    <comment ref="B16" authorId="9" shapeId="0" xr:uid="{1AC093D8-4AC1-425D-8C77-3799E11276C0}">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6" authorId="10" shapeId="0" xr:uid="{990D3A3B-90B9-4F25-BECA-5D58C24260A1}">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6" authorId="11" shapeId="0" xr:uid="{C2E7DDD8-8688-410A-9993-1514C5552832}">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6" authorId="12" shapeId="0" xr:uid="{623F09F6-00E5-4C9A-A87E-357C2E9D846A}">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6" authorId="13" shapeId="0" xr:uid="{7B567189-C1C5-4EAB-AC23-1F27DDFB314B}">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7" authorId="14" shapeId="0" xr:uid="{E2236637-69AC-4CD9-B709-5F4E63C1B4D9}">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7" authorId="15" shapeId="0" xr:uid="{5F086734-A49A-4260-B1DC-55ACD8FC8D41}">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7" authorId="16" shapeId="0" xr:uid="{8EC1EEA2-A513-4FBD-BF34-91219D09AF38}">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7" authorId="17" shapeId="0" xr:uid="{9FE716CE-163B-4AAE-980A-39E6BEF4A01C}">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8" authorId="18" shapeId="0" xr:uid="{9A61F654-2E04-48D1-A8AC-17BAE7163D7F}">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19" authorId="19" shapeId="0" xr:uid="{52C1C709-DD10-48E8-B07E-F0D4ADD54F65}">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0" authorId="20" shapeId="0" xr:uid="{B5C6592D-95E8-4ACD-88AF-77B20D4B6728}">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0" authorId="21" shapeId="0" xr:uid="{87BAD8CB-810B-4DE1-AA1A-809BD4D94D54}">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0" authorId="22" shapeId="0" xr:uid="{7DECC4CB-6888-4C18-9132-70BBD4A390CB}">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1" authorId="23" shapeId="0" xr:uid="{7B6EC8CD-9B04-491E-98BC-22AA7773BAB8}">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2" authorId="24" shapeId="0" xr:uid="{A18B20AB-65D6-4547-9CCE-10B143823D1A}">
      <text>
        <t>[Threaded comment]
Your version of Excel allows you to read this threaded comment; however, any edits to it will get removed if the file is opened in a newer version of Excel. Learn more: https://go.microsoft.com/fwlink/?linkid=870924
Comment:
    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
      </text>
    </comment>
    <comment ref="B43" authorId="25" shapeId="0" xr:uid="{FE971E25-6C3F-4DD1-B9C2-22B6313D6501}">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44" authorId="26" shapeId="0" xr:uid="{04563457-786B-4783-B31C-30259E884E50}">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45" authorId="27" shapeId="0" xr:uid="{A55964AA-F166-4E83-BBAA-7BF24C845BBE}">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47" authorId="28" shapeId="0" xr:uid="{4425CFA4-B51F-44B1-A21E-6D67A8CDC70D}">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51" authorId="29" shapeId="0" xr:uid="{FEC0952D-5F3F-41F5-8A60-C794D4B61273}">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51" authorId="30" shapeId="0" xr:uid="{9FD5139B-1D9E-4304-91CB-8432105AFB63}">
      <text>
        <t>[Threaded comment]
Your version of Excel allows you to read this threaded comment; however, any edits to it will get removed if the file is opened in a newer version of Excel. Learn more: https://go.microsoft.com/fwlink/?linkid=870924
Comment:
    As with grazing rates, because there are no VMMeso in C1 this is the average of day and night biomasses.</t>
      </text>
    </comment>
    <comment ref="B54" authorId="31" shapeId="0" xr:uid="{9C547C35-D319-4DD4-9ACE-3EBBED11CC00}">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
Reply:
    The uncertainty on these is often so high we are saying we couldn't resolve day/night differences and are treating them as epipelagic residents. As such this value is the mean of the observed da/night biomasses.
Reply:
    You will also note the biomass of Amphipods is often quite significant relative to Meso and Macrozoo, especially in Cycle 1. This is because 80-90% of the catch (for Cycle 1 at least) was &gt;5 mm Hyperiiod amphipods that were likely associated with the salps that were manually excluded from size frac zoo biomass. For this reason we do not think it is necessary to subtract the amphipods from the size frac biomass.</t>
      </text>
    </comment>
    <comment ref="B55" authorId="32" shapeId="0" xr:uid="{54F76B71-23C7-43F5-AB4E-B452A7B50E5B}">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
Reply:
    The uncertainty on these is often so high we are saying we couldn't resolve day/night differences and are treating them as epipelagic residents.</t>
      </text>
    </comment>
    <comment ref="B56" authorId="33" shapeId="0" xr:uid="{4C10A48B-FFFB-46E9-B3F5-991399B686A7}">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56" authorId="34" shapeId="0" xr:uid="{13DD4D45-ABA3-4053-8DF8-40C5D6811056}">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58" authorId="35" shapeId="0" xr:uid="{2EAC7138-FEE5-4551-BA3A-A02D9D4048EC}">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
      </text>
    </comment>
    <comment ref="D58" authorId="36" shapeId="0" xr:uid="{03CCBEB6-EF73-4BEA-9A9A-3AD0662CF7D2}">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59" authorId="37" shapeId="0" xr:uid="{5204A941-D0E4-4FE7-982C-422D3278935A}">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60" authorId="38" shapeId="0" xr:uid="{8C41C622-EF30-4F7E-842F-4618EB23C721}">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64" authorId="39" shapeId="0" xr:uid="{B3A05ABA-EDB9-462F-82DF-3ECF6BCF5A8A}">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65" authorId="40" shapeId="0" xr:uid="{7AC26715-07E0-4982-9E8B-E03FD02BF71B}">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66" authorId="41" shapeId="0" xr:uid="{9F0CA826-1149-46BE-B6DB-FB61B86483F3}">
      <text>
        <t>[Threaded comment]
Your version of Excel allows you to read this threaded comment; however, any edits to it will get removed if the file is opened in a newer version of Excel. Learn more: https://go.microsoft.com/fwlink/?linkid=870924
Comment:
    As the mean of the amphipods from Zooscan using weight-length function of Themisto japonica from Ikeda 1990 and DW-C conversion of Ikeda and Shiga, 1999.</t>
      </text>
    </comment>
    <comment ref="B67" authorId="42" shapeId="0" xr:uid="{3257235B-DE03-4924-BF24-FDE099EADEB7}">
      <text>
        <t xml:space="preserve">[Threaded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 so far. Siphonophores and Ctenophores use Lavaniego and Ohman 2007, and cnidarians use Uye and Shimauchi 2005 regression for WW from bell diameter. </t>
      </text>
    </comment>
    <comment ref="B68" authorId="43" shapeId="0" xr:uid="{2A8B62B0-4F6A-4FCC-BA8C-2472784FBB44}">
      <text>
        <t>[Threaded comment]
Your version of Excel allows you to read this threaded comment; however, any edits to it will get removed if the file is opened in a newer version of Excel. Learn more: https://go.microsoft.com/fwlink/?linkid=870924
Comment:
    As the mean ST size from bongo tows, averaged per Cycle and converted to carbon weight using Iguchi and Ikeda 2004. For Cycles 3 and 5 the average of the other 3 cycles is used.</t>
      </text>
    </comment>
    <comment ref="B69" authorId="44" shapeId="0" xr:uid="{4573CB8A-3CDE-4806-8B6C-A8189A3AB022}">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70" authorId="45" shapeId="0" xr:uid="{31835C03-AE9D-4CDD-9CFB-78FD45FDEFB9}">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71" authorId="46" shapeId="0" xr:uid="{3EECB655-945E-4BD9-A2D6-8CBDB1F62359}">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72" authorId="47" shapeId="0" xr:uid="{F560F2A3-955A-4EE4-BBC7-F095A282A322}">
      <text>
        <t>[Threaded comment]
Your version of Excel allows you to read this threaded comment; however, any edits to it will get removed if the file is opened in a newer version of Excel. Learn more: https://go.microsoft.com/fwlink/?linkid=870924
Comment:
    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
      </text>
    </comment>
    <comment ref="B77" authorId="48" shapeId="0" xr:uid="{E27D7C73-B495-471C-A212-8DC47B59C838}">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77" authorId="49" shapeId="0" xr:uid="{0B683244-B87E-47D2-AB17-2D1066445F33}">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77" authorId="50" shapeId="0" xr:uid="{E8D27CDA-65E7-48C5-A246-53B17FCC446D}">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77" authorId="51" shapeId="0" xr:uid="{0F13AACB-8651-472B-A8C9-51A62909F37D}">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77" authorId="52" shapeId="0" xr:uid="{14EF76C6-AA1A-46C3-8874-10A8C786CE3A}">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77" authorId="53" shapeId="0" xr:uid="{F1BA14D5-8F39-4307-BDC2-C00ECFDD34ED}">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77" authorId="54" shapeId="0" xr:uid="{8832FB77-6AD2-498B-8C4D-C8FFC8480EDB}">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tc={CA61BD29-65C6-4CA1-8F7B-926573AD4B59}</author>
    <author>tc={81B08864-B6C6-442A-9419-E22F05E82C26}</author>
    <author>tc={CDF294EC-CFCF-4535-9A07-9589835C313D}</author>
    <author>tc={1600746B-1AA8-4E3A-9D52-0FD9377184E8}</author>
    <author>tc={BEF78ECC-C7B8-4FA5-8D8E-04641E0D825A}</author>
    <author>tc={4C068974-1287-424A-868D-43350519D42A}</author>
    <author>tc={00DFC78A-6578-4A4C-BD3E-99008C9F2FD7}</author>
    <author>tc={35813A68-3473-4EF4-AEEA-6E592351B239}</author>
    <author>tc={A9DCEAE9-64B0-4D41-853A-415AF799C0DD}</author>
    <author>tc={5616382C-CCFE-489C-987A-764D37CE1715}</author>
    <author>tc={996259E0-931B-4AA3-BBEF-904304B6E365}</author>
    <author>tc={F0F04EFC-E066-4F65-86A8-2FDB03BE86C5}</author>
    <author>tc={D133C6CE-256B-4167-B1A4-B782C5D284E7}</author>
    <author>tc={50704E2C-3691-4069-9B65-79F34E2C3EB6}</author>
    <author>tc={05C77A02-65C9-4A52-ABE1-F6AA8B83E1D2}</author>
    <author>tc={3F1D5607-90E4-4C9F-A469-7FA83934786E}</author>
    <author>tc={E6CE983A-BA12-4D45-BE8F-79F192D60652}</author>
    <author>tc={AC16BA79-A669-49D1-83C6-88B9EA2E043D}</author>
    <author>tc={3D3883AA-5170-447A-AEAD-E4A1B08F7E09}</author>
    <author>tc={86B94AA4-1693-4A0C-A0C2-C9D9365F43B0}</author>
    <author>tc={CA09C363-BF04-4E6F-A5A0-0D15C7FD445A}</author>
    <author>tc={BFEBFB23-BE3F-4ADB-AA9F-A9FB164D163D}</author>
    <author>tc={2584D355-5445-41DA-85E8-04F649030284}</author>
    <author>tc={C2C474BF-967C-46DD-93F9-CE251E23FC75}</author>
    <author>tc={1F47B976-DD6F-4CB9-BF2B-4B244708ADB0}</author>
    <author>tc={FC29FE6F-B9D2-42F8-9724-478CCBE4C744}</author>
    <author>tc={D78F730F-F968-47F8-8174-676E08F038B2}</author>
    <author>tc={AC6C8941-D46C-4976-A7F5-D70222A1D419}</author>
    <author>tc={851278D3-5952-4F49-B80E-ABCC08D4B9FC}</author>
    <author>tc={A837674B-3C8C-4DE0-9477-3F7EB0722553}</author>
    <author>tc={604BE943-5BF5-4AA6-A406-9DC97ADF8E39}</author>
    <author>tc={FE510AED-7CB3-49B6-8211-94B0BDF04DAF}</author>
    <author>tc={8F17AB57-74CA-4C5F-824C-01B761FDDC78}</author>
    <author>tc={14CFB3D5-407E-4D26-B83C-41E65C4EBFE7}</author>
    <author>tc={11796628-34BF-4AEB-8A90-D523A1CD008A}</author>
    <author>tc={50ADB95F-F417-4BB6-ADDD-55BDF2325C67}</author>
    <author>tc={1324208C-0384-47F2-B5CB-BBB87985E68D}</author>
    <author>tc={3B5880B9-0361-493D-8C14-B31458CBC652}</author>
    <author>tc={D480ECE5-25AF-4E8A-9D00-BBC7BC354BD0}</author>
    <author>tc={EAC19535-B2EE-4C20-9460-ACA55DB9C979}</author>
    <author>tc={ECD4C7DF-2CCA-4B42-8B11-66410E7008C8}</author>
    <author>tc={FCC6BF30-4209-4D89-9323-AF2AC03D78E0}</author>
    <author>tc={67543502-6338-4E38-9283-B977F81AA2EE}</author>
    <author>tc={88849480-A6AA-4800-9202-491CE338EA46}</author>
    <author>tc={7A29879B-A051-405F-9AAF-3F56163F228F}</author>
    <author>tc={FA61E866-C03F-46D5-AABE-A02FD45CB531}</author>
    <author>tc={92117CBA-EDD4-4457-8A9C-E5F27BC10709}</author>
    <author>tc={23CA62CD-DDA5-4E7B-A6E8-DABEF8D03E16}</author>
    <author>tc={7F26FB70-0E89-4D3D-8D01-7B93875440DC}</author>
    <author>tc={CA1B68B1-B960-4E5F-B3D5-9A865EAAE305}</author>
    <author>tc={D77E2256-978E-44B0-8293-EFD99D0BFC4E}</author>
    <author>tc={FC14CE22-E1FF-487E-9333-8930FECD22C7}</author>
    <author>tc={ECAEB2EB-464C-4B0D-9388-C8406DE27E14}</author>
    <author>tc={C4123BE1-0A76-45DA-98DF-7FF651B9293E}</author>
    <author>tc={ABE518D4-3590-45D4-BCE9-E35443D32424}</author>
  </authors>
  <commentList>
    <comment ref="D3" authorId="0" shapeId="0" xr:uid="{CA61BD29-65C6-4CA1-8F7B-926573AD4B59}">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81B08864-B6C6-442A-9419-E22F05E82C26}">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CDF294EC-CFCF-4535-9A07-9589835C313D}">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1600746B-1AA8-4E3A-9D52-0FD9377184E8}">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BEF78ECC-C7B8-4FA5-8D8E-04641E0D825A}">
      <text>
        <t>[Threaded comment]
Your version of Excel allows you to read this threaded comment; however, any edits to it will get removed if the file is opened in a newer version of Excel. Learn more: https://go.microsoft.com/fwlink/?linkid=870924
Comment:
    From HPLC of Total Chl a of minidilution experiments</t>
      </text>
    </comment>
    <comment ref="B12" authorId="5" shapeId="0" xr:uid="{4C068974-1287-424A-868D-43350519D42A}">
      <text>
        <t>[Threaded comment]
Your version of Excel allows you to read this threaded comment; however, any edits to it will get removed if the file is opened in a newer version of Excel. Learn more: https://go.microsoft.com/fwlink/?linkid=870924
Comment:
    Grazing in ug chl/h comes from chl content per sample * a temperature dependent feeding rate from Dam and Peterson using the temperature at 25 meters.</t>
      </text>
    </comment>
    <comment ref="C12" authorId="6" shapeId="0" xr:uid="{00DFC78A-6578-4A4C-BD3E-99008C9F2FD7}">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C13" authorId="7" shapeId="0" xr:uid="{35813A68-3473-4EF4-AEEA-6E592351B239}">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5" authorId="8" shapeId="0" xr:uid="{A9DCEAE9-64B0-4D41-853A-415AF799C0DD}">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
      </text>
    </comment>
    <comment ref="B16" authorId="9" shapeId="0" xr:uid="{5616382C-CCFE-489C-987A-764D37CE1715}">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6" authorId="10" shapeId="0" xr:uid="{996259E0-931B-4AA3-BBEF-904304B6E365}">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6" authorId="11" shapeId="0" xr:uid="{F0F04EFC-E066-4F65-86A8-2FDB03BE86C5}">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6" authorId="12" shapeId="0" xr:uid="{D133C6CE-256B-4167-B1A4-B782C5D284E7}">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6" authorId="13" shapeId="0" xr:uid="{50704E2C-3691-4069-9B65-79F34E2C3EB6}">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7" authorId="14" shapeId="0" xr:uid="{05C77A02-65C9-4A52-ABE1-F6AA8B83E1D2}">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7" authorId="15" shapeId="0" xr:uid="{3F1D5607-90E4-4C9F-A469-7FA83934786E}">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7" authorId="16" shapeId="0" xr:uid="{E6CE983A-BA12-4D45-BE8F-79F192D60652}">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7" authorId="17" shapeId="0" xr:uid="{AC16BA79-A669-49D1-83C6-88B9EA2E043D}">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8" authorId="18" shapeId="0" xr:uid="{3D3883AA-5170-447A-AEAD-E4A1B08F7E09}">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19" authorId="19" shapeId="0" xr:uid="{86B94AA4-1693-4A0C-A0C2-C9D9365F43B0}">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0" authorId="20" shapeId="0" xr:uid="{CA09C363-BF04-4E6F-A5A0-0D15C7FD445A}">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0" authorId="21" shapeId="0" xr:uid="{BFEBFB23-BE3F-4ADB-AA9F-A9FB164D163D}">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0" authorId="22" shapeId="0" xr:uid="{2584D355-5445-41DA-85E8-04F649030284}">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1" authorId="23" shapeId="0" xr:uid="{C2C474BF-967C-46DD-93F9-CE251E23FC75}">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2" authorId="24" shapeId="0" xr:uid="{1F47B976-DD6F-4CB9-BF2B-4B244708ADB0}">
      <text>
        <t>[Threaded comment]
Your version of Excel allows you to read this threaded comment; however, any edits to it will get removed if the file is opened in a newer version of Excel. Learn more: https://go.microsoft.com/fwlink/?linkid=870924
Comment:
    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
      </text>
    </comment>
    <comment ref="B43" authorId="25" shapeId="0" xr:uid="{FC29FE6F-B9D2-42F8-9724-478CCBE4C744}">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44" authorId="26" shapeId="0" xr:uid="{D78F730F-F968-47F8-8174-676E08F038B2}">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45" authorId="27" shapeId="0" xr:uid="{AC6C8941-D46C-4976-A7F5-D70222A1D419}">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47" authorId="28" shapeId="0" xr:uid="{851278D3-5952-4F49-B80E-ABCC08D4B9FC}">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51" authorId="29" shapeId="0" xr:uid="{A837674B-3C8C-4DE0-9477-3F7EB0722553}">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51" authorId="30" shapeId="0" xr:uid="{604BE943-5BF5-4AA6-A406-9DC97ADF8E39}">
      <text>
        <t>[Threaded comment]
Your version of Excel allows you to read this threaded comment; however, any edits to it will get removed if the file is opened in a newer version of Excel. Learn more: https://go.microsoft.com/fwlink/?linkid=870924
Comment:
    As with grazing rates, because there are no VMMeso in C1 this is the average of day and night biomasses.</t>
      </text>
    </comment>
    <comment ref="B54" authorId="31" shapeId="0" xr:uid="{FE510AED-7CB3-49B6-8211-94B0BDF04DAF}">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
Reply:
    The uncertainty on these is often so high we are saying we couldn't resolve day/night differences and are treating them as epipelagic residents. As such this value is the mean of the observed da/night biomasses.
Reply:
    You will also note the biomass of Amphipods is often quite significant relative to Meso and Macrozoo, especially in Cycle 1. This is because 80-90% of the catch (for Cycle 1 at least) was &gt;5 mm Hyperiiod amphipods that were likely associated with the salps that were manually excluded from size frac zoo biomass. For this reason we do not think it is necessary to subtract the amphipods from the size frac biomass.</t>
      </text>
    </comment>
    <comment ref="B55" authorId="32" shapeId="0" xr:uid="{8F17AB57-74CA-4C5F-824C-01B761FDDC78}">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
Reply:
    The uncertainty on these is often so high we are saying we couldn't resolve day/night differences and are treating them as epipelagic residents.</t>
      </text>
    </comment>
    <comment ref="B56" authorId="33" shapeId="0" xr:uid="{14CFB3D5-407E-4D26-B83C-41E65C4EBFE7}">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56" authorId="34" shapeId="0" xr:uid="{11796628-34BF-4AEB-8A90-D523A1CD008A}">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58" authorId="35" shapeId="0" xr:uid="{50ADB95F-F417-4BB6-ADDD-55BDF2325C67}">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
      </text>
    </comment>
    <comment ref="D58" authorId="36" shapeId="0" xr:uid="{1324208C-0384-47F2-B5CB-BBB87985E68D}">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59" authorId="37" shapeId="0" xr:uid="{3B5880B9-0361-493D-8C14-B31458CBC652}">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60" authorId="38" shapeId="0" xr:uid="{D480ECE5-25AF-4E8A-9D00-BBC7BC354BD0}">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64" authorId="39" shapeId="0" xr:uid="{EAC19535-B2EE-4C20-9460-ACA55DB9C979}">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65" authorId="40" shapeId="0" xr:uid="{ECD4C7DF-2CCA-4B42-8B11-66410E7008C8}">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66" authorId="41" shapeId="0" xr:uid="{FCC6BF30-4209-4D89-9323-AF2AC03D78E0}">
      <text>
        <t>[Threaded comment]
Your version of Excel allows you to read this threaded comment; however, any edits to it will get removed if the file is opened in a newer version of Excel. Learn more: https://go.microsoft.com/fwlink/?linkid=870924
Comment:
    As the mean of the amphipods from Zooscan using weight-length function of Themisto japonica from Ikeda 1990 and DW-C conversion of Ikeda and Shiga, 1999.</t>
      </text>
    </comment>
    <comment ref="B67" authorId="42" shapeId="0" xr:uid="{67543502-6338-4E38-9283-B977F81AA2EE}">
      <text>
        <t xml:space="preserve">[Threaded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 so far. Siphonophores and Ctenophores use Lavaniego and Ohman 2007, and cnidarians use Uye and Shimauchi 2005 regression for WW from bell diameter. </t>
      </text>
    </comment>
    <comment ref="B68" authorId="43" shapeId="0" xr:uid="{88849480-A6AA-4800-9202-491CE338EA46}">
      <text>
        <t>[Threaded comment]
Your version of Excel allows you to read this threaded comment; however, any edits to it will get removed if the file is opened in a newer version of Excel. Learn more: https://go.microsoft.com/fwlink/?linkid=870924
Comment:
    As the mean ST size from bongo tows, averaged per Cycle and converted to carbon weight using Iguchi and Ikeda 2004. For Cycles 3 and 5 the average of the other 3 cycles is used.</t>
      </text>
    </comment>
    <comment ref="B69" authorId="44" shapeId="0" xr:uid="{7A29879B-A051-405F-9AAF-3F56163F228F}">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70" authorId="45" shapeId="0" xr:uid="{FA61E866-C03F-46D5-AABE-A02FD45CB531}">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71" authorId="46" shapeId="0" xr:uid="{92117CBA-EDD4-4457-8A9C-E5F27BC10709}">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72" authorId="47" shapeId="0" xr:uid="{23CA62CD-DDA5-4E7B-A6E8-DABEF8D03E16}">
      <text>
        <t>[Threaded comment]
Your version of Excel allows you to read this threaded comment; however, any edits to it will get removed if the file is opened in a newer version of Excel. Learn more: https://go.microsoft.com/fwlink/?linkid=870924
Comment:
    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
      </text>
    </comment>
    <comment ref="B77" authorId="48" shapeId="0" xr:uid="{7F26FB70-0E89-4D3D-8D01-7B93875440DC}">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77" authorId="49" shapeId="0" xr:uid="{CA1B68B1-B960-4E5F-B3D5-9A865EAAE305}">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77" authorId="50" shapeId="0" xr:uid="{D77E2256-978E-44B0-8293-EFD99D0BFC4E}">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77" authorId="51" shapeId="0" xr:uid="{FC14CE22-E1FF-487E-9333-8930FECD22C7}">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77" authorId="52" shapeId="0" xr:uid="{ECAEB2EB-464C-4B0D-9388-C8406DE27E14}">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77" authorId="53" shapeId="0" xr:uid="{C4123BE1-0A76-45DA-98DF-7FF651B9293E}">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77" authorId="54" shapeId="0" xr:uid="{ABE518D4-3590-45D4-BCE9-E35443D32424}">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tc={7FA23232-A0E1-4E1B-9452-8304C380AB8B}</author>
    <author>tc={8D3074B2-C162-4FDA-900F-9E511430EE26}</author>
    <author>tc={B5F51BDE-EB3C-4CB1-8C18-D2CDE60A16C6}</author>
    <author>tc={A40CE34C-96CE-4FE9-95E3-AD77A1BE0363}</author>
    <author>tc={E2A54E60-3E78-48B3-84E4-CCCD02CFF0ED}</author>
    <author>tc={4D0C6B0E-6A44-4FBF-AAF8-60F555681F85}</author>
    <author>tc={E2F02092-B565-437C-A72D-08ED07D774DE}</author>
    <author>tc={9E4F2F4D-C48F-4EF6-B398-9687EE002533}</author>
    <author>tc={D5DDA264-1F77-42B6-A269-888F41DE4B6A}</author>
    <author>tc={26277F60-021A-4F31-800C-73F86925B160}</author>
    <author>tc={130A97C1-9EEF-4948-91AB-B35BC8B60760}</author>
    <author>tc={194FA5FD-CA51-4B98-A16C-B09F6243B06C}</author>
    <author>tc={9D46CB53-42C7-4C79-A57B-8D4B95A49F24}</author>
    <author>tc={1EE6BC5C-A507-4E3F-9B90-7C95D76530B7}</author>
    <author>tc={9E27A61D-C9CD-441F-8DDA-E2FC31DED785}</author>
    <author>tc={15D4CA88-01AD-4B93-9A57-55F774611571}</author>
    <author>tc={8C22CD21-A90D-4291-B7C9-FF7DB24EA8ED}</author>
    <author>tc={1F5808E9-4204-4CD6-B30F-DB25F6EDAD66}</author>
    <author>tc={AE43CA53-0C98-43FE-9C72-0DF9083DF076}</author>
    <author>tc={5F884498-F055-4A7B-9F89-0718FB5DB6C0}</author>
    <author>tc={12109B02-DE6B-43E2-8CF1-6BAF219AD312}</author>
    <author>tc={3720137A-E204-4A83-A7F1-7596E2A352B2}</author>
    <author>tc={86721F93-7A43-4615-832E-9738EC1A251D}</author>
    <author>tc={31727BD0-B036-48FE-B0EF-44D2DB51345A}</author>
    <author>tc={5A2BF95B-1315-4EC9-8F9A-49D1FE1F26E3}</author>
    <author>tc={16160B8D-7B0B-46AC-A5C4-57CF6B1FED00}</author>
    <author>tc={DF05445A-18C1-4BA7-BA8E-D048FA932142}</author>
    <author>tc={4F3FCD9A-4B4E-4E12-BCB9-4BEBB04E8C5D}</author>
    <author>tc={44AE3F5E-446C-42A8-995C-70DBA55E42C4}</author>
    <author>tc={BB7766C8-FCEB-433B-BA7B-DC92A035029B}</author>
    <author>tc={CCAABA92-CF20-4A14-969B-72DE6D2969A7}</author>
    <author>tc={139B4395-7762-4F0C-8CDD-513B42DE2EF4}</author>
    <author>tc={9BD121E8-F790-483E-8E42-E8DAA72C3DB8}</author>
    <author>tc={7F415C0B-78F1-4E84-A26A-D1612E472F78}</author>
    <author>tc={18AE653E-07EE-403F-AD04-D30F502CEB2E}</author>
    <author>tc={42A2A8B8-6DC5-4D06-A26F-A30277420847}</author>
    <author>tc={E3BE2FE0-52BF-4F38-8442-68358485D5FC}</author>
    <author>tc={2843C0C3-ADEB-421D-B9C9-CB24781220DF}</author>
    <author>tc={EA2EA9E6-55AC-42F8-BAB1-296D391CC92E}</author>
    <author>tc={395353C3-BEC7-4A11-867E-F01DBF64D942}</author>
    <author>tc={12FE8B90-9AA7-4FD0-8F3B-B524D3F26A44}</author>
    <author>tc={87DAB0EA-4E2B-4249-9624-5D2579E7D9DB}</author>
    <author>tc={9CE38CD5-BDD6-46D0-BB5F-C78545A2D410}</author>
    <author>tc={5EF166F9-E3C2-4185-8446-788241D91E72}</author>
    <author>tc={08D80AB6-DF81-4916-BE46-F4D268933C93}</author>
    <author>tc={5DA5CC3A-C34B-409A-8509-1AB629846355}</author>
    <author>tc={4534E20E-F2E7-4B6B-B9B7-6CAFF3B67D4F}</author>
    <author>tc={1AB1D5B2-BE43-4667-AB6A-5C531099F9C3}</author>
    <author>tc={D7988A77-C8C6-4953-BB05-A49567B3C5B6}</author>
    <author>tc={E20E38A4-ABF2-42E5-B751-6C80B04424E4}</author>
    <author>tc={F77DD7BA-D647-49A7-9A32-FB653CF5E1A8}</author>
    <author>tc={957F77DD-95E2-41F9-9767-F061FFDBE7C2}</author>
    <author>tc={1BCCDC90-7719-454A-9E7B-86F6BDCA21B1}</author>
    <author>tc={B294253E-E2A6-46EE-A99C-9C6D7B112BF6}</author>
    <author>tc={2E405B43-26E3-41F8-B32F-0259BD8F9C4F}</author>
    <author>tc={58553C5F-00BD-410A-96E1-234E88C1FB1C}</author>
    <author>tc={3B9F891E-6581-4057-9D14-E583793AA8FA}</author>
  </authors>
  <commentList>
    <comment ref="D3" authorId="0" shapeId="0" xr:uid="{7FA23232-A0E1-4E1B-9452-8304C380AB8B}">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8D3074B2-C162-4FDA-900F-9E511430EE26}">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B5F51BDE-EB3C-4CB1-8C18-D2CDE60A16C6}">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A40CE34C-96CE-4FE9-95E3-AD77A1BE0363}">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E2A54E60-3E78-48B3-84E4-CCCD02CFF0ED}">
      <text>
        <t>[Threaded comment]
Your version of Excel allows you to read this threaded comment; however, any edits to it will get removed if the file is opened in a newer version of Excel. Learn more: https://go.microsoft.com/fwlink/?linkid=870924
Comment:
    From HPLC of Total Chl a of minidilution experiments</t>
      </text>
    </comment>
    <comment ref="B12" authorId="5" shapeId="0" xr:uid="{4D0C6B0E-6A44-4FBF-AAF8-60F555681F85}">
      <text>
        <t>[Threaded comment]
Your version of Excel allows you to read this threaded comment; however, any edits to it will get removed if the file is opened in a newer version of Excel. Learn more: https://go.microsoft.com/fwlink/?linkid=870924
Comment:
    Grazing in ug chl/h comes from chl content per sample * a temperature dependent feeding rate from Dam and Peterson using the temperature at 25 meters.</t>
      </text>
    </comment>
    <comment ref="C12" authorId="6" shapeId="0" xr:uid="{E2F02092-B565-437C-A72D-08ED07D774DE}">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C13" authorId="7" shapeId="0" xr:uid="{9E4F2F4D-C48F-4EF6-B398-9687EE002533}">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5" authorId="8" shapeId="0" xr:uid="{D5DDA264-1F77-42B6-A269-888F41DE4B6A}">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
      </text>
    </comment>
    <comment ref="B16" authorId="9" shapeId="0" xr:uid="{26277F60-021A-4F31-800C-73F86925B160}">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6" authorId="10" shapeId="0" xr:uid="{130A97C1-9EEF-4948-91AB-B35BC8B60760}">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6" authorId="11" shapeId="0" xr:uid="{194FA5FD-CA51-4B98-A16C-B09F6243B06C}">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6" authorId="12" shapeId="0" xr:uid="{9D46CB53-42C7-4C79-A57B-8D4B95A49F24}">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6" authorId="13" shapeId="0" xr:uid="{1EE6BC5C-A507-4E3F-9B90-7C95D76530B7}">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7" authorId="14" shapeId="0" xr:uid="{9E27A61D-C9CD-441F-8DDA-E2FC31DED785}">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7" authorId="15" shapeId="0" xr:uid="{15D4CA88-01AD-4B93-9A57-55F774611571}">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7" authorId="16" shapeId="0" xr:uid="{8C22CD21-A90D-4291-B7C9-FF7DB24EA8ED}">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7" authorId="17" shapeId="0" xr:uid="{1F5808E9-4204-4CD6-B30F-DB25F6EDAD66}">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8" authorId="18" shapeId="0" xr:uid="{AE43CA53-0C98-43FE-9C72-0DF9083DF076}">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19" authorId="19" shapeId="0" xr:uid="{5F884498-F055-4A7B-9F89-0718FB5DB6C0}">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0" authorId="20" shapeId="0" xr:uid="{12109B02-DE6B-43E2-8CF1-6BAF219AD312}">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0" authorId="21" shapeId="0" xr:uid="{3720137A-E204-4A83-A7F1-7596E2A352B2}">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0" authorId="22" shapeId="0" xr:uid="{86721F93-7A43-4615-832E-9738EC1A251D}">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1" authorId="23" shapeId="0" xr:uid="{31727BD0-B036-48FE-B0EF-44D2DB51345A}">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6" authorId="24" shapeId="0" xr:uid="{5A2BF95B-1315-4EC9-8F9A-49D1FE1F26E3}">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27" authorId="25" shapeId="0" xr:uid="{16160B8D-7B0B-46AC-A5C4-57CF6B1FED00}">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28" authorId="26" shapeId="0" xr:uid="{DF05445A-18C1-4BA7-BA8E-D048FA932142}">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30" authorId="27" shapeId="0" xr:uid="{4F3FCD9A-4B4E-4E12-BCB9-4BEBB04E8C5D}">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34" authorId="28" shapeId="0" xr:uid="{44AE3F5E-446C-42A8-995C-70DBA55E42C4}">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34" authorId="29" shapeId="0" xr:uid="{BB7766C8-FCEB-433B-BA7B-DC92A035029B}">
      <text>
        <t>[Threaded comment]
Your version of Excel allows you to read this threaded comment; however, any edits to it will get removed if the file is opened in a newer version of Excel. Learn more: https://go.microsoft.com/fwlink/?linkid=870924
Comment:
    As with grazing rates, because there are no VMMeso in C1 this is the average of day and night biomasses.</t>
      </text>
    </comment>
    <comment ref="B37" authorId="30" shapeId="0" xr:uid="{CCAABA92-CF20-4A14-969B-72DE6D2969A7}">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
Reply:
    The uncertainty on these is often so high we are saying we couldn't resolve day/night differences and are treating them as epipelagic residents. As such this value is the mean of the observed da/night biomasses.
Reply:
    You will also note the biomass of Amphipods is often quite significant relative to Meso and Macrozoo, especially in Cycle 1. This is because 80-90% of the catch (for Cycle 1 at least) was &gt;5 mm Hyperiiod amphipods that were likely associated with the salps that were manually excluded from size frac zoo biomass. For this reason we do not think it is necessary to subtract the amphipods from the size frac biomass.</t>
      </text>
    </comment>
    <comment ref="B38" authorId="31" shapeId="0" xr:uid="{139B4395-7762-4F0C-8CDD-513B42DE2EF4}">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
Reply:
    The uncertainty on these is often so high we are saying we couldn't resolve day/night differences and are treating them as epipelagic residents.</t>
      </text>
    </comment>
    <comment ref="B39" authorId="32" shapeId="0" xr:uid="{9BD121E8-F790-483E-8E42-E8DAA72C3DB8}">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39" authorId="33" shapeId="0" xr:uid="{7F415C0B-78F1-4E84-A26A-D1612E472F78}">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41" authorId="34" shapeId="0" xr:uid="{18AE653E-07EE-403F-AD04-D30F502CEB2E}">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
      </text>
    </comment>
    <comment ref="D41" authorId="35" shapeId="0" xr:uid="{42A2A8B8-6DC5-4D06-A26F-A30277420847}">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42" authorId="36" shapeId="0" xr:uid="{E3BE2FE0-52BF-4F38-8442-68358485D5FC}">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43" authorId="37" shapeId="0" xr:uid="{2843C0C3-ADEB-421D-B9C9-CB24781220DF}">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44" authorId="38" shapeId="0" xr:uid="{EA2EA9E6-55AC-42F8-BAB1-296D391CC92E}">
      <text>
        <t>[Threaded comment]
Your version of Excel allows you to read this threaded comment; however, any edits to it will get removed if the file is opened in a newer version of Excel. Learn more: https://go.microsoft.com/fwlink/?linkid=870924
Comment:
    These are predicted min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.5.</t>
      </text>
    </comment>
    <comment ref="B45" authorId="39" shapeId="0" xr:uid="{395353C3-BEC7-4A11-867E-F01DBF64D942}">
      <text>
        <t>[Threaded comment]
Your version of Excel allows you to read this threaded comment; however, any edits to it will get removed if the file is opened in a newer version of Excel. Learn more: https://go.microsoft.com/fwlink/?linkid=870924
Comment:
    These are predicted maximum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2.</t>
      </text>
    </comment>
    <comment ref="B73" authorId="40" shapeId="0" xr:uid="{12FE8B90-9AA7-4FD0-8F3B-B524D3F26A44}">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74" authorId="41" shapeId="0" xr:uid="{87DAB0EA-4E2B-4249-9624-5D2579E7D9DB}">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75" authorId="42" shapeId="0" xr:uid="{9CE38CD5-BDD6-46D0-BB5F-C78545A2D410}">
      <text>
        <t>[Threaded comment]
Your version of Excel allows you to read this threaded comment; however, any edits to it will get removed if the file is opened in a newer version of Excel. Learn more: https://go.microsoft.com/fwlink/?linkid=870924
Comment:
    As the mean of the amphipods from Zooscan using weight-length function of Themisto japonica from Ikeda 1990 and DW-C conversion of Ikeda and Shiga, 1999.</t>
      </text>
    </comment>
    <comment ref="B76" authorId="43" shapeId="0" xr:uid="{5EF166F9-E3C2-4185-8446-788241D91E72}">
      <text>
        <t xml:space="preserve">[Threaded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 so far. Siphonophores and Ctenophores use Lavaniego and Ohman 2007, and cnidarians use Uye and Shimauchi 2005 regression for WW from bell diameter. </t>
      </text>
    </comment>
    <comment ref="B77" authorId="44" shapeId="0" xr:uid="{08D80AB6-DF81-4916-BE46-F4D268933C93}">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78" authorId="45" shapeId="0" xr:uid="{5DA5CC3A-C34B-409A-8509-1AB629846355}">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79" authorId="46" shapeId="0" xr:uid="{4534E20E-F2E7-4B6B-B9B7-6CAFF3B67D4F}">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80" authorId="47" shapeId="0" xr:uid="{1AB1D5B2-BE43-4667-AB6A-5C531099F9C3}">
      <text>
        <t>[Threaded comment]
Your version of Excel allows you to read this threaded comment; however, any edits to it will get removed if the file is opened in a newer version of Excel. Learn more: https://go.microsoft.com/fwlink/?linkid=870924
Comment:
    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
      </text>
    </comment>
    <comment ref="H80" authorId="48" shapeId="0" xr:uid="{D7988A77-C8C6-4953-BB05-A49567B3C5B6}">
      <text>
        <t>[Threaded comment]
Your version of Excel allows you to read this threaded comment; however, any edits to it will get removed if the file is opened in a newer version of Excel. Learn more: https://go.microsoft.com/fwlink/?linkid=870924
Comment:
    Unlike the other cycles, these values are calculated per individual salp based on a length regression by Iguchi and Ikeda 2004. Respiration is then summed over each tow, averaged by cycle, and day and night values are added assuming 14 hours day and 10 hours night.
Reply:
    An alternative way to do this is to divide Cycle 1, 2, and 4 respiration by the salp biomass from each tow to get a per unit biomass respiration rate (again for day and night separately). Then multiply  by the observed day/night salp biomass for Cycles 3 and 5. Doing so ALSO gives 0.00017</t>
      </text>
    </comment>
    <comment ref="L80" authorId="49" shapeId="0" xr:uid="{E20E38A4-ABF2-42E5-B751-6C80B04424E4}">
      <text>
        <t>[Threaded comment]
Your version of Excel allows you to read this threaded comment; however, any edits to it will get removed if the file is opened in a newer version of Excel. Learn more: https://go.microsoft.com/fwlink/?linkid=870924
Comment:
    Unlike the other cycles, these values are calculated per individual salp based on a length regression by Iguchi and Ikeda 2004. Respiration is then summed over each tow, averaged by cycle, and day and night values are added assuming 14 hours day and 10 hours night.
Reply:
    An alternative way to do this is to divide Cycle 1, 2, and 4 respiration by the salp biomass from each tow to get a per unit biomass respiration rate (again for day and night separately). Then multiply  by the observed day/night salp biomass for Cycles 3 and 5. Doing so gives 0.00006.</t>
      </text>
    </comment>
    <comment ref="B87" authorId="50" shapeId="0" xr:uid="{F77DD7BA-D647-49A7-9A32-FB653CF5E1A8}">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87" authorId="51" shapeId="0" xr:uid="{957F77DD-95E2-41F9-9767-F061FFDBE7C2}">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87" authorId="52" shapeId="0" xr:uid="{1BCCDC90-7719-454A-9E7B-86F6BDCA21B1}">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87" authorId="53" shapeId="0" xr:uid="{B294253E-E2A6-46EE-A99C-9C6D7B112BF6}">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87" authorId="54" shapeId="0" xr:uid="{2E405B43-26E3-41F8-B32F-0259BD8F9C4F}">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87" authorId="55" shapeId="0" xr:uid="{58553C5F-00BD-410A-96E1-234E88C1FB1C}">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87" authorId="56" shapeId="0" xr:uid="{3B9F891E-6581-4057-9D14-E583793AA8FA}">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tc={11AEF130-BE7B-4914-83A6-8F93DB32E9B5}</author>
    <author>tc={2C843EC0-E733-4A7D-8C21-301EFDEA5B4F}</author>
  </authors>
  <commentList>
    <comment ref="B2" authorId="0" shapeId="0" xr:uid="{11AEF130-BE7B-4914-83A6-8F93DB32E9B5}">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what we're really interested in here is the proportion of total NPP attributable to Pico, Flag, and Diatoms.</t>
      </text>
    </comment>
    <comment ref="B4" authorId="1" shapeId="0" xr:uid="{2C843EC0-E733-4A7D-8C21-301EFDEA5B4F}">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tc={2570394F-E991-46A9-8EAB-FF6D72E1E15F}</author>
    <author>tc={9B438F73-B654-4838-BAEE-D0898F778D8D}</author>
  </authors>
  <commentList>
    <comment ref="A2" authorId="0" shapeId="0" xr:uid="{2570394F-E991-46A9-8EAB-FF6D72E1E15F}">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A6" authorId="1" shapeId="0" xr:uid="{9B438F73-B654-4838-BAEE-D0898F778D8D}">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List>
</comments>
</file>

<file path=xl/sharedStrings.xml><?xml version="1.0" encoding="utf-8"?>
<sst xmlns="http://schemas.openxmlformats.org/spreadsheetml/2006/main" count="901" uniqueCount="253">
  <si>
    <t>Approximate Equalities</t>
  </si>
  <si>
    <t>units</t>
  </si>
  <si>
    <t>Cycle 1</t>
  </si>
  <si>
    <t>σ</t>
  </si>
  <si>
    <t>Cycle 2</t>
  </si>
  <si>
    <t>Cycle 3</t>
  </si>
  <si>
    <t>Cycle 4</t>
  </si>
  <si>
    <t>Cycle 5</t>
  </si>
  <si>
    <r>
      <t>(mmol N m</t>
    </r>
    <r>
      <rPr>
        <vertAlign val="superscript"/>
        <sz val="8"/>
        <color theme="8" tint="-0.249977111117893"/>
        <rFont val="Calibri"/>
        <family val="2"/>
        <scheme val="minor"/>
      </rPr>
      <t>-2</t>
    </r>
    <r>
      <rPr>
        <sz val="8"/>
        <color theme="8" tint="-0.249977111117893"/>
        <rFont val="Calibri"/>
        <family val="2"/>
        <scheme val="minor"/>
      </rPr>
      <t xml:space="preserve"> d</t>
    </r>
    <r>
      <rPr>
        <vertAlign val="superscript"/>
        <sz val="8"/>
        <color theme="8" tint="-0.249977111117893"/>
        <rFont val="Calibri"/>
        <family val="2"/>
        <scheme val="minor"/>
      </rPr>
      <t>-1</t>
    </r>
    <r>
      <rPr>
        <sz val="8"/>
        <color theme="8" tint="-0.249977111117893"/>
        <rFont val="Calibri"/>
        <family val="2"/>
        <scheme val="minor"/>
      </rPr>
      <t>)</t>
    </r>
  </si>
  <si>
    <t>SedTrap Flux (shallow)</t>
  </si>
  <si>
    <t>Thorium Flux (shallow)</t>
  </si>
  <si>
    <t>Pico NPP</t>
  </si>
  <si>
    <t>Flag NPP</t>
  </si>
  <si>
    <t>Picophyto Mortality</t>
  </si>
  <si>
    <t>Flagellate Mortality</t>
  </si>
  <si>
    <t>Mesozoo Grazing</t>
  </si>
  <si>
    <t>Macrozoo Grazing</t>
  </si>
  <si>
    <t>PicoTOSalp</t>
  </si>
  <si>
    <t>DtmTOSalp</t>
  </si>
  <si>
    <t>Inequality Inputs</t>
  </si>
  <si>
    <t>Temperature (0-70)</t>
  </si>
  <si>
    <t>deg C</t>
  </si>
  <si>
    <t>Pico Biomass</t>
  </si>
  <si>
    <r>
      <t>(mmol N m</t>
    </r>
    <r>
      <rPr>
        <vertAlign val="superscript"/>
        <sz val="8"/>
        <color rgb="FFC00000"/>
        <rFont val="Calibri"/>
        <family val="2"/>
        <scheme val="minor"/>
      </rPr>
      <t>-2</t>
    </r>
    <r>
      <rPr>
        <sz val="8"/>
        <color rgb="FFC00000"/>
        <rFont val="Calibri"/>
        <family val="2"/>
        <scheme val="minor"/>
      </rPr>
      <t>)</t>
    </r>
  </si>
  <si>
    <t>Diatom Biomass</t>
  </si>
  <si>
    <t>Flag Biomass</t>
  </si>
  <si>
    <t>HNF Biomass</t>
  </si>
  <si>
    <t>MIC Biomass</t>
  </si>
  <si>
    <t>Meso Daytime Biomass</t>
  </si>
  <si>
    <t>Meso Nighttime Biomass</t>
  </si>
  <si>
    <t>Macro Daytime Biomass</t>
  </si>
  <si>
    <t>Macro Nighttime Biomass</t>
  </si>
  <si>
    <t>Myct Biomass</t>
  </si>
  <si>
    <t>PiscivFish Biomass</t>
  </si>
  <si>
    <t>GelativFish Biomass</t>
  </si>
  <si>
    <r>
      <t>(mmol N m</t>
    </r>
    <r>
      <rPr>
        <vertAlign val="superscript"/>
        <sz val="8"/>
        <color rgb="FFC00000"/>
        <rFont val="Calibri"/>
        <family val="2"/>
        <scheme val="minor"/>
      </rPr>
      <t xml:space="preserve">-2 </t>
    </r>
    <r>
      <rPr>
        <sz val="8"/>
        <color rgb="FFC00000"/>
        <rFont val="Calibri"/>
        <family val="2"/>
        <scheme val="minor"/>
      </rPr>
      <t>d</t>
    </r>
    <r>
      <rPr>
        <vertAlign val="superscript"/>
        <sz val="8"/>
        <color rgb="FFC00000"/>
        <rFont val="Calibri"/>
        <family val="2"/>
        <scheme val="minor"/>
      </rPr>
      <t>-1</t>
    </r>
    <r>
      <rPr>
        <sz val="8"/>
        <color rgb="FFC00000"/>
        <rFont val="Calibri"/>
        <family val="2"/>
        <scheme val="minor"/>
      </rPr>
      <t>)</t>
    </r>
  </si>
  <si>
    <t>Meso Size</t>
  </si>
  <si>
    <r>
      <t>(mg C ind</t>
    </r>
    <r>
      <rPr>
        <vertAlign val="superscript"/>
        <sz val="8"/>
        <color rgb="FFC00000"/>
        <rFont val="Calibri"/>
        <family val="2"/>
        <scheme val="minor"/>
      </rPr>
      <t>-1</t>
    </r>
    <r>
      <rPr>
        <sz val="8"/>
        <color rgb="FFC00000"/>
        <rFont val="Calibri"/>
        <family val="2"/>
        <scheme val="minor"/>
      </rPr>
      <t>)</t>
    </r>
  </si>
  <si>
    <t>Macro Size</t>
  </si>
  <si>
    <t>Myct Size</t>
  </si>
  <si>
    <r>
      <t>(mg WW ind</t>
    </r>
    <r>
      <rPr>
        <vertAlign val="superscript"/>
        <sz val="8"/>
        <color rgb="FFC00000"/>
        <rFont val="Calibri"/>
        <family val="2"/>
        <scheme val="minor"/>
      </rPr>
      <t>-1</t>
    </r>
    <r>
      <rPr>
        <sz val="8"/>
        <color rgb="FFC00000"/>
        <rFont val="Calibri"/>
        <family val="2"/>
        <scheme val="minor"/>
      </rPr>
      <t>)</t>
    </r>
  </si>
  <si>
    <t>PiscivFish Size</t>
  </si>
  <si>
    <t>GelativFish Size</t>
  </si>
  <si>
    <r>
      <t>δ</t>
    </r>
    <r>
      <rPr>
        <vertAlign val="superscript"/>
        <sz val="20"/>
        <color theme="9" tint="-0.499984740745262"/>
        <rFont val="Calibri"/>
        <family val="2"/>
      </rPr>
      <t>15</t>
    </r>
    <r>
      <rPr>
        <sz val="20"/>
        <color theme="9" tint="-0.499984740745262"/>
        <rFont val="Calibri"/>
        <family val="2"/>
      </rPr>
      <t>N Values</t>
    </r>
  </si>
  <si>
    <t>Shallow SedTrap</t>
  </si>
  <si>
    <r>
      <t xml:space="preserve">δ </t>
    </r>
    <r>
      <rPr>
        <b/>
        <vertAlign val="superscript"/>
        <sz val="9"/>
        <color theme="9" tint="-0.499984740745262"/>
        <rFont val="Arial"/>
        <family val="2"/>
      </rPr>
      <t>15</t>
    </r>
    <r>
      <rPr>
        <b/>
        <sz val="9"/>
        <color theme="9" tint="-0.499984740745262"/>
        <rFont val="Arial"/>
        <family val="2"/>
      </rPr>
      <t>N</t>
    </r>
    <r>
      <rPr>
        <b/>
        <vertAlign val="subscript"/>
        <sz val="9"/>
        <color theme="9" tint="-0.499984740745262"/>
        <rFont val="Arial"/>
        <family val="2"/>
      </rPr>
      <t xml:space="preserve">AIR </t>
    </r>
    <r>
      <rPr>
        <b/>
        <sz val="9"/>
        <color theme="9" tint="-0.499984740745262"/>
        <rFont val="Arial"/>
        <family val="2"/>
      </rPr>
      <t>(‰)</t>
    </r>
  </si>
  <si>
    <t>PON</t>
  </si>
  <si>
    <t>Meso</t>
  </si>
  <si>
    <t>Macro</t>
  </si>
  <si>
    <t>Salp</t>
  </si>
  <si>
    <t>NPP (shallow)</t>
  </si>
  <si>
    <t>NPP (deep)</t>
  </si>
  <si>
    <t>f-ratio (shallow)</t>
  </si>
  <si>
    <t>f-ratio (deep)</t>
  </si>
  <si>
    <t>Protistan Grazing Rate (shallow)</t>
  </si>
  <si>
    <t>Protistan Grazing Rate (deep)</t>
  </si>
  <si>
    <t>Picophyto NPP (shallow)</t>
  </si>
  <si>
    <t>Picophyto NPP (deep)</t>
  </si>
  <si>
    <t>Flagellate NPP (shallow)</t>
  </si>
  <si>
    <t>Flagellate NPP (deep)</t>
  </si>
  <si>
    <t>Diatom NPP (shallow)</t>
  </si>
  <si>
    <t>Diatom NPP (deep)</t>
  </si>
  <si>
    <t>Picophyto Mortality (shallow)</t>
  </si>
  <si>
    <t>Picophyto Mortality (deep)</t>
  </si>
  <si>
    <t>Flagellate Mortality (shallow)</t>
  </si>
  <si>
    <t>Flagellate Mortality (deep)</t>
  </si>
  <si>
    <t>Diatom Mortality (shallow)</t>
  </si>
  <si>
    <t>Diatom Mortality (deep)</t>
  </si>
  <si>
    <t>NVM Mesozoo Grazing</t>
  </si>
  <si>
    <t>VM Mesozoo Grazing</t>
  </si>
  <si>
    <t>SedTrap Flux (deep)</t>
  </si>
  <si>
    <t>NaN</t>
  </si>
  <si>
    <t>Thorium Flux (deep)</t>
  </si>
  <si>
    <t>Chl Sinking (shallow)</t>
  </si>
  <si>
    <t>Chl Sinking (deep)</t>
  </si>
  <si>
    <t>Fecal Pellet Sinking (shallow)</t>
  </si>
  <si>
    <t>Fecal Pellet Sinking (deep)</t>
  </si>
  <si>
    <t>Microzoo to Preflex</t>
  </si>
  <si>
    <t>Microzoo to Postflex</t>
  </si>
  <si>
    <t>Appendicularian to Preflex</t>
  </si>
  <si>
    <t>Appendicularian to Postflex</t>
  </si>
  <si>
    <t>Cladoceran to Preflex</t>
  </si>
  <si>
    <t>Cladoceran to Postflex</t>
  </si>
  <si>
    <t>Calanoids to Preflex</t>
  </si>
  <si>
    <t>Calanoids to Postflex</t>
  </si>
  <si>
    <t>Poecilastomatoids to Preflex</t>
  </si>
  <si>
    <t>Poecilastomatoids to Postflex</t>
  </si>
  <si>
    <t>Temperature (0-50)</t>
  </si>
  <si>
    <t>Temperature (50-120)</t>
  </si>
  <si>
    <t>Temperature (120-300)</t>
  </si>
  <si>
    <t>HerbNVM biomass (shallow)</t>
  </si>
  <si>
    <t>App Biomass (shallow)</t>
  </si>
  <si>
    <t>Clad Biomass (shallow)</t>
  </si>
  <si>
    <t>NVM Cal Biomass (shallow)</t>
  </si>
  <si>
    <t>Chaeto Biomass (shallow)</t>
  </si>
  <si>
    <t>Poecil Biomass (shallow)</t>
  </si>
  <si>
    <t>Gel Pred Biomass (shallow)</t>
  </si>
  <si>
    <t>Preflex Biomass (shallow)</t>
  </si>
  <si>
    <t>Postflex Biomass (shallow)</t>
  </si>
  <si>
    <t>HerbVM Biomass</t>
  </si>
  <si>
    <t>vmCal Biomass</t>
  </si>
  <si>
    <t>HerbNVM biomass (deep)</t>
  </si>
  <si>
    <t>App Biomass (deep)</t>
  </si>
  <si>
    <t>Clad Biomass (deep)</t>
  </si>
  <si>
    <t>NVM Cal Biomass (deep)</t>
  </si>
  <si>
    <t>Chaeto Biomass (deep)</t>
  </si>
  <si>
    <t>Poecil Biomass (deep)</t>
  </si>
  <si>
    <t>Gel Pred Biomass (deep)</t>
  </si>
  <si>
    <t>Cyano Biomass (shallow)</t>
  </si>
  <si>
    <t>Tricho Biomass (shallow)</t>
  </si>
  <si>
    <t>Diatom Biomass (shallow)</t>
  </si>
  <si>
    <t>Flag Biomass (shallow)</t>
  </si>
  <si>
    <t>HNF Biomass (shallow)</t>
  </si>
  <si>
    <t>MIC Biomass (shallow)</t>
  </si>
  <si>
    <t>Cyano Biomass (deep)</t>
  </si>
  <si>
    <t>Tricho Biomass (deep)</t>
  </si>
  <si>
    <t>Diatom Biomass (deep)</t>
  </si>
  <si>
    <t>Flag Biomass (deep)</t>
  </si>
  <si>
    <t>HNF Biomass (deep)</t>
  </si>
  <si>
    <t>MIC Biomass (deep)</t>
  </si>
  <si>
    <t>HerbNVM Size</t>
  </si>
  <si>
    <t>App Size</t>
  </si>
  <si>
    <t>Clad Size</t>
  </si>
  <si>
    <t>NVM Cal Size</t>
  </si>
  <si>
    <t>Chaeto Size</t>
  </si>
  <si>
    <t>Poecil Size</t>
  </si>
  <si>
    <t>Gel Pred Size</t>
  </si>
  <si>
    <t>Preflex Size</t>
  </si>
  <si>
    <t>Postflex Size</t>
  </si>
  <si>
    <t>HerbVM Size</t>
  </si>
  <si>
    <t>vmCal Size</t>
  </si>
  <si>
    <t>Maximum upwelling rate (shallow)</t>
  </si>
  <si>
    <t>Maximum upwelling rate (deep)</t>
  </si>
  <si>
    <t>Maximum lateral transport PON (shallow)</t>
  </si>
  <si>
    <t>Maximum lateral transport DON (shallow)</t>
  </si>
  <si>
    <t>Upwelled Nitrate</t>
  </si>
  <si>
    <t>Preflex</t>
  </si>
  <si>
    <t>Postflex</t>
  </si>
  <si>
    <t>Deep SedTrap</t>
  </si>
  <si>
    <t>Shallow DON</t>
  </si>
  <si>
    <t>Deep DON</t>
  </si>
  <si>
    <t>Shallow PON</t>
  </si>
  <si>
    <t>Deep PON</t>
  </si>
  <si>
    <t>Appendicularian</t>
  </si>
  <si>
    <t>Calanoid Copepod</t>
  </si>
  <si>
    <t>Chaetognath</t>
  </si>
  <si>
    <t>HerbVM</t>
  </si>
  <si>
    <t>HerbNVM</t>
  </si>
  <si>
    <t>Poecilostomatoid</t>
  </si>
  <si>
    <t>Cladoceran</t>
  </si>
  <si>
    <t>Amph Size</t>
  </si>
  <si>
    <t>GelPred Size</t>
  </si>
  <si>
    <t>Protistan Grazing Rate (14C)</t>
  </si>
  <si>
    <t>NPP (14C)</t>
  </si>
  <si>
    <t>HNF Size</t>
  </si>
  <si>
    <r>
      <t>(um</t>
    </r>
    <r>
      <rPr>
        <vertAlign val="superscript"/>
        <sz val="8"/>
        <color rgb="FFC00000"/>
        <rFont val="Calibri"/>
        <family val="2"/>
        <scheme val="minor"/>
      </rPr>
      <t>3</t>
    </r>
    <r>
      <rPr>
        <sz val="8"/>
        <color rgb="FFC00000"/>
        <rFont val="Calibri"/>
        <family val="2"/>
        <scheme val="minor"/>
      </rPr>
      <t>)</t>
    </r>
  </si>
  <si>
    <t>Flag Size</t>
  </si>
  <si>
    <t>Micro Size</t>
  </si>
  <si>
    <t>Amph Biomass</t>
  </si>
  <si>
    <t>Gel Biomass</t>
  </si>
  <si>
    <t>Salp FP Flux</t>
  </si>
  <si>
    <t>OtherTOSalp</t>
  </si>
  <si>
    <t>Salp Fecal Pellet Production</t>
  </si>
  <si>
    <t>VMMacro Grazing</t>
  </si>
  <si>
    <t>See Bvec of N15InverseModel matrix file</t>
  </si>
  <si>
    <t>Salp Daytime Biomass</t>
  </si>
  <si>
    <t>Salp Nighttime Biomass</t>
  </si>
  <si>
    <t>Temperature (bottom 100)</t>
  </si>
  <si>
    <r>
      <t>(mmol N m</t>
    </r>
    <r>
      <rPr>
        <vertAlign val="superscript"/>
        <sz val="8"/>
        <color rgb="FFC00000"/>
        <rFont val="Calibri"/>
        <family val="2"/>
        <scheme val="minor"/>
      </rPr>
      <t>-2</t>
    </r>
    <r>
      <rPr>
        <sz val="8"/>
        <color rgb="FFC00000"/>
        <rFont val="Calibri"/>
        <family val="2"/>
        <scheme val="minor"/>
      </rPr>
      <t xml:space="preserve"> d</t>
    </r>
    <r>
      <rPr>
        <vertAlign val="superscript"/>
        <sz val="8"/>
        <color rgb="FFC00000"/>
        <rFont val="Calibri"/>
        <family val="2"/>
        <scheme val="minor"/>
      </rPr>
      <t>-1</t>
    </r>
    <r>
      <rPr>
        <sz val="8"/>
        <color rgb="FFC00000"/>
        <rFont val="Calibri"/>
        <family val="2"/>
        <scheme val="minor"/>
      </rPr>
      <t>)</t>
    </r>
  </si>
  <si>
    <t>Salp Autotroph Grazing</t>
  </si>
  <si>
    <t>Salp Heterotroph Grazing</t>
  </si>
  <si>
    <t>Pico Prop</t>
  </si>
  <si>
    <t>Flag Prop</t>
  </si>
  <si>
    <t>Diatom Prop</t>
  </si>
  <si>
    <t>Pico Fcyt NPP</t>
  </si>
  <si>
    <t>Flag Fcyt NPP</t>
  </si>
  <si>
    <t>Diatom Fcyt NPP</t>
  </si>
  <si>
    <t>Summed Fcyt NPP</t>
  </si>
  <si>
    <t>Bacterial Production</t>
  </si>
  <si>
    <t>(mmol N m-2 d-1)</t>
  </si>
  <si>
    <t>Temperature (200)</t>
  </si>
  <si>
    <t>Salp Basal Respiration</t>
  </si>
  <si>
    <t>Diatom NPP</t>
  </si>
  <si>
    <t>Diatom Mortality</t>
  </si>
  <si>
    <t>Pico Fcyt Mort</t>
  </si>
  <si>
    <t>Flag Fcyt Mort</t>
  </si>
  <si>
    <t>Diatom Fcyt Mort</t>
  </si>
  <si>
    <t>Summed Fcyt Mort</t>
  </si>
  <si>
    <t>(mmol N m-2)</t>
  </si>
  <si>
    <t>Cycle 1-Min</t>
  </si>
  <si>
    <t>Cycle 1-Max</t>
  </si>
  <si>
    <t>Cycle 2-Min</t>
  </si>
  <si>
    <t>Cycle 2-Max</t>
  </si>
  <si>
    <t>Cycle 3-Min</t>
  </si>
  <si>
    <t>Cycle 3-Max</t>
  </si>
  <si>
    <t>Cycle 4-Min</t>
  </si>
  <si>
    <t>Cycle 4-Max</t>
  </si>
  <si>
    <t>Cycle 5-Min</t>
  </si>
  <si>
    <t>Cycle 5-Max</t>
  </si>
  <si>
    <t>=non overlap of 95% CI</t>
  </si>
  <si>
    <t>Bottom Depth</t>
  </si>
  <si>
    <t>m</t>
  </si>
  <si>
    <t>Meso  Biomass</t>
  </si>
  <si>
    <t>Myct Max Meso Consumption</t>
  </si>
  <si>
    <t>Myct Max VMMeso Consumption</t>
  </si>
  <si>
    <t>PiscivFish Max Macro Consumption</t>
  </si>
  <si>
    <t>PiscivFish Max VMMacro Consumption</t>
  </si>
  <si>
    <t>Myct Min Meso Consumption</t>
  </si>
  <si>
    <t>Myct Min VMMeso Consumption</t>
  </si>
  <si>
    <t>PiscivFish Min Macro Consumption</t>
  </si>
  <si>
    <t>PiscivFish Min VMMacro Consumption</t>
  </si>
  <si>
    <t>Myct Min Macro Consumption</t>
  </si>
  <si>
    <t>Myct Max Macro Consumption</t>
  </si>
  <si>
    <t>Myct Min Amph Consumption</t>
  </si>
  <si>
    <t>Myct Max Amph Consumption</t>
  </si>
  <si>
    <t>Myct Min VMMacro Consumption</t>
  </si>
  <si>
    <t>Myct Max VMMacro Consumption</t>
  </si>
  <si>
    <t>Myct Min Salp Consumption</t>
  </si>
  <si>
    <t>Myct Max Salp Consumption</t>
  </si>
  <si>
    <t>Myct Min Gel Consumption</t>
  </si>
  <si>
    <t>Myct Max Gel Consumption</t>
  </si>
  <si>
    <t>PiscivFish Min Myct Consumption</t>
  </si>
  <si>
    <t>PiscivFish Max Myct Consumption</t>
  </si>
  <si>
    <t>GelativFish Min Gel Consumption</t>
  </si>
  <si>
    <t>GelativFish Max Gel Consumption</t>
  </si>
  <si>
    <t>GelativFish Min Salp Consumption</t>
  </si>
  <si>
    <t>GelativFish Max Salp Consumption</t>
  </si>
  <si>
    <t>PiscivFish Min Amph Consumption</t>
  </si>
  <si>
    <t>PiscivFish Max Amph Consumption</t>
  </si>
  <si>
    <t>NPP-Herb</t>
  </si>
  <si>
    <t>NA</t>
  </si>
  <si>
    <t>Amph Daytime Biomass</t>
  </si>
  <si>
    <t>Amph Nighttime Biomass</t>
  </si>
  <si>
    <t>Gel Daytime Biomass</t>
  </si>
  <si>
    <t>Gel Nighttime Biomass</t>
  </si>
  <si>
    <t>Salp Size</t>
  </si>
  <si>
    <t>Myct Scaled Meso Consumption</t>
  </si>
  <si>
    <t>Myct Scaled Macro Consumption</t>
  </si>
  <si>
    <t>Myct Scaled VMMacro Consumption</t>
  </si>
  <si>
    <t>Myct Scaled Amph Consumption</t>
  </si>
  <si>
    <t>Myct Scaled Salp Consumption</t>
  </si>
  <si>
    <t>Myct Scaled Gel Consumption</t>
  </si>
  <si>
    <t>PiscivFish Scaled Myct Consumption</t>
  </si>
  <si>
    <t>PiscivFish Scaled VMMacro Consumption</t>
  </si>
  <si>
    <t>PiscivFish Scaled Amph Consumption</t>
  </si>
  <si>
    <t>GelativFish Scaled Salp Consumption</t>
  </si>
  <si>
    <t>GelativFish Scaled Gel Consumption</t>
  </si>
  <si>
    <t>HTL Scaled Meso Consumption</t>
  </si>
  <si>
    <t>HTL Scaled Macro Consumption</t>
  </si>
  <si>
    <t>HTL Scaled VMMacro Consumption</t>
  </si>
  <si>
    <t>HTL Scaled Amph Consumption</t>
  </si>
  <si>
    <t>HTL Scaled Salp Consumption</t>
  </si>
  <si>
    <t>HTL Scaled Gel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</si>
</sst>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
  </numFmts>
  <fonts count="24" x14ac:knownFonts="1">
    <font>
      <sz val="11"/>
      <color theme="1"/>
      <name val="Calibri"/>
      <family val="2"/>
      <scheme val="minor"/>
    </font>
    <font>
      <sz val="20"/>
      <color theme="8" tint="-0.249977111117893"/>
      <name val="Calibri"/>
      <family val="2"/>
      <scheme val="minor"/>
    </font>
    <font>
      <sz val="11"/>
      <color theme="8" tint="-0.249977111117893"/>
      <name val="Calibri"/>
      <family val="2"/>
      <scheme val="minor"/>
    </font>
    <font>
      <b/>
      <u/>
      <sz val="11"/>
      <color theme="8" tint="-0.249977111117893"/>
      <name val="Calibri"/>
      <family val="2"/>
      <scheme val="minor"/>
    </font>
    <font>
      <b/>
      <u/>
      <sz val="11"/>
      <color theme="8" tint="-0.249977111117893"/>
      <name val="Calibri"/>
      <family val="2"/>
    </font>
    <font>
      <b/>
      <sz val="11"/>
      <color theme="8" tint="-0.249977111117893"/>
      <name val="Calibri"/>
      <family val="2"/>
      <scheme val="minor"/>
    </font>
    <font>
      <sz val="8"/>
      <color theme="8" tint="-0.249977111117893"/>
      <name val="Calibri"/>
      <family val="2"/>
      <scheme val="minor"/>
    </font>
    <font>
      <vertAlign val="superscript"/>
      <sz val="8"/>
      <color theme="8" tint="-0.249977111117893"/>
      <name val="Calibri"/>
      <family val="2"/>
      <scheme val="minor"/>
    </font>
    <font>
      <sz val="20"/>
      <color rgb="FFC00000"/>
      <name val="Calibri"/>
      <family val="2"/>
      <scheme val="minor"/>
    </font>
    <font>
      <sz val="11"/>
      <color rgb="FFC00000"/>
      <name val="Calibri"/>
      <family val="2"/>
      <scheme val="minor"/>
    </font>
    <font>
      <b/>
      <sz val="11"/>
      <color rgb="FFC00000"/>
      <name val="Calibri"/>
      <family val="2"/>
      <scheme val="minor"/>
    </font>
    <font>
      <sz val="8"/>
      <color rgb="FFC00000"/>
      <name val="Calibri"/>
      <family val="2"/>
      <scheme val="minor"/>
    </font>
    <font>
      <vertAlign val="superscript"/>
      <sz val="8"/>
      <color rgb="FFC00000"/>
      <name val="Calibri"/>
      <family val="2"/>
      <scheme val="minor"/>
    </font>
    <font>
      <sz val="20"/>
      <color theme="9" tint="-0.499984740745262"/>
      <name val="Calibri"/>
      <family val="2"/>
    </font>
    <font>
      <vertAlign val="superscript"/>
      <sz val="20"/>
      <color theme="9" tint="-0.499984740745262"/>
      <name val="Calibri"/>
      <family val="2"/>
    </font>
    <font>
      <sz val="11"/>
      <color theme="9" tint="-0.499984740745262"/>
      <name val="Calibri"/>
      <family val="2"/>
      <scheme val="minor"/>
    </font>
    <font>
      <b/>
      <sz val="11"/>
      <color theme="9" tint="-0.499984740745262"/>
      <name val="Calibri"/>
      <family val="2"/>
      <scheme val="minor"/>
    </font>
    <font>
      <b/>
      <sz val="9"/>
      <color theme="9" tint="-0.499984740745262"/>
      <name val="Arial"/>
      <family val="2"/>
    </font>
    <font>
      <b/>
      <vertAlign val="superscript"/>
      <sz val="9"/>
      <color theme="9" tint="-0.499984740745262"/>
      <name val="Arial"/>
      <family val="2"/>
    </font>
    <font>
      <b/>
      <vertAlign val="subscript"/>
      <sz val="9"/>
      <color theme="9" tint="-0.499984740745262"/>
      <name val="Arial"/>
      <family val="2"/>
    </font>
    <font>
      <sz val="11"/>
      <color rgb="FF9C0006"/>
      <name val="Calibri"/>
      <family val="2"/>
      <scheme val="minor"/>
    </font>
    <font>
      <sz val="11"/>
      <color rgb="FFFF0000"/>
      <name val="Calibri"/>
      <family val="2"/>
      <scheme val="minor"/>
    </font>
    <font>
      <sz val="11"/>
      <color theme="4" tint="-0.499984740745262"/>
      <name val="Calibri"/>
      <family val="2"/>
      <scheme val="minor"/>
    </font>
    <font>
      <sz val="9"/>
      <color indexed="81"/>
      <name val="Tahoma"/>
      <charset val="1"/>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1">
    <border>
      <left/>
      <right/>
      <top/>
      <bottom/>
      <diagonal/>
    </border>
  </borders>
  <cellStyleXfs count="2">
    <xf numFmtId="0" fontId="0" fillId="0" borderId="0"/>
    <xf numFmtId="0" fontId="20" fillId="2" borderId="0" applyNumberFormat="0" applyBorder="0" applyAlignment="0" applyProtection="0"/>
  </cellStyleXfs>
  <cellXfs count="38">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applyAlignment="1">
      <alignment horizontal="center"/>
    </xf>
    <xf numFmtId="0" fontId="8" fillId="0" borderId="0" xfId="0" applyFont="1"/>
    <xf numFmtId="0" fontId="9" fillId="0" borderId="0" xfId="0" applyFont="1"/>
    <xf numFmtId="0" fontId="10" fillId="0" borderId="0" xfId="0" applyFont="1"/>
    <xf numFmtId="0" fontId="1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9" fillId="0" borderId="0" xfId="0" applyFont="1" applyAlignment="1">
      <alignment horizontal="center"/>
    </xf>
    <xf numFmtId="11" fontId="9" fillId="0" borderId="0" xfId="0" applyNumberFormat="1" applyFont="1" applyAlignment="1">
      <alignment horizontal="center"/>
    </xf>
    <xf numFmtId="165" fontId="2" fillId="0" borderId="0" xfId="0" applyNumberFormat="1" applyFont="1" applyAlignment="1">
      <alignment horizontal="center"/>
    </xf>
    <xf numFmtId="166" fontId="9" fillId="0" borderId="0" xfId="0" applyNumberFormat="1" applyFont="1" applyAlignment="1">
      <alignment horizontal="center"/>
    </xf>
    <xf numFmtId="165" fontId="9" fillId="0" borderId="0" xfId="0" applyNumberFormat="1" applyFont="1" applyAlignment="1">
      <alignment horizontal="center"/>
    </xf>
    <xf numFmtId="166" fontId="0" fillId="0" borderId="0" xfId="0" applyNumberFormat="1" applyAlignment="1">
      <alignment horizontal="center"/>
    </xf>
    <xf numFmtId="0" fontId="13" fillId="0" borderId="0" xfId="0" applyFont="1"/>
    <xf numFmtId="0" fontId="15" fillId="0" borderId="0" xfId="0" applyFont="1"/>
    <xf numFmtId="0" fontId="15" fillId="0" borderId="0" xfId="0" applyFont="1" applyAlignment="1">
      <alignment horizontal="center"/>
    </xf>
    <xf numFmtId="0" fontId="16" fillId="0" borderId="0" xfId="0" applyFont="1"/>
    <xf numFmtId="164" fontId="17" fillId="0" borderId="0" xfId="0" applyNumberFormat="1" applyFont="1" applyAlignment="1">
      <alignment horizontal="center" vertical="center"/>
    </xf>
    <xf numFmtId="2" fontId="15" fillId="0" borderId="0" xfId="0" applyNumberFormat="1" applyFont="1" applyAlignment="1">
      <alignment horizontal="center"/>
    </xf>
    <xf numFmtId="2" fontId="9" fillId="0" borderId="0" xfId="0" applyNumberFormat="1" applyFont="1" applyAlignment="1">
      <alignment horizontal="center"/>
    </xf>
    <xf numFmtId="11" fontId="2" fillId="0" borderId="0" xfId="0" applyNumberFormat="1" applyFont="1" applyAlignment="1">
      <alignment horizontal="center"/>
    </xf>
    <xf numFmtId="166" fontId="20" fillId="0" borderId="0" xfId="1" applyNumberFormat="1" applyFill="1" applyAlignment="1">
      <alignment horizontal="center"/>
    </xf>
    <xf numFmtId="166" fontId="0" fillId="0" borderId="0" xfId="0" applyNumberFormat="1"/>
    <xf numFmtId="0" fontId="22" fillId="0" borderId="0" xfId="0" applyFont="1" applyAlignment="1">
      <alignment horizontal="center"/>
    </xf>
    <xf numFmtId="166" fontId="9" fillId="3" borderId="0" xfId="0" applyNumberFormat="1" applyFont="1" applyFill="1" applyAlignment="1">
      <alignment horizontal="center"/>
    </xf>
    <xf numFmtId="0" fontId="21" fillId="3" borderId="0" xfId="0" applyFont="1" applyFill="1" applyAlignment="1">
      <alignment horizontal="center"/>
    </xf>
    <xf numFmtId="165" fontId="0" fillId="0" borderId="0" xfId="0" applyNumberFormat="1"/>
    <xf numFmtId="0" fontId="0" fillId="3" borderId="0" xfId="0" applyFill="1"/>
    <xf numFmtId="0" fontId="0" fillId="0" borderId="0" xfId="0" quotePrefix="1"/>
    <xf numFmtId="0" fontId="0" fillId="0" borderId="0" xfId="0" applyAlignment="1">
      <alignment horizontal="right"/>
    </xf>
    <xf numFmtId="0" fontId="22" fillId="0" borderId="0" xfId="0" applyFont="1"/>
    <xf numFmtId="0" fontId="21" fillId="0" borderId="0" xfId="0" applyFont="1" applyAlignment="1">
      <alignment horizont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hristian" id="{FE6090A8-A567-4AB1-A17C-139FAB253329}" userId="Christian" providerId="None"/>
  <person displayName="Christian Fender" id="{029BEE2B-5882-4626-9FE7-8F2FFF745B94}" userId="S::ckf18b@fsu.edu::115f5a08-9fb3-419d-8533-fde993f65bf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4-02-07T19:08:29.17" personId="{029BEE2B-5882-4626-9FE7-8F2FFF745B94}" id="{44A3FFB9-3E72-4C59-88C7-C0F11AD6A7EE}">
    <text>Note that because cycle 1 was split into 2 subcycles, all following values are (wherever possible) the weighted average of the two subcycles weighted by their duration.</text>
  </threadedComment>
  <threadedComment ref="B4" dT="2024-01-19T14:39:04.35" personId="{029BEE2B-5882-4626-9FE7-8F2FFF745B94}" id="{C8310C99-6F78-4A92-9E39-97107B3C8EB5}">
    <text>Flux to 70m, the base(ish) of the euphotic zone</text>
  </threadedComment>
  <threadedComment ref="B5" dT="2024-02-02T15:40:39.27" personId="{029BEE2B-5882-4626-9FE7-8F2FFF745B94}" id="{DE61866F-70B0-410D-A003-A5B9FBB5710C}">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536E2A58-B49A-4486-911F-AEF4CDF1D8AC}">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A34AD5ED-3F73-4B2A-BDF7-456B286D4DDB}">
    <text>From HPLC of Total Chl a of minidilution experiments</text>
  </threadedComment>
  <threadedComment ref="B12" dT="2023-07-04T15:51:38.24" personId="{029BEE2B-5882-4626-9FE7-8F2FFF745B94}" id="{488DC14C-835F-4C5E-BCFB-4E65868D2E94}">
    <text>Grazing in ug chl/h comes from chl content per sample * a temperature dependent feeding rate from Dam and Peterson using the temperature at 25 meters.</text>
  </threadedComment>
  <threadedComment ref="C12" dT="2023-07-06T13:53:22.47" personId="{029BEE2B-5882-4626-9FE7-8F2FFF745B94}" id="{FC1241F7-29AF-4466-A7CC-CB8ECB56EC97}">
    <text>Requires an accurate C:Chl to convert to C and then N units. Waiting on Andres</text>
  </threadedComment>
  <threadedComment ref="C13" dT="2023-07-06T13:53:59.18" personId="{029BEE2B-5882-4626-9FE7-8F2FFF745B94}" id="{30FBFE63-9850-4D4D-9212-48439013EF66}">
    <text>Requires an accurate C:Chl to convert to C and then N units. Waiting on Andres</text>
  </threadedComment>
  <threadedComment ref="B15" dT="2024-01-18T16:14:24.19" personId="{029BEE2B-5882-4626-9FE7-8F2FFF745B94}" id="{574BDD1C-7815-44DA-B6C5-0E8808F7A5CB}">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6" dT="2024-02-05T20:05:26.85" personId="{029BEE2B-5882-4626-9FE7-8F2FFF745B94}" id="{1AC093D8-4AC1-425D-8C77-3799E11276C0}">
    <text xml:space="preserve">Inferred from Moira's Gut Chl based on salp carnivory via trophic level. </text>
  </threadedComment>
  <threadedComment ref="D16" dT="2024-02-05T18:35:04.47" personId="{029BEE2B-5882-4626-9FE7-8F2FFF745B94}" id="{990D3A3B-90B9-4F25-BECA-5D58C24260A1}">
    <text>The typed value here is the cycle averaged proportion of salp diet autotrophy followed by heterotrophy based on CSIAA trophic level (a TL of 2.4 implies ~40% heterotrophy for example)</text>
  </threadedComment>
  <threadedComment ref="E16" dT="2024-02-05T18:35:45.34" personId="{029BEE2B-5882-4626-9FE7-8F2FFF745B94}" id="{C2E7DDD8-8688-410A-9993-1514C5552832}">
    <text>The typed values are, in order, the SD of herbivory, herbivory fraction, SD of carnivory, carnivory fraction.</text>
  </threadedComment>
  <threadedComment ref="H16" dT="2024-02-05T20:17:06.93" personId="{029BEE2B-5882-4626-9FE7-8F2FFF745B94}" id="{623F09F6-00E5-4C9A-A87E-357C2E9D846A}">
    <text>Note that because Cycle 3 was a nonsalp cycle with no trophic level data, I use the mean of Cycles 1, 2, and 4.</text>
  </threadedComment>
  <threadedComment ref="L16" dT="2024-02-05T20:17:53.24" personId="{029BEE2B-5882-4626-9FE7-8F2FFF745B94}" id="{7B567189-C1C5-4EAB-AC23-1F27DDFB314B}">
    <text>This value has no standard deviation because it is a single sample from cycle 5. The other 3 had TL&lt;2 which is not possible and were therefore discarded.</text>
  </threadedComment>
  <threadedComment ref="B17" dT="2024-01-18T16:15:12.63" personId="{029BEE2B-5882-4626-9FE7-8F2FFF745B94}" id="{E2236637-69AC-4CD9-B709-5F4E63C1B4D9}">
    <text>The above number multiplied by the fraction of gut biomass made up by BLPs</text>
  </threadedComment>
  <threadedComment ref="D17" dT="2024-02-05T20:08:13.96" personId="{029BEE2B-5882-4626-9FE7-8F2FFF745B94}" id="{5F086734-A49A-4260-B1DC-55ACD8FC8D41}">
    <text>The typed value here is cycle averaged proportion of all salp gut biomass made up by BLPs.</text>
  </threadedComment>
  <threadedComment ref="E17" dT="2024-02-05T20:09:01.31" personId="{029BEE2B-5882-4626-9FE7-8F2FFF745B94}" id="{8EC1EEA2-A513-4FBD-BF34-91219D09AF38}">
    <text>Typed values are PicoFractSD and PicoFract</text>
  </threadedComment>
  <threadedComment ref="L17" dT="2024-02-05T20:55:26.34" personId="{029BEE2B-5882-4626-9FE7-8F2FFF745B94}" id="{9FE716CE-163B-4AAE-980A-39E6BEF4A01C}">
    <text>Because no salp samples were collected from cycle 5, taking the average of the other 4 cycles.</text>
  </threadedComment>
  <threadedComment ref="B18" dT="2024-01-18T16:16:19.67" personId="{029BEE2B-5882-4626-9FE7-8F2FFF745B94}" id="{9A61F654-2E04-48D1-A8AC-17BAE7163D7F}">
    <text>As above but proportion of diatoms in guts</text>
  </threadedComment>
  <threadedComment ref="B19" dT="2024-01-18T16:17:24.93" personId="{029BEE2B-5882-4626-9FE7-8F2FFF745B94}" id="{52C1C709-DD10-48E8-B07E-F0D4ADD54F65}">
    <text>As above but multiplied by proportion of everything else (hnf, flag, mic).</text>
  </threadedComment>
  <threadedComment ref="B20" dT="2024-04-18T19:00:51.47" personId="{029BEE2B-5882-4626-9FE7-8F2FFF745B94}" id="{B5C6592D-95E8-4ACD-88AF-77B20D4B6728}">
    <text>Determined from grazing rates assuming an egestion efficiency of 0.36 (Huntley, Sykes et al. 1989).</text>
  </threadedComment>
  <threadedComment ref="H20" dT="2024-02-09T14:49:38.86" personId="{029BEE2B-5882-4626-9FE7-8F2FFF745B94}" id="{87BAD8CB-810B-4DE1-AA1A-809BD4D94D54}">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0" dT="2024-04-22T17:56:39.57" personId="{029BEE2B-5882-4626-9FE7-8F2FFF745B94}" id="{7DECC4CB-6888-4C18-9132-70BBD4A390CB}">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1" dT="2024-04-18T15:16:06.40" personId="{029BEE2B-5882-4626-9FE7-8F2FFF745B94}" id="{7B6EC8CD-9B04-491E-98BC-22AA7773BAB8}">
    <text>Vertically integrated from Fenella Dean's tritiated leucine incorporation.</text>
  </threadedComment>
  <threadedComment ref="B22" dT="2024-07-08T18:02:17.92" personId="{029BEE2B-5882-4626-9FE7-8F2FFF745B94}" id="{A18B20AB-65D6-4547-9CCE-10B143823D1A}">
    <text>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ext>
  </threadedComment>
  <threadedComment ref="B43" dT="2024-04-17T20:56:06.29" personId="{029BEE2B-5882-4626-9FE7-8F2FFF745B94}" id="{FE971E25-6C3F-4DD1-B9C2-22B6313D6501}">
    <text>Note that because most CTDs do not approach the bottom, this is the temp at 50 m above bottom for only those casts that went that deep.</text>
  </threadedComment>
  <threadedComment ref="B44" dT="2024-04-26T15:22:13.42" personId="{029BEE2B-5882-4626-9FE7-8F2FFF745B94}" id="{04563457-786B-4783-B31C-30259E884E50}">
    <text>Cycle averaged depth 50 meters above bottom for use in estimating rates of demersal fish assuming they spend their time primarily within 100 meters of bottom.</text>
  </threadedComment>
  <threadedComment ref="B45" dT="2024-01-18T16:18:53.69" personId="{029BEE2B-5882-4626-9FE7-8F2FFF745B94}" id="{A55964AA-F166-4E83-BBAA-7BF24C845BBE}">
    <text>Considered a minimum rather than an AE due to likelihood of missing some pellets</text>
  </threadedComment>
  <threadedComment ref="B47" dT="2023-08-18T14:35:11.24" personId="{029BEE2B-5882-4626-9FE7-8F2FFF745B94}" id="{4425CFA4-B51F-44B1-A21E-6D67A8CDC70D}">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47" dT="2024-04-23T19:23:56.48" personId="{029BEE2B-5882-4626-9FE7-8F2FFF745B94}" id="{55CFDCD2-CBA1-4F90-A085-4995DC43AFA1}" parentId="{4425CFA4-B51F-44B1-A21E-6D67A8CDC70D}">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51" dT="2024-04-23T19:55:54.95" personId="{029BEE2B-5882-4626-9FE7-8F2FFF745B94}" id="{FEC0952D-5F3F-41F5-8A60-C794D4B61273}">
    <text>Via C:N combustion of size fractionated zooplankton biomass.</text>
  </threadedComment>
  <threadedComment ref="D51" dT="2023-06-29T14:50:13.53" personId="{029BEE2B-5882-4626-9FE7-8F2FFF745B94}" id="{9FD5139B-1D9E-4304-91CB-8432105AFB63}">
    <text>As with grazing rates, because there are no VMMeso in C1 this is the average of day and night biomasses.</text>
  </threadedComment>
  <threadedComment ref="B54" dT="2023-12-08T18:56:45.05" personId="{029BEE2B-5882-4626-9FE7-8F2FFF745B94}" id="{9C547C35-D319-4DD4-9ACE-3EBBED11CC00}">
    <text>This will eventually come from Zooscan and allows me to link respiration and max ingestion inequalities.</text>
  </threadedComment>
  <threadedComment ref="B54" dT="2024-07-03T15:10:18.45" personId="{029BEE2B-5882-4626-9FE7-8F2FFF745B94}" id="{7A226F95-9386-4F66-8777-F5C8EB65EFB9}" parentId="{9C547C35-D319-4DD4-9ACE-3EBBED11CC00}">
    <text>The uncertainty on these is often so high we are saying we couldn't resolve day/night differences and are treating them as epipelagic residents. As such this value is the mean of the observed da/night biomasses.</text>
  </threadedComment>
  <threadedComment ref="B54" dT="2024-07-03T17:22:07.52" personId="{029BEE2B-5882-4626-9FE7-8F2FFF745B94}" id="{2AA838F2-28B3-4C12-A0D7-03493B0E1DE5}" parentId="{9C547C35-D319-4DD4-9ACE-3EBBED11CC00}">
    <text>You will also note the biomass of Amphipods is often quite significant relative to Meso and Macrozoo, especially in Cycle 1. This is because 80-90% of the catch (for Cycle 1 at least) was &gt;5 mm Hyperiiod amphipods that were likely associated with the salps that were manually excluded from size frac zoo biomass. For this reason we do not think it is necessary to subtract the amphipods from the size frac biomass.</text>
  </threadedComment>
  <threadedComment ref="B55" dT="2023-12-08T18:56:55.89" personId="{029BEE2B-5882-4626-9FE7-8F2FFF745B94}" id="{54F76B71-23C7-43F5-AB4E-B452A7B50E5B}">
    <text>This will eventually come from Zooscan and allows me to link respiration and max ingestion inequalities.</text>
  </threadedComment>
  <threadedComment ref="B55" dT="2024-07-03T15:10:23.97" personId="{029BEE2B-5882-4626-9FE7-8F2FFF745B94}" id="{717D73F8-8C88-4429-AD10-0337AC601292}" parentId="{54F76B71-23C7-43F5-AB4E-B452A7B50E5B}">
    <text>The uncertainty on these is often so high we are saying we couldn't resolve day/night differences and are treating them as epipelagic residents.</text>
  </threadedComment>
  <threadedComment ref="B56" dT="2024-01-30T16:17:50.93" personId="{029BEE2B-5882-4626-9FE7-8F2FFF745B94}" id="{4C10A48B-FFFB-46E9-B3F5-991399B686A7}">
    <text>Summed biomass of all salps collected in all bongo tows of a given cycle, averaged over that cycle</text>
  </threadedComment>
  <threadedComment ref="D56" dT="2023-06-21T18:32:25.34" personId="{029BEE2B-5882-4626-9FE7-8F2FFF745B94}" id="{13DD4D45-ABA3-4053-8DF8-40C5D6811056}">
    <text>Note this is for all salps, not just ST.</text>
  </threadedComment>
  <threadedComment ref="B58" dT="2024-06-03T14:10:49.50" personId="{029BEE2B-5882-4626-9FE7-8F2FFF745B94}" id="{2EAC7138-FEE5-4551-BA3A-A02D9D4048EC}">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ext>
  </threadedComment>
  <threadedComment ref="D58" dT="2023-06-21T18:12:08.06" personId="{029BEE2B-5882-4626-9FE7-8F2FFF745B94}" id="{03CCBEB6-EF73-4BEA-9A9A-3AD0662CF7D2}">
    <text>Mesopelagic fish (myctophids) from Pinkerton 2011</text>
  </threadedComment>
  <threadedComment ref="D59" dT="2023-06-21T18:25:53.51" personId="{029BEE2B-5882-4626-9FE7-8F2FFF745B94}" id="{5204A941-D0E4-4FE7-982C-422D3278935A}">
    <text>Hoki from Pinkerton 2011</text>
  </threadedComment>
  <threadedComment ref="D60" dT="2023-06-21T18:12:50.39" personId="{029BEE2B-5882-4626-9FE7-8F2FFF745B94}" id="{8C41C622-EF30-4F7E-842F-4618EB23C721}">
    <text>S_oreo + warehou from Pinkerton 2011</text>
  </threadedComment>
  <threadedComment ref="B64" dT="2023-08-02T20:07:35.22" personId="{029BEE2B-5882-4626-9FE7-8F2FFF745B94}" id="{B3A05ABA-EDB9-462F-82DF-3ECF6BCF5A8A}">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65" dT="2023-12-08T19:26:46.64" personId="{029BEE2B-5882-4626-9FE7-8F2FFF745B94}" id="{7AC26715-07E0-4982-9E8B-E03FD02BF71B}">
    <text>As the mean of all 4 life stages of Euphausia lucens in the Benguela Current. Alternatively we have mean of only adults at 1.499 +_ 0.299</text>
  </threadedComment>
  <threadedComment ref="B66" dT="2023-12-08T19:28:20.28" personId="{029BEE2B-5882-4626-9FE7-8F2FFF745B94}" id="{9F0CA826-1149-46BE-B6DB-FB61B86483F3}">
    <text>As the mean of the amphipods from Zooscan using weight-length function of Themisto japonica from Ikeda 1990 and DW-C conversion of Ikeda and Shiga, 1999.</text>
  </threadedComment>
  <threadedComment ref="B67" dT="2024-07-03T19:50:01.91" personId="{029BEE2B-5882-4626-9FE7-8F2FFF745B94}" id="{3257235B-DE03-4924-BF24-FDE099EADEB7}">
    <text xml:space="preserve">As the mean of all Siphonophores, Ctenophores, and cnidarians in the Zooscan so far. Siphonophores and Ctenophores use Lavaniego and Ohman 2007, and cnidarians use Uye and Shimauchi 2005 regression for WW from bell diameter. </text>
  </threadedComment>
  <threadedComment ref="B68" dT="2024-09-06T18:55:48.94" personId="{029BEE2B-5882-4626-9FE7-8F2FFF745B94}" id="{2A8B62B0-4F6A-4FCC-BA8C-2472784FBB44}">
    <text>As the mean ST size from bongo tows, averaged per Cycle and converted to carbon weight using Iguchi and Ikeda 2004. For Cycles 3 and 5 the average of the other 3 cycles is used.</text>
  </threadedComment>
  <threadedComment ref="B69" personId="{FE6090A8-A567-4AB1-A17C-139FAB253329}" id="{4573CB8A-3CDE-4806-8B6C-A8189A3AB022}">
    <text xml:space="preserve">From Pinkerton 2011. Ikeda 2016 equation for oxygen respiration and O:N ratio can take WW as we all C mass
</text>
  </threadedComment>
  <threadedComment ref="B70" personId="{FE6090A8-A567-4AB1-A17C-139FAB253329}" id="{31835C03-AE9D-4CDD-9CFB-78FD45FDEFB9}">
    <text>As Hoki using median length and W:L conversion from Connell et al 2010</text>
  </threadedComment>
  <threadedComment ref="B71" personId="{FE6090A8-A567-4AB1-A17C-139FAB253329}" id="{3EECB655-945E-4BD9-A2D6-8CBDB1F62359}">
    <text>As Smooth Oreo with mean length from Coombs and Barr, 2004 and W:L from Clark et al. 1999</text>
  </threadedComment>
  <threadedComment ref="B72" dT="2024-04-18T18:25:11.20" personId="{029BEE2B-5882-4626-9FE7-8F2FFF745B94}" id="{F560F2A3-955A-4EE4-BBC7-F095A282A322}">
    <text>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ext>
  </threadedComment>
  <threadedComment ref="B77" dT="2023-12-04T16:46:30.79" personId="{029BEE2B-5882-4626-9FE7-8F2FFF745B94}" id="{E27D7C73-B495-471C-A212-8DC47B59C838}">
    <text>Currently displayed is just ST bodies</text>
  </threadedComment>
  <threadedComment ref="D77" dT="2023-12-04T16:46:55.86" personId="{029BEE2B-5882-4626-9FE7-8F2FFF745B94}" id="{0B683244-B87E-47D2-AB17-2D1066445F33}">
    <text>2.57 if using all salps</text>
  </threadedComment>
  <threadedComment ref="E77" dT="2023-12-04T16:47:14.21" personId="{029BEE2B-5882-4626-9FE7-8F2FFF745B94}" id="{E8D27CDA-65E7-48C5-A246-53B17FCC446D}">
    <text>0.88 if using all salps</text>
  </threadedComment>
  <threadedComment ref="F77" dT="2023-12-04T16:54:38.15" personId="{029BEE2B-5882-4626-9FE7-8F2FFF745B94}" id="{0F13AACB-8651-472B-A8C9-51A62909F37D}">
    <text>1.30 if using all salps</text>
  </threadedComment>
  <threadedComment ref="G77" dT="2023-12-04T16:55:01.58" personId="{029BEE2B-5882-4626-9FE7-8F2FFF745B94}" id="{14EF76C6-AA1A-46C3-8874-10A8C786CE3A}">
    <text>1.22 if using all salps</text>
  </threadedComment>
  <threadedComment ref="J77" dT="2023-12-04T16:55:28.45" personId="{029BEE2B-5882-4626-9FE7-8F2FFF745B94}" id="{F1BA14D5-8F39-4307-BDC2-C00ECFDD34ED}">
    <text>7.49 if using all salps</text>
  </threadedComment>
  <threadedComment ref="K77" dT="2023-12-04T16:55:54.89" personId="{029BEE2B-5882-4626-9FE7-8F2FFF745B94}" id="{8832FB77-6AD2-498B-8C4D-C8FFC8480EDB}">
    <text>1.19 if using all salps</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4-02-07T19:08:29.17" personId="{029BEE2B-5882-4626-9FE7-8F2FFF745B94}" id="{CA61BD29-65C6-4CA1-8F7B-926573AD4B59}">
    <text>Note that because cycle 1 was split into 2 subcycles, all following values are (wherever possible) the weighted average of the two subcycles weighted by their duration.</text>
  </threadedComment>
  <threadedComment ref="B4" dT="2024-01-19T14:39:04.35" personId="{029BEE2B-5882-4626-9FE7-8F2FFF745B94}" id="{81B08864-B6C6-442A-9419-E22F05E82C26}">
    <text>Flux to 70m, the base(ish) of the euphotic zone</text>
  </threadedComment>
  <threadedComment ref="B5" dT="2024-02-02T15:40:39.27" personId="{029BEE2B-5882-4626-9FE7-8F2FFF745B94}" id="{CDF294EC-CFCF-4535-9A07-9589835C313D}">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1600746B-1AA8-4E3A-9D52-0FD9377184E8}">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BEF78ECC-C7B8-4FA5-8D8E-04641E0D825A}">
    <text>From HPLC of Total Chl a of minidilution experiments</text>
  </threadedComment>
  <threadedComment ref="B12" dT="2023-07-04T15:51:38.24" personId="{029BEE2B-5882-4626-9FE7-8F2FFF745B94}" id="{4C068974-1287-424A-868D-43350519D42A}">
    <text>Grazing in ug chl/h comes from chl content per sample * a temperature dependent feeding rate from Dam and Peterson using the temperature at 25 meters.</text>
  </threadedComment>
  <threadedComment ref="C12" dT="2023-07-06T13:53:22.47" personId="{029BEE2B-5882-4626-9FE7-8F2FFF745B94}" id="{00DFC78A-6578-4A4C-BD3E-99008C9F2FD7}">
    <text>Requires an accurate C:Chl to convert to C and then N units. Waiting on Andres</text>
  </threadedComment>
  <threadedComment ref="C13" dT="2023-07-06T13:53:59.18" personId="{029BEE2B-5882-4626-9FE7-8F2FFF745B94}" id="{35813A68-3473-4EF4-AEEA-6E592351B239}">
    <text>Requires an accurate C:Chl to convert to C and then N units. Waiting on Andres</text>
  </threadedComment>
  <threadedComment ref="B15" dT="2024-01-18T16:14:24.19" personId="{029BEE2B-5882-4626-9FE7-8F2FFF745B94}" id="{A9DCEAE9-64B0-4D41-853A-415AF799C0DD}">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6" dT="2024-02-05T20:05:26.85" personId="{029BEE2B-5882-4626-9FE7-8F2FFF745B94}" id="{5616382C-CCFE-489C-987A-764D37CE1715}">
    <text xml:space="preserve">Inferred from Moira's Gut Chl based on salp carnivory via trophic level. </text>
  </threadedComment>
  <threadedComment ref="D16" dT="2024-02-05T18:35:04.47" personId="{029BEE2B-5882-4626-9FE7-8F2FFF745B94}" id="{996259E0-931B-4AA3-BBEF-904304B6E365}">
    <text>The typed value here is the cycle averaged proportion of salp diet autotrophy followed by heterotrophy based on CSIAA trophic level (a TL of 2.4 implies ~40% heterotrophy for example)</text>
  </threadedComment>
  <threadedComment ref="E16" dT="2024-02-05T18:35:45.34" personId="{029BEE2B-5882-4626-9FE7-8F2FFF745B94}" id="{F0F04EFC-E066-4F65-86A8-2FDB03BE86C5}">
    <text>The typed values are, in order, the SD of herbivory, herbivory fraction, SD of carnivory, carnivory fraction.</text>
  </threadedComment>
  <threadedComment ref="H16" dT="2024-02-05T20:17:06.93" personId="{029BEE2B-5882-4626-9FE7-8F2FFF745B94}" id="{D133C6CE-256B-4167-B1A4-B782C5D284E7}">
    <text>Note that because Cycle 3 was a nonsalp cycle with no trophic level data, I use the mean of Cycles 1, 2, and 4.</text>
  </threadedComment>
  <threadedComment ref="L16" dT="2024-02-05T20:17:53.24" personId="{029BEE2B-5882-4626-9FE7-8F2FFF745B94}" id="{50704E2C-3691-4069-9B65-79F34E2C3EB6}">
    <text>This value has no standard deviation because it is a single sample from cycle 5. The other 3 had TL&lt;2 which is not possible and were therefore discarded.</text>
  </threadedComment>
  <threadedComment ref="B17" dT="2024-01-18T16:15:12.63" personId="{029BEE2B-5882-4626-9FE7-8F2FFF745B94}" id="{05C77A02-65C9-4A52-ABE1-F6AA8B83E1D2}">
    <text>The above number multiplied by the fraction of gut biomass made up by BLPs</text>
  </threadedComment>
  <threadedComment ref="D17" dT="2024-02-05T20:08:13.96" personId="{029BEE2B-5882-4626-9FE7-8F2FFF745B94}" id="{3F1D5607-90E4-4C9F-A469-7FA83934786E}">
    <text>The typed value here is cycle averaged proportion of all salp gut biomass made up by BLPs.</text>
  </threadedComment>
  <threadedComment ref="E17" dT="2024-02-05T20:09:01.31" personId="{029BEE2B-5882-4626-9FE7-8F2FFF745B94}" id="{E6CE983A-BA12-4D45-BE8F-79F192D60652}">
    <text>Typed values are PicoFractSD and PicoFract</text>
  </threadedComment>
  <threadedComment ref="L17" dT="2024-02-05T20:55:26.34" personId="{029BEE2B-5882-4626-9FE7-8F2FFF745B94}" id="{AC16BA79-A669-49D1-83C6-88B9EA2E043D}">
    <text>Because no salp samples were collected from cycle 5, taking the average of the other 4 cycles.</text>
  </threadedComment>
  <threadedComment ref="B18" dT="2024-01-18T16:16:19.67" personId="{029BEE2B-5882-4626-9FE7-8F2FFF745B94}" id="{3D3883AA-5170-447A-AEAD-E4A1B08F7E09}">
    <text>As above but proportion of diatoms in guts</text>
  </threadedComment>
  <threadedComment ref="B19" dT="2024-01-18T16:17:24.93" personId="{029BEE2B-5882-4626-9FE7-8F2FFF745B94}" id="{86B94AA4-1693-4A0C-A0C2-C9D9365F43B0}">
    <text>As above but multiplied by proportion of everything else (hnf, flag, mic).</text>
  </threadedComment>
  <threadedComment ref="B20" dT="2024-04-18T19:00:51.47" personId="{029BEE2B-5882-4626-9FE7-8F2FFF745B94}" id="{CA09C363-BF04-4E6F-A5A0-0D15C7FD445A}">
    <text>Determined from grazing rates assuming an egestion efficiency of 0.36 (Huntley, Sykes et al. 1989).</text>
  </threadedComment>
  <threadedComment ref="H20" dT="2024-02-09T14:49:38.86" personId="{029BEE2B-5882-4626-9FE7-8F2FFF745B94}" id="{BFEBFB23-BE3F-4ADB-AA9F-A9FB164D163D}">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0" dT="2024-04-22T17:56:39.57" personId="{029BEE2B-5882-4626-9FE7-8F2FFF745B94}" id="{2584D355-5445-41DA-85E8-04F649030284}">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1" dT="2024-04-18T15:16:06.40" personId="{029BEE2B-5882-4626-9FE7-8F2FFF745B94}" id="{C2C474BF-967C-46DD-93F9-CE251E23FC75}">
    <text>Vertically integrated from Fenella Dean's tritiated leucine incorporation.</text>
  </threadedComment>
  <threadedComment ref="B22" dT="2024-07-08T18:02:17.92" personId="{029BEE2B-5882-4626-9FE7-8F2FFF745B94}" id="{1F47B976-DD6F-4CB9-BF2B-4B244708ADB0}">
    <text>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ext>
  </threadedComment>
  <threadedComment ref="B43" dT="2024-04-17T20:56:06.29" personId="{029BEE2B-5882-4626-9FE7-8F2FFF745B94}" id="{FC29FE6F-B9D2-42F8-9724-478CCBE4C744}">
    <text>Note that because most CTDs do not approach the bottom, this is the temp at 50 m above bottom for only those casts that went that deep.</text>
  </threadedComment>
  <threadedComment ref="B44" dT="2024-04-26T15:22:13.42" personId="{029BEE2B-5882-4626-9FE7-8F2FFF745B94}" id="{D78F730F-F968-47F8-8174-676E08F038B2}">
    <text>Cycle averaged depth 50 meters above bottom for use in estimating rates of demersal fish assuming they spend their time primarily within 100 meters of bottom.</text>
  </threadedComment>
  <threadedComment ref="B45" dT="2024-01-18T16:18:53.69" personId="{029BEE2B-5882-4626-9FE7-8F2FFF745B94}" id="{AC6C8941-D46C-4976-A7F5-D70222A1D419}">
    <text>Considered a minimum rather than an AE due to likelihood of missing some pellets</text>
  </threadedComment>
  <threadedComment ref="B47" dT="2023-08-18T14:35:11.24" personId="{029BEE2B-5882-4626-9FE7-8F2FFF745B94}" id="{851278D3-5952-4F49-B80E-ABCC08D4B9FC}">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47" dT="2024-04-23T19:23:56.48" personId="{029BEE2B-5882-4626-9FE7-8F2FFF745B94}" id="{4CE28D58-F972-4A39-B21E-2E772C83D220}" parentId="{851278D3-5952-4F49-B80E-ABCC08D4B9FC}">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51" dT="2024-04-23T19:55:54.95" personId="{029BEE2B-5882-4626-9FE7-8F2FFF745B94}" id="{A837674B-3C8C-4DE0-9477-3F7EB0722553}">
    <text>Via C:N combustion of size fractionated zooplankton biomass.</text>
  </threadedComment>
  <threadedComment ref="D51" dT="2023-06-29T14:50:13.53" personId="{029BEE2B-5882-4626-9FE7-8F2FFF745B94}" id="{604BE943-5BF5-4AA6-A406-9DC97ADF8E39}">
    <text>As with grazing rates, because there are no VMMeso in C1 this is the average of day and night biomasses.</text>
  </threadedComment>
  <threadedComment ref="B54" dT="2023-12-08T18:56:45.05" personId="{029BEE2B-5882-4626-9FE7-8F2FFF745B94}" id="{FE510AED-7CB3-49B6-8211-94B0BDF04DAF}">
    <text>This will eventually come from Zooscan and allows me to link respiration and max ingestion inequalities.</text>
  </threadedComment>
  <threadedComment ref="B54" dT="2024-07-03T15:10:18.45" personId="{029BEE2B-5882-4626-9FE7-8F2FFF745B94}" id="{67A248BC-A745-41CE-8D58-89E7EBFD50D7}" parentId="{FE510AED-7CB3-49B6-8211-94B0BDF04DAF}">
    <text>The uncertainty on these is often so high we are saying we couldn't resolve day/night differences and are treating them as epipelagic residents. As such this value is the mean of the observed da/night biomasses.</text>
  </threadedComment>
  <threadedComment ref="B54" dT="2024-07-03T17:22:07.52" personId="{029BEE2B-5882-4626-9FE7-8F2FFF745B94}" id="{674FB4C8-2F31-4443-B236-76364A587677}" parentId="{FE510AED-7CB3-49B6-8211-94B0BDF04DAF}">
    <text>You will also note the biomass of Amphipods is often quite significant relative to Meso and Macrozoo, especially in Cycle 1. This is because 80-90% of the catch (for Cycle 1 at least) was &gt;5 mm Hyperiiod amphipods that were likely associated with the salps that were manually excluded from size frac zoo biomass. For this reason we do not think it is necessary to subtract the amphipods from the size frac biomass.</text>
  </threadedComment>
  <threadedComment ref="B55" dT="2023-12-08T18:56:55.89" personId="{029BEE2B-5882-4626-9FE7-8F2FFF745B94}" id="{8F17AB57-74CA-4C5F-824C-01B761FDDC78}">
    <text>This will eventually come from Zooscan and allows me to link respiration and max ingestion inequalities.</text>
  </threadedComment>
  <threadedComment ref="B55" dT="2024-07-03T15:10:23.97" personId="{029BEE2B-5882-4626-9FE7-8F2FFF745B94}" id="{C061B69A-45E9-4399-B764-08FE98177EFA}" parentId="{8F17AB57-74CA-4C5F-824C-01B761FDDC78}">
    <text>The uncertainty on these is often so high we are saying we couldn't resolve day/night differences and are treating them as epipelagic residents.</text>
  </threadedComment>
  <threadedComment ref="B56" dT="2024-01-30T16:17:50.93" personId="{029BEE2B-5882-4626-9FE7-8F2FFF745B94}" id="{14CFB3D5-407E-4D26-B83C-41E65C4EBFE7}">
    <text>Summed biomass of all salps collected in all bongo tows of a given cycle, averaged over that cycle</text>
  </threadedComment>
  <threadedComment ref="D56" dT="2023-06-21T18:32:25.34" personId="{029BEE2B-5882-4626-9FE7-8F2FFF745B94}" id="{11796628-34BF-4AEB-8A90-D523A1CD008A}">
    <text>Note this is for all salps, not just ST.</text>
  </threadedComment>
  <threadedComment ref="B58" dT="2024-06-03T14:10:49.50" personId="{029BEE2B-5882-4626-9FE7-8F2FFF745B94}" id="{50ADB95F-F417-4BB6-ADDD-55BDF2325C67}">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ext>
  </threadedComment>
  <threadedComment ref="D58" dT="2023-06-21T18:12:08.06" personId="{029BEE2B-5882-4626-9FE7-8F2FFF745B94}" id="{1324208C-0384-47F2-B5CB-BBB87985E68D}">
    <text>Mesopelagic fish (myctophids) from Pinkerton 2011</text>
  </threadedComment>
  <threadedComment ref="D59" dT="2023-06-21T18:25:53.51" personId="{029BEE2B-5882-4626-9FE7-8F2FFF745B94}" id="{3B5880B9-0361-493D-8C14-B31458CBC652}">
    <text>Hoki from Pinkerton 2011</text>
  </threadedComment>
  <threadedComment ref="D60" dT="2023-06-21T18:12:50.39" personId="{029BEE2B-5882-4626-9FE7-8F2FFF745B94}" id="{D480ECE5-25AF-4E8A-9D00-BBC7BC354BD0}">
    <text>S_oreo + warehou from Pinkerton 2011</text>
  </threadedComment>
  <threadedComment ref="B64" dT="2023-08-02T20:07:35.22" personId="{029BEE2B-5882-4626-9FE7-8F2FFF745B94}" id="{EAC19535-B2EE-4C20-9460-ACA55DB9C979}">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65" dT="2023-12-08T19:26:46.64" personId="{029BEE2B-5882-4626-9FE7-8F2FFF745B94}" id="{ECD4C7DF-2CCA-4B42-8B11-66410E7008C8}">
    <text>As the mean of all 4 life stages of Euphausia lucens in the Benguela Current. Alternatively we have mean of only adults at 1.499 +_ 0.299</text>
  </threadedComment>
  <threadedComment ref="B66" dT="2023-12-08T19:28:20.28" personId="{029BEE2B-5882-4626-9FE7-8F2FFF745B94}" id="{FCC6BF30-4209-4D89-9323-AF2AC03D78E0}">
    <text>As the mean of the amphipods from Zooscan using weight-length function of Themisto japonica from Ikeda 1990 and DW-C conversion of Ikeda and Shiga, 1999.</text>
  </threadedComment>
  <threadedComment ref="B67" dT="2024-07-03T19:50:01.91" personId="{029BEE2B-5882-4626-9FE7-8F2FFF745B94}" id="{67543502-6338-4E38-9283-B977F81AA2EE}">
    <text xml:space="preserve">As the mean of all Siphonophores, Ctenophores, and cnidarians in the Zooscan so far. Siphonophores and Ctenophores use Lavaniego and Ohman 2007, and cnidarians use Uye and Shimauchi 2005 regression for WW from bell diameter. </text>
  </threadedComment>
  <threadedComment ref="B68" dT="2024-09-06T18:55:48.94" personId="{029BEE2B-5882-4626-9FE7-8F2FFF745B94}" id="{88849480-A6AA-4800-9202-491CE338EA46}">
    <text>As the mean ST size from bongo tows, averaged per Cycle and converted to carbon weight using Iguchi and Ikeda 2004. For Cycles 3 and 5 the average of the other 3 cycles is used.</text>
  </threadedComment>
  <threadedComment ref="B69" personId="{FE6090A8-A567-4AB1-A17C-139FAB253329}" id="{7A29879B-A051-405F-9AAF-3F56163F228F}">
    <text xml:space="preserve">From Pinkerton 2011. Ikeda 2016 equation for oxygen respiration and O:N ratio can take WW as we all C mass
</text>
  </threadedComment>
  <threadedComment ref="B70" personId="{FE6090A8-A567-4AB1-A17C-139FAB253329}" id="{FA61E866-C03F-46D5-AABE-A02FD45CB531}">
    <text>As Hoki using median length and W:L conversion from Connell et al 2010</text>
  </threadedComment>
  <threadedComment ref="B71" personId="{FE6090A8-A567-4AB1-A17C-139FAB253329}" id="{92117CBA-EDD4-4457-8A9C-E5F27BC10709}">
    <text>As Smooth Oreo with mean length from Coombs and Barr, 2004 and W:L from Clark et al. 1999</text>
  </threadedComment>
  <threadedComment ref="B72" dT="2024-04-18T18:25:11.20" personId="{029BEE2B-5882-4626-9FE7-8F2FFF745B94}" id="{23CA62CD-DDA5-4E7B-A6E8-DABEF8D03E16}">
    <text>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ext>
  </threadedComment>
  <threadedComment ref="B77" dT="2023-12-04T16:46:30.79" personId="{029BEE2B-5882-4626-9FE7-8F2FFF745B94}" id="{7F26FB70-0E89-4D3D-8D01-7B93875440DC}">
    <text>Currently displayed is just ST bodies</text>
  </threadedComment>
  <threadedComment ref="D77" dT="2023-12-04T16:46:55.86" personId="{029BEE2B-5882-4626-9FE7-8F2FFF745B94}" id="{CA1B68B1-B960-4E5F-B3D5-9A865EAAE305}">
    <text>2.57 if using all salps</text>
  </threadedComment>
  <threadedComment ref="E77" dT="2023-12-04T16:47:14.21" personId="{029BEE2B-5882-4626-9FE7-8F2FFF745B94}" id="{D77E2256-978E-44B0-8293-EFD99D0BFC4E}">
    <text>0.88 if using all salps</text>
  </threadedComment>
  <threadedComment ref="F77" dT="2023-12-04T16:54:38.15" personId="{029BEE2B-5882-4626-9FE7-8F2FFF745B94}" id="{FC14CE22-E1FF-487E-9333-8930FECD22C7}">
    <text>1.30 if using all salps</text>
  </threadedComment>
  <threadedComment ref="G77" dT="2023-12-04T16:55:01.58" personId="{029BEE2B-5882-4626-9FE7-8F2FFF745B94}" id="{ECAEB2EB-464C-4B0D-9388-C8406DE27E14}">
    <text>1.22 if using all salps</text>
  </threadedComment>
  <threadedComment ref="J77" dT="2023-12-04T16:55:28.45" personId="{029BEE2B-5882-4626-9FE7-8F2FFF745B94}" id="{C4123BE1-0A76-45DA-98DF-7FF651B9293E}">
    <text>7.49 if using all salps</text>
  </threadedComment>
  <threadedComment ref="K77" dT="2023-12-04T16:55:54.89" personId="{029BEE2B-5882-4626-9FE7-8F2FFF745B94}" id="{ABE518D4-3590-45D4-BCE9-E35443D32424}">
    <text>1.19 if using all salps</text>
  </threadedComment>
</ThreadedComments>
</file>

<file path=xl/threadedComments/threadedComment3.xml><?xml version="1.0" encoding="utf-8"?>
<ThreadedComments xmlns="http://schemas.microsoft.com/office/spreadsheetml/2018/threadedcomments" xmlns:x="http://schemas.openxmlformats.org/spreadsheetml/2006/main">
  <threadedComment ref="D3" dT="2024-02-07T19:08:29.17" personId="{029BEE2B-5882-4626-9FE7-8F2FFF745B94}" id="{7FA23232-A0E1-4E1B-9452-8304C380AB8B}">
    <text>Note that because cycle 1 was split into 2 subcycles, all following values are (wherever possible) the weighted average of the two subcycles weighted by their duration.</text>
  </threadedComment>
  <threadedComment ref="B4" dT="2024-01-19T14:39:04.35" personId="{029BEE2B-5882-4626-9FE7-8F2FFF745B94}" id="{8D3074B2-C162-4FDA-900F-9E511430EE26}">
    <text>Flux to 70m, the base(ish) of the euphotic zone</text>
  </threadedComment>
  <threadedComment ref="B5" dT="2024-02-02T15:40:39.27" personId="{029BEE2B-5882-4626-9FE7-8F2FFF745B94}" id="{B5F51BDE-EB3C-4CB1-8C18-D2CDE60A16C6}">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A40CE34C-96CE-4FE9-95E3-AD77A1BE0363}">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E2A54E60-3E78-48B3-84E4-CCCD02CFF0ED}">
    <text>From HPLC of Total Chl a of minidilution experiments</text>
  </threadedComment>
  <threadedComment ref="B12" dT="2023-07-04T15:51:38.24" personId="{029BEE2B-5882-4626-9FE7-8F2FFF745B94}" id="{4D0C6B0E-6A44-4FBF-AAF8-60F555681F85}">
    <text>Grazing in ug chl/h comes from chl content per sample * a temperature dependent feeding rate from Dam and Peterson using the temperature at 25 meters.</text>
  </threadedComment>
  <threadedComment ref="C12" dT="2023-07-06T13:53:22.47" personId="{029BEE2B-5882-4626-9FE7-8F2FFF745B94}" id="{E2F02092-B565-437C-A72D-08ED07D774DE}">
    <text>Requires an accurate C:Chl to convert to C and then N units. Waiting on Andres</text>
  </threadedComment>
  <threadedComment ref="C13" dT="2023-07-06T13:53:59.18" personId="{029BEE2B-5882-4626-9FE7-8F2FFF745B94}" id="{9E4F2F4D-C48F-4EF6-B398-9687EE002533}">
    <text>Requires an accurate C:Chl to convert to C and then N units. Waiting on Andres</text>
  </threadedComment>
  <threadedComment ref="B15" dT="2024-01-18T16:14:24.19" personId="{029BEE2B-5882-4626-9FE7-8F2FFF745B94}" id="{D5DDA264-1F77-42B6-A269-888F41DE4B6A}">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6" dT="2024-02-05T20:05:26.85" personId="{029BEE2B-5882-4626-9FE7-8F2FFF745B94}" id="{26277F60-021A-4F31-800C-73F86925B160}">
    <text xml:space="preserve">Inferred from Moira's Gut Chl based on salp carnivory via trophic level. </text>
  </threadedComment>
  <threadedComment ref="D16" dT="2024-02-05T18:35:04.47" personId="{029BEE2B-5882-4626-9FE7-8F2FFF745B94}" id="{130A97C1-9EEF-4948-91AB-B35BC8B60760}">
    <text>The typed value here is the cycle averaged proportion of salp diet autotrophy followed by heterotrophy based on CSIAA trophic level (a TL of 2.4 implies ~40% heterotrophy for example)</text>
  </threadedComment>
  <threadedComment ref="E16" dT="2024-02-05T18:35:45.34" personId="{029BEE2B-5882-4626-9FE7-8F2FFF745B94}" id="{194FA5FD-CA51-4B98-A16C-B09F6243B06C}">
    <text>The typed values are, in order, the SD of herbivory, herbivory fraction, SD of carnivory, carnivory fraction.</text>
  </threadedComment>
  <threadedComment ref="H16" dT="2024-02-05T20:17:06.93" personId="{029BEE2B-5882-4626-9FE7-8F2FFF745B94}" id="{9D46CB53-42C7-4C79-A57B-8D4B95A49F24}">
    <text>Note that because Cycle 3 was a nonsalp cycle with no trophic level data, I use the mean of Cycles 1, 2, and 4.</text>
  </threadedComment>
  <threadedComment ref="L16" dT="2024-02-05T20:17:53.24" personId="{029BEE2B-5882-4626-9FE7-8F2FFF745B94}" id="{1EE6BC5C-A507-4E3F-9B90-7C95D76530B7}">
    <text>This value has no standard deviation because it is a single sample from cycle 5. The other 3 had TL&lt;2 which is not possible and were therefore discarded.</text>
  </threadedComment>
  <threadedComment ref="B17" dT="2024-01-18T16:15:12.63" personId="{029BEE2B-5882-4626-9FE7-8F2FFF745B94}" id="{9E27A61D-C9CD-441F-8DDA-E2FC31DED785}">
    <text>The above number multiplied by the fraction of gut biomass made up by BLPs</text>
  </threadedComment>
  <threadedComment ref="D17" dT="2024-02-05T20:08:13.96" personId="{029BEE2B-5882-4626-9FE7-8F2FFF745B94}" id="{15D4CA88-01AD-4B93-9A57-55F774611571}">
    <text>The typed value here is cycle averaged proportion of all salp gut biomass made up by BLPs.</text>
  </threadedComment>
  <threadedComment ref="E17" dT="2024-02-05T20:09:01.31" personId="{029BEE2B-5882-4626-9FE7-8F2FFF745B94}" id="{8C22CD21-A90D-4291-B7C9-FF7DB24EA8ED}">
    <text>Typed values are PicoFractSD and PicoFract</text>
  </threadedComment>
  <threadedComment ref="L17" dT="2024-02-05T20:55:26.34" personId="{029BEE2B-5882-4626-9FE7-8F2FFF745B94}" id="{1F5808E9-4204-4CD6-B30F-DB25F6EDAD66}">
    <text>Because no salp samples were collected from cycle 5, taking the average of the other 4 cycles.</text>
  </threadedComment>
  <threadedComment ref="B18" dT="2024-01-18T16:16:19.67" personId="{029BEE2B-5882-4626-9FE7-8F2FFF745B94}" id="{AE43CA53-0C98-43FE-9C72-0DF9083DF076}">
    <text>As above but proportion of diatoms in guts</text>
  </threadedComment>
  <threadedComment ref="B19" dT="2024-01-18T16:17:24.93" personId="{029BEE2B-5882-4626-9FE7-8F2FFF745B94}" id="{5F884498-F055-4A7B-9F89-0718FB5DB6C0}">
    <text>As above but multiplied by proportion of everything else (hnf, flag, mic).</text>
  </threadedComment>
  <threadedComment ref="B20" dT="2024-04-18T19:00:51.47" personId="{029BEE2B-5882-4626-9FE7-8F2FFF745B94}" id="{12109B02-DE6B-43E2-8CF1-6BAF219AD312}">
    <text>Determined from grazing rates assuming an egestion efficiency of 0.36 (Huntley, Sykes et al. 1989).</text>
  </threadedComment>
  <threadedComment ref="H20" dT="2024-02-09T14:49:38.86" personId="{029BEE2B-5882-4626-9FE7-8F2FFF745B94}" id="{3720137A-E204-4A83-A7F1-7596E2A352B2}">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0" dT="2024-04-22T17:56:39.57" personId="{029BEE2B-5882-4626-9FE7-8F2FFF745B94}" id="{86721F93-7A43-4615-832E-9738EC1A251D}">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1" dT="2024-04-18T15:16:06.40" personId="{029BEE2B-5882-4626-9FE7-8F2FFF745B94}" id="{31727BD0-B036-48FE-B0EF-44D2DB51345A}">
    <text>Vertically integrated from Fenella Dean's tritiated leucine incorporation.</text>
  </threadedComment>
  <threadedComment ref="B26" dT="2024-04-17T20:56:06.29" personId="{029BEE2B-5882-4626-9FE7-8F2FFF745B94}" id="{5A2BF95B-1315-4EC9-8F9A-49D1FE1F26E3}">
    <text>Note that because most CTDs do not approach the bottom, this is the temp at 50 m above bottom for only those casts that went that deep.</text>
  </threadedComment>
  <threadedComment ref="B27" dT="2024-04-26T15:22:13.42" personId="{029BEE2B-5882-4626-9FE7-8F2FFF745B94}" id="{16160B8D-7B0B-46AC-A5C4-57CF6B1FED00}">
    <text>Cycle averaged depth 50 meters above bottom for use in estimating rates of demersal fish assuming they spend their time primarily within 100 meters of bottom.</text>
  </threadedComment>
  <threadedComment ref="B28" dT="2024-01-18T16:18:53.69" personId="{029BEE2B-5882-4626-9FE7-8F2FFF745B94}" id="{DF05445A-18C1-4BA7-BA8E-D048FA932142}">
    <text>Considered a minimum rather than an AE due to likelihood of missing some pellets</text>
  </threadedComment>
  <threadedComment ref="B30" dT="2023-08-18T14:35:11.24" personId="{029BEE2B-5882-4626-9FE7-8F2FFF745B94}" id="{4F3FCD9A-4B4E-4E12-BCB9-4BEBB04E8C5D}">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30" dT="2024-04-23T19:23:56.48" personId="{029BEE2B-5882-4626-9FE7-8F2FFF745B94}" id="{04A66334-C933-44BB-9FC7-48F3A47BF01A}" parentId="{4F3FCD9A-4B4E-4E12-BCB9-4BEBB04E8C5D}">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34" dT="2024-04-23T19:55:54.95" personId="{029BEE2B-5882-4626-9FE7-8F2FFF745B94}" id="{44AE3F5E-446C-42A8-995C-70DBA55E42C4}">
    <text>Via C:N combustion of size fractionated zooplankton biomass.</text>
  </threadedComment>
  <threadedComment ref="D34" dT="2023-06-29T14:50:13.53" personId="{029BEE2B-5882-4626-9FE7-8F2FFF745B94}" id="{BB7766C8-FCEB-433B-BA7B-DC92A035029B}">
    <text>As with grazing rates, because there are no VMMeso in C1 this is the average of day and night biomasses.</text>
  </threadedComment>
  <threadedComment ref="B37" dT="2023-12-08T18:56:45.05" personId="{029BEE2B-5882-4626-9FE7-8F2FFF745B94}" id="{CCAABA92-CF20-4A14-969B-72DE6D2969A7}">
    <text>This will eventually come from Zooscan and allows me to link respiration and max ingestion inequalities.</text>
  </threadedComment>
  <threadedComment ref="B37" dT="2024-07-03T15:10:18.45" personId="{029BEE2B-5882-4626-9FE7-8F2FFF745B94}" id="{C4E7039D-A5A4-4A76-B1E8-C32D127657EA}" parentId="{CCAABA92-CF20-4A14-969B-72DE6D2969A7}">
    <text>The uncertainty on these is often so high we are saying we couldn't resolve day/night differences and are treating them as epipelagic residents. As such this value is the mean of the observed da/night biomasses.</text>
  </threadedComment>
  <threadedComment ref="B37" dT="2024-07-03T17:22:07.52" personId="{029BEE2B-5882-4626-9FE7-8F2FFF745B94}" id="{1F16E7DF-94B3-4F35-95AB-6F375B53ADC5}" parentId="{CCAABA92-CF20-4A14-969B-72DE6D2969A7}">
    <text>You will also note the biomass of Amphipods is often quite significant relative to Meso and Macrozoo, especially in Cycle 1. This is because 80-90% of the catch (for Cycle 1 at least) was &gt;5 mm Hyperiiod amphipods that were likely associated with the salps that were manually excluded from size frac zoo biomass. For this reason we do not think it is necessary to subtract the amphipods from the size frac biomass.</text>
  </threadedComment>
  <threadedComment ref="B38" dT="2023-12-08T18:56:55.89" personId="{029BEE2B-5882-4626-9FE7-8F2FFF745B94}" id="{139B4395-7762-4F0C-8CDD-513B42DE2EF4}">
    <text>This will eventually come from Zooscan and allows me to link respiration and max ingestion inequalities.</text>
  </threadedComment>
  <threadedComment ref="B38" dT="2024-07-03T15:10:23.97" personId="{029BEE2B-5882-4626-9FE7-8F2FFF745B94}" id="{7D1F3CFE-1CB6-444E-ABF3-7C5ED5FE81AC}" parentId="{139B4395-7762-4F0C-8CDD-513B42DE2EF4}">
    <text>The uncertainty on these is often so high we are saying we couldn't resolve day/night differences and are treating them as epipelagic residents.</text>
  </threadedComment>
  <threadedComment ref="B39" dT="2024-01-30T16:17:50.93" personId="{029BEE2B-5882-4626-9FE7-8F2FFF745B94}" id="{9BD121E8-F790-483E-8E42-E8DAA72C3DB8}">
    <text>Summed biomass of all salps collected in all bongo tows of a given cycle, averaged over that cycle</text>
  </threadedComment>
  <threadedComment ref="D39" dT="2023-06-21T18:32:25.34" personId="{029BEE2B-5882-4626-9FE7-8F2FFF745B94}" id="{7F415C0B-78F1-4E84-A26A-D1612E472F78}">
    <text>Note this is for all salps, not just ST.</text>
  </threadedComment>
  <threadedComment ref="B41" dT="2024-06-03T14:10:49.50" personId="{029BEE2B-5882-4626-9FE7-8F2FFF745B94}" id="{18AE653E-07EE-403F-AD04-D30F502CEB2E}">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ext>
  </threadedComment>
  <threadedComment ref="D41" dT="2023-06-21T18:12:08.06" personId="{029BEE2B-5882-4626-9FE7-8F2FFF745B94}" id="{42A2A8B8-6DC5-4D06-A26F-A30277420847}">
    <text>Mesopelagic fish (myctophids) from Pinkerton 2011</text>
  </threadedComment>
  <threadedComment ref="D42" dT="2023-06-21T18:25:53.51" personId="{029BEE2B-5882-4626-9FE7-8F2FFF745B94}" id="{E3BE2FE0-52BF-4F38-8442-68358485D5FC}">
    <text>Hoki from Pinkerton 2011</text>
  </threadedComment>
  <threadedComment ref="D43" dT="2023-06-21T18:12:50.39" personId="{029BEE2B-5882-4626-9FE7-8F2FFF745B94}" id="{2843C0C3-ADEB-421D-B9C9-CB24781220DF}">
    <text>S_oreo + warehou from Pinkerton 2011</text>
  </threadedComment>
  <threadedComment ref="B44" dT="2024-05-13T14:58:45.63" personId="{029BEE2B-5882-4626-9FE7-8F2FFF745B94}" id="{EA2EA9E6-55AC-42F8-BAB1-296D391CC92E}">
    <text>These are predicted min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.5.</text>
  </threadedComment>
  <threadedComment ref="B45" dT="2024-04-26T15:41:37.36" personId="{029BEE2B-5882-4626-9FE7-8F2FFF745B94}" id="{395353C3-BEC7-4A11-867E-F01DBF64D942}">
    <text>These are predicted maximum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2.</text>
  </threadedComment>
  <threadedComment ref="B73" dT="2023-08-02T20:07:35.22" personId="{029BEE2B-5882-4626-9FE7-8F2FFF745B94}" id="{12FE8B90-9AA7-4FD0-8F3B-B524D3F26A44}">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74" dT="2023-12-08T19:26:46.64" personId="{029BEE2B-5882-4626-9FE7-8F2FFF745B94}" id="{87DAB0EA-4E2B-4249-9624-5D2579E7D9DB}">
    <text>As the mean of all 4 life stages of Euphausia lucens in the Benguela Current. Alternatively we have mean of only adults at 1.499 +_ 0.299</text>
  </threadedComment>
  <threadedComment ref="B75" dT="2023-12-08T19:28:20.28" personId="{029BEE2B-5882-4626-9FE7-8F2FFF745B94}" id="{9CE38CD5-BDD6-46D0-BB5F-C78545A2D410}">
    <text>As the mean of the amphipods from Zooscan using weight-length function of Themisto japonica from Ikeda 1990 and DW-C conversion of Ikeda and Shiga, 1999.</text>
  </threadedComment>
  <threadedComment ref="B76" dT="2024-07-03T19:50:01.91" personId="{029BEE2B-5882-4626-9FE7-8F2FFF745B94}" id="{5EF166F9-E3C2-4185-8446-788241D91E72}">
    <text xml:space="preserve">As the mean of all Siphonophores, Ctenophores, and cnidarians in the Zooscan so far. Siphonophores and Ctenophores use Lavaniego and Ohman 2007, and cnidarians use Uye and Shimauchi 2005 regression for WW from bell diameter. </text>
  </threadedComment>
  <threadedComment ref="B77" personId="{FE6090A8-A567-4AB1-A17C-139FAB253329}" id="{08D80AB6-DF81-4916-BE46-F4D268933C93}">
    <text xml:space="preserve">From Pinkerton 2011. Ikeda 2016 equation for oxygen respiration and O:N ratio can take WW as we all C mass
</text>
  </threadedComment>
  <threadedComment ref="B78" personId="{FE6090A8-A567-4AB1-A17C-139FAB253329}" id="{5DA5CC3A-C34B-409A-8509-1AB629846355}">
    <text>As Hoki using median length and W:L conversion from Connell et al 2010</text>
  </threadedComment>
  <threadedComment ref="B79" personId="{FE6090A8-A567-4AB1-A17C-139FAB253329}" id="{4534E20E-F2E7-4B6B-B9B7-6CAFF3B67D4F}">
    <text>As Smooth Oreo with mean length from Coombs and Barr, 2004 and W:L from Clark et al. 1999</text>
  </threadedComment>
  <threadedComment ref="B80" dT="2024-04-18T18:25:11.20" personId="{029BEE2B-5882-4626-9FE7-8F2FFF745B94}" id="{1AB1D5B2-BE43-4667-AB6A-5C531099F9C3}">
    <text>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ext>
  </threadedComment>
  <threadedComment ref="H80" dT="2024-04-18T18:28:03.10" personId="{029BEE2B-5882-4626-9FE7-8F2FFF745B94}" id="{D7988A77-C8C6-4953-BB05-A49567B3C5B6}">
    <text>Unlike the other cycles, these values are calculated per individual salp based on a length regression by Iguchi and Ikeda 2004. Respiration is then summed over each tow, averaged by cycle, and day and night values are added assuming 14 hours day and 10 hours night.</text>
  </threadedComment>
  <threadedComment ref="H80" dT="2024-04-24T20:23:48.78" personId="{029BEE2B-5882-4626-9FE7-8F2FFF745B94}" id="{51A0F1B8-8948-4961-BA04-B020C74BA90C}" parentId="{D7988A77-C8C6-4953-BB05-A49567B3C5B6}">
    <text>An alternative way to do this is to divide Cycle 1, 2, and 4 respiration by the salp biomass from each tow to get a per unit biomass respiration rate (again for day and night separately). Then multiply  by the observed day/night salp biomass for Cycles 3 and 5. Doing so ALSO gives 0.00017</text>
  </threadedComment>
  <threadedComment ref="L80" dT="2024-04-22T14:43:47.26" personId="{029BEE2B-5882-4626-9FE7-8F2FFF745B94}" id="{E20E38A4-ABF2-42E5-B751-6C80B04424E4}">
    <text>Unlike the other cycles, these values are calculated per individual salp based on a length regression by Iguchi and Ikeda 2004. Respiration is then summed over each tow, averaged by cycle, and day and night values are added assuming 14 hours day and 10 hours night.</text>
  </threadedComment>
  <threadedComment ref="L80" dT="2024-04-24T20:31:36.14" personId="{029BEE2B-5882-4626-9FE7-8F2FFF745B94}" id="{B836E04A-AB51-4CD4-A2B9-872C7106202C}" parentId="{E20E38A4-ABF2-42E5-B751-6C80B04424E4}">
    <text>An alternative way to do this is to divide Cycle 1, 2, and 4 respiration by the salp biomass from each tow to get a per unit biomass respiration rate (again for day and night separately). Then multiply  by the observed day/night salp biomass for Cycles 3 and 5. Doing so gives 0.00006.</text>
  </threadedComment>
  <threadedComment ref="B87" dT="2023-12-04T16:46:30.79" personId="{029BEE2B-5882-4626-9FE7-8F2FFF745B94}" id="{F77DD7BA-D647-49A7-9A32-FB653CF5E1A8}">
    <text>Currently displayed is just ST bodies</text>
  </threadedComment>
  <threadedComment ref="D87" dT="2023-12-04T16:46:55.86" personId="{029BEE2B-5882-4626-9FE7-8F2FFF745B94}" id="{957F77DD-95E2-41F9-9767-F061FFDBE7C2}">
    <text>2.57 if using all salps</text>
  </threadedComment>
  <threadedComment ref="E87" dT="2023-12-04T16:47:14.21" personId="{029BEE2B-5882-4626-9FE7-8F2FFF745B94}" id="{1BCCDC90-7719-454A-9E7B-86F6BDCA21B1}">
    <text>0.88 if using all salps</text>
  </threadedComment>
  <threadedComment ref="F87" dT="2023-12-04T16:54:38.15" personId="{029BEE2B-5882-4626-9FE7-8F2FFF745B94}" id="{B294253E-E2A6-46EE-A99C-9C6D7B112BF6}">
    <text>1.30 if using all salps</text>
  </threadedComment>
  <threadedComment ref="G87" dT="2023-12-04T16:55:01.58" personId="{029BEE2B-5882-4626-9FE7-8F2FFF745B94}" id="{2E405B43-26E3-41F8-B32F-0259BD8F9C4F}">
    <text>1.22 if using all salps</text>
  </threadedComment>
  <threadedComment ref="J87" dT="2023-12-04T16:55:28.45" personId="{029BEE2B-5882-4626-9FE7-8F2FFF745B94}" id="{58553C5F-00BD-410A-96E1-234E88C1FB1C}">
    <text>7.49 if using all salps</text>
  </threadedComment>
  <threadedComment ref="K87" dT="2023-12-04T16:55:54.89" personId="{029BEE2B-5882-4626-9FE7-8F2FFF745B94}" id="{3B9F891E-6581-4057-9D14-E583793AA8FA}">
    <text>1.19 if using all salps</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4-02-02T15:40:39.27" personId="{029BEE2B-5882-4626-9FE7-8F2FFF745B94}" id="{11AEF130-BE7B-4914-83A6-8F93DB32E9B5}">
    <text>Note that the summed NPP of the 3 phytoplankton groups via dilution method exceeds 14C NPP. We trust the latter more , so what we're really interested in here is the proportion of total NPP attributable to Pico, Flag, and Diatoms.</text>
  </threadedComment>
  <threadedComment ref="B4" dT="2023-08-10T14:09:29.74" personId="{029BEE2B-5882-4626-9FE7-8F2FFF745B94}" id="{2C843EC0-E733-4A7D-8C21-301EFDEA5B4F}">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s>
</file>

<file path=xl/threadedComments/threadedComment5.xml><?xml version="1.0" encoding="utf-8"?>
<ThreadedComments xmlns="http://schemas.microsoft.com/office/spreadsheetml/2018/threadedcomments" xmlns:x="http://schemas.openxmlformats.org/spreadsheetml/2006/main">
  <threadedComment ref="A2" dT="2024-04-23T19:55:54.95" personId="{029BEE2B-5882-4626-9FE7-8F2FFF745B94}" id="{2570394F-E991-46A9-8EAB-FF6D72E1E15F}">
    <text>Via C:N combustion of size fractionated zooplankton biomass.</text>
  </threadedComment>
  <threadedComment ref="A6" dT="2024-01-30T16:17:50.93" personId="{029BEE2B-5882-4626-9FE7-8F2FFF745B94}" id="{9B438F73-B654-4838-BAEE-D0898F778D8D}">
    <text>Summed biomass of all salps collected in all bongo tows of a given cycle, averaged over that cycle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1812D-A1FB-48D4-BEA4-760F200D1E3C}">
  <dimension ref="A1:S77"/>
  <sheetViews>
    <sheetView tabSelected="1" workbookViewId="0">
      <pane xSplit="3" ySplit="2" topLeftCell="D6" activePane="bottomRight" state="frozen"/>
      <selection pane="topRight" activeCell="D1" sqref="D1"/>
      <selection pane="bottomLeft" activeCell="A3" sqref="A3"/>
      <selection pane="bottomRight" activeCell="N34" sqref="N34"/>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453125" style="11" bestFit="1" customWidth="1"/>
    <col min="12" max="12" width="14.7265625" style="11" bestFit="1" customWidth="1"/>
    <col min="13" max="13" width="10.54296875" style="11" bestFit="1" customWidth="1"/>
    <col min="18" max="18" width="9.453125" bestFit="1" customWidth="1"/>
  </cols>
  <sheetData>
    <row r="1" spans="1:16" ht="26" x14ac:dyDescent="0.6">
      <c r="A1" s="1" t="s">
        <v>0</v>
      </c>
      <c r="B1" s="2"/>
      <c r="C1" s="2"/>
      <c r="D1" s="12"/>
      <c r="E1" s="12"/>
      <c r="F1" s="12"/>
      <c r="G1" s="12"/>
      <c r="H1" s="12"/>
      <c r="I1" s="12"/>
      <c r="J1" s="12"/>
      <c r="K1" s="12"/>
      <c r="L1" s="12"/>
      <c r="M1" s="12"/>
    </row>
    <row r="2" spans="1:16" x14ac:dyDescent="0.35">
      <c r="A2" s="2"/>
      <c r="B2" s="2"/>
      <c r="C2" s="3" t="s">
        <v>1</v>
      </c>
      <c r="D2" s="3" t="s">
        <v>2</v>
      </c>
      <c r="E2" s="4" t="s">
        <v>3</v>
      </c>
      <c r="F2" s="3" t="s">
        <v>4</v>
      </c>
      <c r="G2" s="4" t="s">
        <v>3</v>
      </c>
      <c r="H2" s="3" t="s">
        <v>5</v>
      </c>
      <c r="I2" s="4" t="s">
        <v>3</v>
      </c>
      <c r="J2" s="3" t="s">
        <v>6</v>
      </c>
      <c r="K2" s="4" t="s">
        <v>3</v>
      </c>
      <c r="L2" s="3" t="s">
        <v>7</v>
      </c>
      <c r="M2" s="4" t="s">
        <v>3</v>
      </c>
    </row>
    <row r="3" spans="1:16" x14ac:dyDescent="0.35">
      <c r="A3" s="5">
        <v>1</v>
      </c>
      <c r="B3" s="5" t="s">
        <v>153</v>
      </c>
      <c r="C3" s="6" t="s">
        <v>8</v>
      </c>
      <c r="D3" s="15">
        <v>6.9751395770705304</v>
      </c>
      <c r="E3" s="15">
        <v>2.1054146836448493</v>
      </c>
      <c r="F3" s="15">
        <v>4.0433304059190514</v>
      </c>
      <c r="G3" s="15">
        <v>0.782773000331076</v>
      </c>
      <c r="H3" s="12">
        <v>9.8238143057644312</v>
      </c>
      <c r="I3" s="12">
        <v>4.5503873820535841</v>
      </c>
      <c r="J3" s="15">
        <v>5.689407455376319</v>
      </c>
      <c r="K3" s="15">
        <v>1.2846958018136592</v>
      </c>
      <c r="L3" s="15">
        <v>3.1620202422853949</v>
      </c>
      <c r="M3" s="15">
        <v>0.38276057123455215</v>
      </c>
    </row>
    <row r="4" spans="1:16" x14ac:dyDescent="0.35">
      <c r="A4" s="5">
        <v>2</v>
      </c>
      <c r="B4" s="5" t="s">
        <v>9</v>
      </c>
      <c r="C4" s="6" t="s">
        <v>8</v>
      </c>
      <c r="D4" s="15">
        <v>0.97868813053894244</v>
      </c>
      <c r="E4" s="15">
        <v>0.20023276423153064</v>
      </c>
      <c r="F4" s="15">
        <v>1.6343249758697753</v>
      </c>
      <c r="G4" s="15">
        <v>5.6975159479932917E-2</v>
      </c>
      <c r="H4" s="15">
        <v>0.46955161565803499</v>
      </c>
      <c r="I4" s="15">
        <v>2.9864707184233424E-2</v>
      </c>
      <c r="J4" s="15">
        <v>1.7889700021150503</v>
      </c>
      <c r="K4" s="15">
        <v>0.59585480538241931</v>
      </c>
      <c r="L4" s="15">
        <v>0.4195884011815369</v>
      </c>
      <c r="M4" s="15">
        <v>0.18168493088635868</v>
      </c>
    </row>
    <row r="5" spans="1:16" x14ac:dyDescent="0.35">
      <c r="A5" s="5">
        <v>3</v>
      </c>
      <c r="B5" s="5" t="s">
        <v>11</v>
      </c>
      <c r="C5" s="6" t="s">
        <v>8</v>
      </c>
      <c r="D5" s="15">
        <f>D3*NZ_Extra!D6</f>
        <v>2.1257040907636764</v>
      </c>
      <c r="E5" s="15">
        <f>D5*SQRT((E3/D3)^2+(NZ_Extra!E6/NZ_Extra!D6)^2)</f>
        <v>1.529245387205191</v>
      </c>
      <c r="F5" s="15">
        <f>F3*NZ_Extra!F6</f>
        <v>3.0867580654897724</v>
      </c>
      <c r="G5" s="15">
        <f>F5*SQRT((G3/F3)^2+(NZ_Extra!G6/NZ_Extra!F6)^2)</f>
        <v>0.91836992540808726</v>
      </c>
      <c r="H5" s="15">
        <f>H3*NZ_Extra!H6</f>
        <v>6.4892367066326058</v>
      </c>
      <c r="I5" s="15">
        <f>H5*SQRT((I3/H3)^2+(NZ_Extra!I6/NZ_Extra!H6)^2)</f>
        <v>4.75740961119413</v>
      </c>
      <c r="J5" s="15">
        <f>J3*NZ_Extra!J6</f>
        <v>3.4570987839772562</v>
      </c>
      <c r="K5" s="15">
        <f>J5*SQRT((K3/J3)^2+(NZ_Extra!K6/NZ_Extra!J6)^2)</f>
        <v>2.2352910282621208</v>
      </c>
      <c r="L5" s="15">
        <f>L3*NZ_Extra!L6</f>
        <v>2.8354623725330517</v>
      </c>
      <c r="M5" s="15">
        <f>L5*SQRT((M3/L3)^2+(NZ_Extra!M6/NZ_Extra!L6)^2)</f>
        <v>3.8090409922828234</v>
      </c>
    </row>
    <row r="6" spans="1:16" x14ac:dyDescent="0.35">
      <c r="A6" s="5">
        <v>4</v>
      </c>
      <c r="B6" s="5" t="s">
        <v>12</v>
      </c>
      <c r="C6" s="6" t="s">
        <v>8</v>
      </c>
      <c r="D6" s="15">
        <f>D3*NZ_Extra!D7</f>
        <v>1.6509193259295052</v>
      </c>
      <c r="E6" s="15">
        <f>D6*SQRT((E3/D3)^2+(NZ_Extra!E7/NZ_Extra!D7)^2)</f>
        <v>0.83512693633249513</v>
      </c>
      <c r="F6" s="15">
        <f>F3*NZ_Extra!F7</f>
        <v>0.34567740240112704</v>
      </c>
      <c r="G6" s="15">
        <f>F6*SQRT((G3/F3)^2+(NZ_Extra!G7/NZ_Extra!F7)^2)</f>
        <v>0.500674736451859</v>
      </c>
      <c r="H6" s="15">
        <f>H3*NZ_Extra!H7</f>
        <v>2.7169000225340558</v>
      </c>
      <c r="I6" s="15">
        <f>H6*SQRT((I3/H3)^2+(NZ_Extra!I7/NZ_Extra!H7)^2)</f>
        <v>3.3405851699714728</v>
      </c>
      <c r="J6" s="15">
        <f>J3*NZ_Extra!J7</f>
        <v>1.9849115483197928</v>
      </c>
      <c r="K6" s="15">
        <f>J6*SQRT((K3/J3)^2+(NZ_Extra!K7/NZ_Extra!J7)^2)</f>
        <v>1.9757685926891104</v>
      </c>
      <c r="L6" s="15">
        <f>L3*NZ_Extra!L7</f>
        <v>0.16239398547005449</v>
      </c>
      <c r="M6" s="15">
        <f>L6*SQRT((M3/L3)^2+(NZ_Extra!M7/NZ_Extra!L7)^2)</f>
        <v>3.4118451249548518</v>
      </c>
    </row>
    <row r="7" spans="1:16" x14ac:dyDescent="0.35">
      <c r="A7" s="5">
        <v>5</v>
      </c>
      <c r="B7" s="5" t="s">
        <v>182</v>
      </c>
      <c r="C7" s="6" t="s">
        <v>8</v>
      </c>
      <c r="D7" s="15">
        <f>D3*NZ_Extra!D8</f>
        <v>3.1985161603773489</v>
      </c>
      <c r="E7" s="15">
        <f>D7*SQRT((E3/D3)^2+(NZ_Extra!E8/NZ_Extra!D8)^2)</f>
        <v>2.0384171493794305</v>
      </c>
      <c r="F7" s="15">
        <f>F3*NZ_Extra!F8</f>
        <v>0.36121241637843743</v>
      </c>
      <c r="G7" s="15">
        <f>F7*SQRT((G3/F3)^2+(NZ_Extra!G8/NZ_Extra!F8)^2)</f>
        <v>0.23417384287485524</v>
      </c>
      <c r="H7" s="15">
        <f>H3*NZ_Extra!H8</f>
        <v>0.61767757659776912</v>
      </c>
      <c r="I7" s="15">
        <f>H7*SQRT((I3/H3)^2+(NZ_Extra!I8/NZ_Extra!H8)^2)</f>
        <v>0.56187448469565471</v>
      </c>
      <c r="J7" s="15">
        <f>J3*NZ_Extra!J8</f>
        <v>0.24739712307926998</v>
      </c>
      <c r="K7" s="15">
        <f>J7*SQRT((K3/J3)^2+(NZ_Extra!K8/NZ_Extra!J8)^2)</f>
        <v>0.15495821808294558</v>
      </c>
      <c r="L7" s="15">
        <f>L3*NZ_Extra!L8</f>
        <v>0.16416388428228881</v>
      </c>
      <c r="M7" s="15">
        <f>L7*SQRT((M3/L3)^2+(NZ_Extra!M8/NZ_Extra!L8)^2)</f>
        <v>0.21488912092939733</v>
      </c>
    </row>
    <row r="8" spans="1:16" x14ac:dyDescent="0.35">
      <c r="A8" s="5">
        <v>6</v>
      </c>
      <c r="B8" s="5" t="s">
        <v>13</v>
      </c>
      <c r="C8" s="6" t="s">
        <v>8</v>
      </c>
      <c r="D8" s="15">
        <f>D11*NZ_Extra!D14</f>
        <v>0.9680377856143324</v>
      </c>
      <c r="E8" s="15">
        <f>D8*SQRT((E11/D11)^2+(NZ_Extra!E14/NZ_Extra!D14)^2)</f>
        <v>0.77464728293812979</v>
      </c>
      <c r="F8" s="15">
        <f>F11*NZ_Extra!F14</f>
        <v>1.8898783958923295</v>
      </c>
      <c r="G8" s="15">
        <f>F8*SQRT((G11/F11)^2+(NZ_Extra!G14/NZ_Extra!F14)^2)</f>
        <v>0.73034638435033294</v>
      </c>
      <c r="H8" s="15">
        <f>H11*NZ_Extra!H14</f>
        <v>3.4956497672810012</v>
      </c>
      <c r="I8" s="15">
        <f>H8*SQRT((I11/H11)^2+(NZ_Extra!I14/NZ_Extra!H14)^2)</f>
        <v>2.5146743932235576</v>
      </c>
      <c r="J8" s="15">
        <f>J11*NZ_Extra!J14</f>
        <v>2.1195066010520414</v>
      </c>
      <c r="K8" s="15">
        <f>J8*SQRT((K11/J11)^2+(NZ_Extra!K14/NZ_Extra!J14)^2)</f>
        <v>1.293169338866397</v>
      </c>
      <c r="L8" s="15">
        <f>L11*NZ_Extra!L14</f>
        <v>1.249680964823271</v>
      </c>
      <c r="M8" s="15">
        <f>L8*SQRT((M11/L11)^2+(NZ_Extra!M14/NZ_Extra!L14)^2)</f>
        <v>0.93631570638214678</v>
      </c>
    </row>
    <row r="9" spans="1:16" x14ac:dyDescent="0.35">
      <c r="A9" s="5">
        <v>7</v>
      </c>
      <c r="B9" s="5" t="s">
        <v>14</v>
      </c>
      <c r="C9" s="6" t="s">
        <v>8</v>
      </c>
      <c r="D9" s="15">
        <f>D11*NZ_Extra!D15</f>
        <v>0.93107773943501781</v>
      </c>
      <c r="E9" s="15">
        <f>D9*SQRT((E11/D11)^2+(NZ_Extra!E15/NZ_Extra!D15)^2)</f>
        <v>1.0527763422171048</v>
      </c>
      <c r="F9" s="15">
        <f>F11*NZ_Extra!F15</f>
        <v>0.48436400386133022</v>
      </c>
      <c r="G9" s="15">
        <f>F9*SQRT((G11/F11)^2+(NZ_Extra!G15/NZ_Extra!F15)^2)</f>
        <v>0.53471731927488009</v>
      </c>
      <c r="H9" s="15">
        <f>H11*NZ_Extra!H15</f>
        <v>1.5734107472520935</v>
      </c>
      <c r="I9" s="15">
        <f>H9*SQRT((I11/H11)^2+(NZ_Extra!I15/NZ_Extra!H15)^2)</f>
        <v>1.7854607152677655</v>
      </c>
      <c r="J9" s="15">
        <f>J11*NZ_Extra!J15</f>
        <v>2.2956993882787935</v>
      </c>
      <c r="K9" s="15">
        <f>J9*SQRT((K11/J11)^2+(NZ_Extra!K15/NZ_Extra!J15)^2)</f>
        <v>1.4378622111730337</v>
      </c>
      <c r="L9" s="15">
        <f>L11*NZ_Extra!L15</f>
        <v>1.5922615659761581</v>
      </c>
      <c r="M9" s="15">
        <f>L9*SQRT((M11/L11)^2+(NZ_Extra!M15/NZ_Extra!L15)^2)</f>
        <v>2.3670613615743945</v>
      </c>
    </row>
    <row r="10" spans="1:16" x14ac:dyDescent="0.35">
      <c r="A10" s="5">
        <v>8</v>
      </c>
      <c r="B10" s="5" t="s">
        <v>183</v>
      </c>
      <c r="C10" s="6" t="s">
        <v>8</v>
      </c>
      <c r="D10" s="15">
        <f>D11*NZ_Extra!D16</f>
        <v>1.610034223190812</v>
      </c>
      <c r="E10" s="15">
        <f>D10*SQRT((E11/D11)^2+(NZ_Extra!E16/NZ_Extra!D16)^2)</f>
        <v>1.141546497344532</v>
      </c>
      <c r="F10" s="15">
        <f>F11*NZ_Extra!F16</f>
        <v>8.3139899568425379E-2</v>
      </c>
      <c r="G10" s="15">
        <f>F10*SQRT((G11/F11)^2+(NZ_Extra!G16/NZ_Extra!F16)^2)</f>
        <v>3.4881401373732787E-2</v>
      </c>
      <c r="H10" s="15">
        <f>H11*NZ_Extra!H16</f>
        <v>0.30286347948815684</v>
      </c>
      <c r="I10" s="15">
        <f>H10*SQRT((I11/H11)^2+(NZ_Extra!I16/NZ_Extra!H16)^2)</f>
        <v>0.26697516636211549</v>
      </c>
      <c r="J10" s="15">
        <f>J11*NZ_Extra!J16</f>
        <v>0.18752558852227863</v>
      </c>
      <c r="K10" s="15">
        <f>J10*SQRT((K11/J11)^2+(NZ_Extra!K16/NZ_Extra!J16)^2)</f>
        <v>0.12099696069503854</v>
      </c>
      <c r="L10" s="15">
        <f>L11*NZ_Extra!L16</f>
        <v>0.13592019999549798</v>
      </c>
      <c r="M10" s="15">
        <f>L10*SQRT((M11/L11)^2+(NZ_Extra!M16/NZ_Extra!L16)^2)</f>
        <v>0.13470708129944753</v>
      </c>
    </row>
    <row r="11" spans="1:16" x14ac:dyDescent="0.35">
      <c r="A11" s="5">
        <v>9</v>
      </c>
      <c r="B11" s="5" t="s">
        <v>152</v>
      </c>
      <c r="C11" s="6" t="s">
        <v>8</v>
      </c>
      <c r="D11" s="15">
        <v>3.5091497482401626</v>
      </c>
      <c r="E11" s="15">
        <v>1.2649780271784867</v>
      </c>
      <c r="F11" s="15">
        <v>2.6936632003654828</v>
      </c>
      <c r="G11" s="15">
        <v>0.60951549478679601</v>
      </c>
      <c r="H11" s="15">
        <v>5.3719239940212518</v>
      </c>
      <c r="I11" s="15">
        <v>2.9742856330468999</v>
      </c>
      <c r="J11" s="15">
        <v>4.6027315778531133</v>
      </c>
      <c r="K11" s="15">
        <v>2.1767590749848282</v>
      </c>
      <c r="L11" s="15">
        <v>2.9778627307949268</v>
      </c>
      <c r="M11" s="15">
        <v>0.86612577413233227</v>
      </c>
    </row>
    <row r="12" spans="1:16" x14ac:dyDescent="0.35">
      <c r="A12" s="5">
        <v>10</v>
      </c>
      <c r="B12" s="5" t="s">
        <v>15</v>
      </c>
      <c r="C12" s="6" t="s">
        <v>8</v>
      </c>
      <c r="D12" s="15">
        <v>0.90936712058115243</v>
      </c>
      <c r="E12" s="15">
        <v>0.18438143754367645</v>
      </c>
      <c r="F12" s="36">
        <v>0.69786875348140176</v>
      </c>
      <c r="G12" s="36">
        <v>0.33083742555493062</v>
      </c>
      <c r="H12" s="15">
        <v>0.24256808752952785</v>
      </c>
      <c r="I12" s="15">
        <v>9.9091055888499632E-2</v>
      </c>
      <c r="J12" s="15">
        <v>0.32637300304228883</v>
      </c>
      <c r="K12" s="15">
        <v>0.11439529554434019</v>
      </c>
      <c r="L12" s="15">
        <v>0.30265779501730594</v>
      </c>
      <c r="M12" s="15">
        <v>0.1607958156305225</v>
      </c>
      <c r="P12" t="s">
        <v>229</v>
      </c>
    </row>
    <row r="13" spans="1:16" x14ac:dyDescent="0.35">
      <c r="A13" s="5">
        <v>11</v>
      </c>
      <c r="B13" s="5" t="s">
        <v>16</v>
      </c>
      <c r="C13" s="6" t="s">
        <v>8</v>
      </c>
      <c r="D13" s="15">
        <v>2.7775614345871977E-2</v>
      </c>
      <c r="E13" s="15">
        <v>2.7788247064735046E-2</v>
      </c>
      <c r="F13" s="15">
        <v>3.3175154585448542E-2</v>
      </c>
      <c r="G13" s="15">
        <v>7.5474281355229864E-2</v>
      </c>
      <c r="H13" s="15">
        <v>7.8424367389722423E-3</v>
      </c>
      <c r="I13" s="15">
        <v>1.1119541452350641E-2</v>
      </c>
      <c r="J13" s="15">
        <v>1.1164564455451947E-2</v>
      </c>
      <c r="K13" s="15">
        <v>1.4112720238673453E-2</v>
      </c>
      <c r="L13" s="15">
        <v>2.4892996784586202E-2</v>
      </c>
      <c r="M13" s="15">
        <v>2.5748036807699545E-2</v>
      </c>
      <c r="O13" s="35">
        <v>1</v>
      </c>
      <c r="P13" s="32">
        <f>D3-SUM(D11:D15)</f>
        <v>-0.13916210196251555</v>
      </c>
    </row>
    <row r="14" spans="1:16" x14ac:dyDescent="0.35">
      <c r="A14" s="5">
        <v>12</v>
      </c>
      <c r="B14" s="5" t="s">
        <v>163</v>
      </c>
      <c r="C14" s="6" t="s">
        <v>8</v>
      </c>
      <c r="D14" s="15">
        <v>8.8005356807663079E-3</v>
      </c>
      <c r="E14" s="15">
        <v>1.2670301898349702E-2</v>
      </c>
      <c r="F14" s="15">
        <v>2.0797253454106119E-2</v>
      </c>
      <c r="G14" s="15">
        <v>4.7029263843153819E-2</v>
      </c>
      <c r="H14" s="15">
        <v>3.5417563847894682E-3</v>
      </c>
      <c r="I14" s="15">
        <v>6.7117834196103602E-3</v>
      </c>
      <c r="J14" s="15">
        <v>3.199379393507245E-3</v>
      </c>
      <c r="K14" s="15">
        <v>9.5212133763109569E-3</v>
      </c>
      <c r="L14" s="15">
        <v>8.8802004093344432E-5</v>
      </c>
      <c r="M14" s="15">
        <v>1.2747024535486495E-2</v>
      </c>
      <c r="O14" s="35">
        <v>2</v>
      </c>
      <c r="P14" s="32">
        <f>F3-SUM(F11:F15)</f>
        <v>-1.1599385805500422</v>
      </c>
    </row>
    <row r="15" spans="1:16" x14ac:dyDescent="0.35">
      <c r="A15" s="5">
        <v>13</v>
      </c>
      <c r="B15" s="5" t="s">
        <v>169</v>
      </c>
      <c r="C15" s="6" t="s">
        <v>8</v>
      </c>
      <c r="D15" s="12">
        <v>2.6592086601850928</v>
      </c>
      <c r="E15" s="15">
        <v>1.9074743144778554</v>
      </c>
      <c r="F15" s="15">
        <v>1.7577646245826541</v>
      </c>
      <c r="G15" s="15">
        <v>0.91975506825772047</v>
      </c>
      <c r="H15" s="15">
        <v>2.4739265995989291E-2</v>
      </c>
      <c r="I15" s="15">
        <v>2.8097449191110818E-2</v>
      </c>
      <c r="J15" s="15">
        <v>1.5968294083391568</v>
      </c>
      <c r="K15" s="15">
        <v>0.97512046936770413</v>
      </c>
      <c r="L15" s="15">
        <v>7.2143977414072993E-3</v>
      </c>
      <c r="M15" s="15">
        <v>1.6218314560821474E-2</v>
      </c>
      <c r="O15" s="35">
        <v>3</v>
      </c>
      <c r="P15" s="32">
        <f>H3-SUM(H11:H15)</f>
        <v>4.1731987650939004</v>
      </c>
    </row>
    <row r="16" spans="1:16" x14ac:dyDescent="0.35">
      <c r="A16" s="5">
        <v>14</v>
      </c>
      <c r="B16" s="5" t="s">
        <v>170</v>
      </c>
      <c r="C16" s="6" t="s">
        <v>8</v>
      </c>
      <c r="D16" s="15">
        <f>(D15/0.58499)*0.41501</f>
        <v>1.8865248740378728</v>
      </c>
      <c r="E16" s="15">
        <f>D16*SQRT((E15/D15)^2+(0.17843/0.58499)^2+(0.17843/0.41501)^2)</f>
        <v>1.6793412199250386</v>
      </c>
      <c r="F16" s="15">
        <f>(F15/0.95928)*0.4072</f>
        <v>0.74614477017143777</v>
      </c>
      <c r="G16" s="15">
        <f>F16*SQRT((G15/F15)^2+(0.30768/0.95928)^2+(0.30768/0.04072)^2)</f>
        <v>5.6564311872057029</v>
      </c>
      <c r="H16" s="15">
        <f>(H15/0.7689925)*0.23100747</f>
        <v>7.4317438042510384E-3</v>
      </c>
      <c r="I16" s="15">
        <f>H16*SQRT((I15/H15)^2+(0.28703/0.76899)^2+(0.28703/0.23101)^2)</f>
        <v>1.2814186761036529E-2</v>
      </c>
      <c r="J16" s="15">
        <f>(J15/0.81303)*0.18697</f>
        <v>0.36721793104457662</v>
      </c>
      <c r="K16" s="15">
        <f>J16*SQRT((K15/J15)^2+(0.22065/0.81303)^2+(0.22065/0.18697)^2)</f>
        <v>0.49802123210338339</v>
      </c>
      <c r="L16" s="15">
        <f>(L15/0.94848)*0.05152</f>
        <v>3.9187518096038299E-4</v>
      </c>
      <c r="M16" s="15">
        <f>L16*SQRT((M15/L15)^2+(0/0.94848)^2+(0/0.05152)^2)</f>
        <v>8.8095433343193558E-4</v>
      </c>
      <c r="O16" s="35">
        <v>4</v>
      </c>
      <c r="P16" s="32">
        <f>J3-SUM(J11:J15)</f>
        <v>-0.85089047770719883</v>
      </c>
    </row>
    <row r="17" spans="1:19" x14ac:dyDescent="0.35">
      <c r="A17" s="5">
        <v>15</v>
      </c>
      <c r="B17" s="5" t="s">
        <v>17</v>
      </c>
      <c r="C17" s="6" t="s">
        <v>8</v>
      </c>
      <c r="D17" s="15">
        <f>(D15+D16) * 0.0144398</f>
        <v>6.5639483087472777E-2</v>
      </c>
      <c r="E17" s="15">
        <f>D17*SQRT((SQRT((E15)^2+(E16^2))/(D15+D16))^2+(0.00000265298/0.0144398)^2)</f>
        <v>3.6697114340849879E-2</v>
      </c>
      <c r="F17" s="15">
        <f>(F15+F16) * 0.02786716</f>
        <v>6.977684372911544E-2</v>
      </c>
      <c r="G17" s="15">
        <f>F17*SQRT((SQRT((G15)^2+(G16^2))/(F15+F16))^2+(6.398304E-19/0.02786716)^2)</f>
        <v>0.15969891897698574</v>
      </c>
      <c r="H17" s="15">
        <f>(H15+H16) * 0.08979186</f>
        <v>2.8886948080418078E-3</v>
      </c>
      <c r="I17" s="15">
        <f>H17*SQRT((SQRT((I15)^2+(I16^2))/(H15+H16))^2+(0/0.08979186)^2)</f>
        <v>2.7729116731506714E-3</v>
      </c>
      <c r="J17" s="15">
        <f>(J15+J16) * 0.0366902</f>
        <v>7.2061289691457059E-2</v>
      </c>
      <c r="K17" s="15">
        <f>J17*SQRT((SQRT((K15)^2+(K16^2))/(J15+J16))^2+(0/0.0366902)^2)</f>
        <v>4.0173424736185466E-2</v>
      </c>
      <c r="L17" s="15">
        <f>(L15+L16) * 0.02808958</f>
        <v>2.136570117546808E-4</v>
      </c>
      <c r="M17" s="15">
        <f>L17*SQRT((SQRT((M15)^2+(M16^2))/(L15+L16))^2+(0.0000002335522/0.02808958)^2)</f>
        <v>4.5623722212329037E-4</v>
      </c>
      <c r="O17" s="35">
        <v>5</v>
      </c>
      <c r="P17" s="32">
        <f>L3-SUM(L11:L15)</f>
        <v>-0.15069648005692482</v>
      </c>
    </row>
    <row r="18" spans="1:19" x14ac:dyDescent="0.35">
      <c r="A18" s="5">
        <v>16</v>
      </c>
      <c r="B18" s="5" t="s">
        <v>18</v>
      </c>
      <c r="C18" s="6" t="s">
        <v>8</v>
      </c>
      <c r="D18" s="15">
        <f>(D15+D16) * 0.1836172</f>
        <v>0.83467486350012521</v>
      </c>
      <c r="E18" s="15">
        <f>D18*SQRT((SQRT((E15)^2+(E16^2))/(D15+D16))^2+(0.001733872/0.1836172)^2)</f>
        <v>0.46670882535929636</v>
      </c>
      <c r="F18" s="15">
        <f>(F15+F16) * 0.09318711</f>
        <v>0.23333208019898299</v>
      </c>
      <c r="G18" s="15">
        <f>F18*SQRT((SQRT((G15)^2+(G16^2))/(F15+F16))^2+(0.0006530248/0.09318711)^2)</f>
        <v>0.53403183128280451</v>
      </c>
      <c r="H18" s="15">
        <f>(H15+H16) * 0.0004796753</f>
        <v>1.5431638777233221E-5</v>
      </c>
      <c r="I18" s="15">
        <f>H18*SQRT((SQRT((I15)^2+(I16^2))/(H15+H16))^2+(0.00001015141/0.0004796753)^2)</f>
        <v>1.4816715596507647E-5</v>
      </c>
      <c r="J18" s="15">
        <f>(J15+J16) * 0.000004663878</f>
        <v>9.160077177110328E-6</v>
      </c>
      <c r="K18" s="15">
        <f>J18*SQRT((SQRT((K15)^2+(K16^2))/(J15+J16))^2+(0/0.000004663878)^2)</f>
        <v>5.1066484186990305E-6</v>
      </c>
      <c r="L18" s="15">
        <f>(L15+L16) * 0.09488286</f>
        <v>7.2170492881480359E-4</v>
      </c>
      <c r="M18" s="15">
        <f>L18*SQRT((SQRT((M15)^2+(M16^2))/(L15+L16))^2+(0.000609438/0.09488286)^2)</f>
        <v>1.5411155419658771E-3</v>
      </c>
    </row>
    <row r="19" spans="1:19" x14ac:dyDescent="0.35">
      <c r="A19" s="5">
        <v>17</v>
      </c>
      <c r="B19" s="5" t="s">
        <v>161</v>
      </c>
      <c r="C19" s="6" t="s">
        <v>8</v>
      </c>
      <c r="D19" s="15">
        <f>(D15+D16) * 0.8019303</f>
        <v>3.645361456819483</v>
      </c>
      <c r="E19" s="15">
        <f>D19*SQRT((SQRT((E15)^2+(E16^2))/(D15+D16))^2+(0.001733677/0.8019303)^2)</f>
        <v>2.0380300520516972</v>
      </c>
      <c r="F19" s="15">
        <f>(F15+F16) * 0.8789064</f>
        <v>2.2007019920694977</v>
      </c>
      <c r="G19" s="15">
        <f>F19*SQRT((SQRT((G15)^2+(G16^2))/(F15+F16))^2+(0.0006530248/0.8789064)^2)</f>
        <v>5.0367676274917379</v>
      </c>
      <c r="H19" s="15">
        <f>(H15+H16) * 0.9097285</f>
        <v>2.926688448905794E-2</v>
      </c>
      <c r="I19" s="15">
        <f>H19*SQRT((SQRT((I15)^2+(I16^2))/(H15+H16))^2+(0.00001015141/0.9097285)^2)</f>
        <v>2.8093824732200599E-2</v>
      </c>
      <c r="J19" s="15">
        <f>(J15+J16) * 0.9633051</f>
        <v>1.8919768186697814</v>
      </c>
      <c r="K19" s="15">
        <f>J19*SQRT((SQRT((K15)^2+(K16^2))/(J15+J16))^2+(0/0.9633051)^2)</f>
        <v>1.0547575356044288</v>
      </c>
      <c r="L19" s="15">
        <f>(L15+L16) * 0.8769906</f>
        <v>6.6706298539509863E-3</v>
      </c>
      <c r="M19" s="15">
        <f>L19*SQRT((SQRT((M15)^2+(M16^2))/(L15+L16))^2+(0.0006094337/0.8769906)^2)</f>
        <v>1.4244277641613269E-2</v>
      </c>
    </row>
    <row r="20" spans="1:19" x14ac:dyDescent="0.35">
      <c r="A20" s="5">
        <v>18</v>
      </c>
      <c r="B20" s="5" t="s">
        <v>162</v>
      </c>
      <c r="C20" s="6" t="s">
        <v>8</v>
      </c>
      <c r="D20" s="15">
        <v>0.95731511766663324</v>
      </c>
      <c r="E20" s="15">
        <v>0.6866907532120281</v>
      </c>
      <c r="F20" s="15">
        <v>0.63279526484975535</v>
      </c>
      <c r="G20" s="15">
        <v>0.33111182457277949</v>
      </c>
      <c r="H20" s="15">
        <v>8.906135758556144E-3</v>
      </c>
      <c r="I20" s="15">
        <v>1.0115081708799895E-2</v>
      </c>
      <c r="J20" s="15">
        <v>0.57485858700209647</v>
      </c>
      <c r="K20" s="15">
        <v>0.35104336897237348</v>
      </c>
      <c r="L20" s="15">
        <v>2.5971831869066281E-3</v>
      </c>
      <c r="M20" s="15">
        <v>5.8385932418957313E-3</v>
      </c>
    </row>
    <row r="21" spans="1:19" x14ac:dyDescent="0.35">
      <c r="A21" s="5">
        <v>19</v>
      </c>
      <c r="B21" s="5" t="s">
        <v>178</v>
      </c>
      <c r="C21" s="6" t="s">
        <v>8</v>
      </c>
      <c r="D21" s="15">
        <v>0.7685139653165618</v>
      </c>
      <c r="E21" s="15">
        <v>0.15497850567849536</v>
      </c>
      <c r="F21" s="15">
        <v>0.51195866101729559</v>
      </c>
      <c r="G21" s="15">
        <v>0.17726619239998903</v>
      </c>
      <c r="H21" s="15">
        <v>0.82093159034171903</v>
      </c>
      <c r="I21" s="15">
        <v>0.18646460250648508</v>
      </c>
      <c r="J21" s="15">
        <v>0.73073093882389928</v>
      </c>
      <c r="K21" s="15">
        <v>0.19985947417252783</v>
      </c>
      <c r="L21" s="15">
        <v>0.44078466938784061</v>
      </c>
      <c r="M21" s="15">
        <v>0.10558124978639725</v>
      </c>
    </row>
    <row r="22" spans="1:19" x14ac:dyDescent="0.35">
      <c r="A22" s="5">
        <v>20</v>
      </c>
      <c r="B22" s="5" t="s">
        <v>236</v>
      </c>
      <c r="C22" s="6" t="s">
        <v>179</v>
      </c>
      <c r="D22" s="15">
        <v>5.8469953561643855E-2</v>
      </c>
      <c r="E22" s="15">
        <v>2.9234976780821927E-2</v>
      </c>
      <c r="F22" s="15">
        <v>3.0570928150684937E-2</v>
      </c>
      <c r="G22" s="15">
        <v>1.5285464075342469E-2</v>
      </c>
      <c r="H22" s="15">
        <v>8.6478871849315089E-2</v>
      </c>
      <c r="I22" s="15">
        <v>4.3239435924657545E-2</v>
      </c>
      <c r="J22" s="15">
        <v>4.2115578698630148E-2</v>
      </c>
      <c r="K22" s="15">
        <v>2.1057789349315074E-2</v>
      </c>
      <c r="L22" s="15">
        <v>7.48631782191781E-3</v>
      </c>
      <c r="M22" s="15">
        <v>3.743158910958905E-3</v>
      </c>
      <c r="O22" s="32">
        <f>SUM(D22,D23:D27)</f>
        <v>0.21638658990101789</v>
      </c>
      <c r="P22" s="32">
        <f>SUM(F22:F27)</f>
        <v>0.12837551592708654</v>
      </c>
      <c r="Q22" s="32">
        <f>SUM(H22:H27)</f>
        <v>0.10265041982598323</v>
      </c>
      <c r="R22" s="32">
        <f>SUM(J22:J27)</f>
        <v>0.14044903415218385</v>
      </c>
      <c r="S22" s="32">
        <f>SUM(L22:L27)</f>
        <v>1.7040950294805127E-2</v>
      </c>
    </row>
    <row r="23" spans="1:19" x14ac:dyDescent="0.35">
      <c r="A23" s="5">
        <v>21</v>
      </c>
      <c r="B23" s="5" t="s">
        <v>237</v>
      </c>
      <c r="C23" s="6" t="s">
        <v>179</v>
      </c>
      <c r="D23" s="15">
        <v>1.3413622780380028E-3</v>
      </c>
      <c r="E23" s="15">
        <v>6.706811390190014E-4</v>
      </c>
      <c r="F23" s="15">
        <v>4.429099185152453E-3</v>
      </c>
      <c r="G23" s="15">
        <v>2.2145495925762265E-3</v>
      </c>
      <c r="H23" s="15">
        <v>2.6256932765355728E-3</v>
      </c>
      <c r="I23" s="15">
        <v>1.3128466382677864E-3</v>
      </c>
      <c r="J23" s="15">
        <v>1.2998957758727355E-3</v>
      </c>
      <c r="K23" s="15">
        <v>6.4994788793636777E-4</v>
      </c>
      <c r="L23" s="15">
        <v>6.7505401495360148E-3</v>
      </c>
      <c r="M23" s="15">
        <v>3.3752700747680074E-3</v>
      </c>
    </row>
    <row r="24" spans="1:19" x14ac:dyDescent="0.35">
      <c r="A24" s="5">
        <v>22</v>
      </c>
      <c r="B24" s="5" t="s">
        <v>238</v>
      </c>
      <c r="C24" s="6" t="s">
        <v>179</v>
      </c>
      <c r="D24" s="15">
        <v>2.1795859038798056E-2</v>
      </c>
      <c r="E24" s="15">
        <v>1.0897929519399028E-2</v>
      </c>
      <c r="F24" s="15">
        <v>1.7501117771453824E-2</v>
      </c>
      <c r="G24" s="15">
        <v>8.7505588857269122E-3</v>
      </c>
      <c r="H24" s="15">
        <v>1.2697540547591694E-2</v>
      </c>
      <c r="I24" s="15">
        <v>6.3487702737958472E-3</v>
      </c>
      <c r="J24" s="15">
        <v>6.9954703667697744E-3</v>
      </c>
      <c r="K24" s="15">
        <v>3.4977351833848872E-3</v>
      </c>
      <c r="L24" s="15">
        <v>2.001868019443211E-4</v>
      </c>
      <c r="M24" s="15">
        <v>1.0009340097216055E-4</v>
      </c>
    </row>
    <row r="25" spans="1:19" x14ac:dyDescent="0.35">
      <c r="A25" s="5">
        <v>23</v>
      </c>
      <c r="B25" s="5" t="s">
        <v>239</v>
      </c>
      <c r="C25" s="6" t="s">
        <v>179</v>
      </c>
      <c r="D25" s="15">
        <v>1.8041689080477243E-3</v>
      </c>
      <c r="E25" s="15">
        <v>9.0208445402386217E-4</v>
      </c>
      <c r="F25" s="15">
        <v>7.4452092781617334E-5</v>
      </c>
      <c r="G25" s="15">
        <v>3.7226046390808667E-5</v>
      </c>
      <c r="H25" s="15">
        <v>1.9958218011489175E-6</v>
      </c>
      <c r="I25" s="15">
        <v>9.9791090057445875E-7</v>
      </c>
      <c r="J25" s="15">
        <v>1.8840562170570043E-4</v>
      </c>
      <c r="K25" s="15">
        <v>9.4202810852850213E-5</v>
      </c>
      <c r="L25" s="15">
        <v>1.810573036146708E-3</v>
      </c>
      <c r="M25" s="15">
        <v>9.0528651807335401E-4</v>
      </c>
    </row>
    <row r="26" spans="1:19" x14ac:dyDescent="0.35">
      <c r="A26" s="5">
        <v>24</v>
      </c>
      <c r="B26" s="5" t="s">
        <v>240</v>
      </c>
      <c r="C26" s="6" t="s">
        <v>179</v>
      </c>
      <c r="D26" s="15">
        <v>0.13278426182079164</v>
      </c>
      <c r="E26" s="15">
        <v>6.6392130910395822E-2</v>
      </c>
      <c r="F26" s="15">
        <v>6.761319177468493E-2</v>
      </c>
      <c r="G26" s="15">
        <v>3.3806595887342465E-2</v>
      </c>
      <c r="H26" s="15">
        <v>6.3513703101369858E-4</v>
      </c>
      <c r="I26" s="15">
        <v>3.1756851550684929E-4</v>
      </c>
      <c r="J26" s="15">
        <v>8.9283059864547959E-2</v>
      </c>
      <c r="K26" s="15">
        <v>4.4641529932273979E-2</v>
      </c>
      <c r="L26" s="15">
        <v>3.8182327758904116E-4</v>
      </c>
      <c r="M26" s="15">
        <v>1.9091163879452058E-4</v>
      </c>
    </row>
    <row r="27" spans="1:19" x14ac:dyDescent="0.35">
      <c r="A27" s="5">
        <v>25</v>
      </c>
      <c r="B27" s="5" t="s">
        <v>241</v>
      </c>
      <c r="C27" s="6" t="s">
        <v>179</v>
      </c>
      <c r="D27" s="15">
        <v>1.9098429369863014E-4</v>
      </c>
      <c r="E27" s="15">
        <v>9.549214684931507E-5</v>
      </c>
      <c r="F27" s="15">
        <v>8.1867269523287663E-3</v>
      </c>
      <c r="G27" s="15">
        <v>4.0933634761643831E-3</v>
      </c>
      <c r="H27" s="15">
        <v>2.1118129972602737E-4</v>
      </c>
      <c r="I27" s="15">
        <v>1.0559064986301369E-4</v>
      </c>
      <c r="J27" s="15">
        <v>5.6662382465753425E-4</v>
      </c>
      <c r="K27" s="15">
        <v>2.8331191232876712E-4</v>
      </c>
      <c r="L27" s="15">
        <v>4.1150920767123292E-4</v>
      </c>
      <c r="M27" s="15">
        <v>2.0575460383561646E-4</v>
      </c>
    </row>
    <row r="28" spans="1:19" x14ac:dyDescent="0.35">
      <c r="A28" s="5">
        <v>26</v>
      </c>
      <c r="B28" s="5" t="s">
        <v>242</v>
      </c>
      <c r="C28" s="6" t="s">
        <v>179</v>
      </c>
      <c r="D28" s="15">
        <v>1.109128195006016E-2</v>
      </c>
      <c r="E28" s="15">
        <v>5.5456409750300802E-3</v>
      </c>
      <c r="F28" s="15">
        <v>1.1066583190778584E-2</v>
      </c>
      <c r="G28" s="15">
        <v>5.5332915953892918E-3</v>
      </c>
      <c r="H28" s="15">
        <v>9.2192534159415591E-3</v>
      </c>
      <c r="I28" s="15">
        <v>4.6096267079707796E-3</v>
      </c>
      <c r="J28" s="15">
        <v>8.5263110275611391E-3</v>
      </c>
      <c r="K28" s="15">
        <v>4.2631555137805695E-3</v>
      </c>
      <c r="L28" s="15">
        <v>3.7655898540716348E-3</v>
      </c>
      <c r="M28" s="15">
        <v>1.8827949270358174E-3</v>
      </c>
    </row>
    <row r="29" spans="1:19" x14ac:dyDescent="0.35">
      <c r="A29" s="5">
        <v>27</v>
      </c>
      <c r="B29" s="5" t="s">
        <v>243</v>
      </c>
      <c r="C29" s="6" t="s">
        <v>179</v>
      </c>
      <c r="D29" s="15">
        <v>2.0805138173398143E-3</v>
      </c>
      <c r="E29" s="15">
        <v>1.0402569086699071E-3</v>
      </c>
      <c r="F29" s="15">
        <v>1.6705612418205923E-3</v>
      </c>
      <c r="G29" s="15">
        <v>8.3528062091029615E-4</v>
      </c>
      <c r="H29" s="15">
        <v>1.2120379613610253E-3</v>
      </c>
      <c r="I29" s="15">
        <v>6.0601898068051265E-4</v>
      </c>
      <c r="J29" s="15">
        <v>6.6774944410075122E-4</v>
      </c>
      <c r="K29" s="15">
        <v>3.3387472205037561E-4</v>
      </c>
      <c r="L29" s="15">
        <v>1.9108740185594285E-5</v>
      </c>
      <c r="M29" s="15">
        <v>9.5543700927971426E-6</v>
      </c>
    </row>
    <row r="30" spans="1:19" x14ac:dyDescent="0.35">
      <c r="A30" s="5">
        <v>28</v>
      </c>
      <c r="B30" s="5" t="s">
        <v>244</v>
      </c>
      <c r="C30" s="6" t="s">
        <v>179</v>
      </c>
      <c r="D30" s="15">
        <v>1.7221612304091913E-4</v>
      </c>
      <c r="E30" s="15">
        <v>8.6108061520459567E-5</v>
      </c>
      <c r="F30" s="15">
        <v>7.106790674608927E-6</v>
      </c>
      <c r="G30" s="15">
        <v>3.5533953373044635E-6</v>
      </c>
      <c r="H30" s="15">
        <v>1.9051026283694211E-7</v>
      </c>
      <c r="I30" s="15">
        <v>9.5255131418471056E-8</v>
      </c>
      <c r="J30" s="15">
        <v>1.7984172980998678E-5</v>
      </c>
      <c r="K30" s="15">
        <v>8.9920864904993392E-6</v>
      </c>
      <c r="L30" s="15">
        <v>1.7282742617764031E-4</v>
      </c>
      <c r="M30" s="15">
        <v>8.6413713088820157E-5</v>
      </c>
    </row>
    <row r="31" spans="1:19" x14ac:dyDescent="0.35">
      <c r="A31" s="5">
        <v>29</v>
      </c>
      <c r="B31" s="5" t="s">
        <v>245</v>
      </c>
      <c r="C31" s="6" t="s">
        <v>179</v>
      </c>
      <c r="D31" s="15">
        <v>7.3086394143315289E-2</v>
      </c>
      <c r="E31" s="15">
        <v>3.6543197071657645E-2</v>
      </c>
      <c r="F31" s="15">
        <v>3.7215286778499973E-2</v>
      </c>
      <c r="G31" s="15">
        <v>1.8607643389249987E-2</v>
      </c>
      <c r="H31" s="15">
        <v>3.4958868428497543E-4</v>
      </c>
      <c r="I31" s="15">
        <v>1.7479434214248772E-4</v>
      </c>
      <c r="J31" s="15">
        <v>4.9142698194070224E-2</v>
      </c>
      <c r="K31" s="15">
        <v>2.4571349097035112E-2</v>
      </c>
      <c r="L31" s="15">
        <v>2.1016110024113979E-4</v>
      </c>
      <c r="M31" s="15">
        <v>1.050805501205699E-4</v>
      </c>
    </row>
    <row r="32" spans="1:19" x14ac:dyDescent="0.35">
      <c r="A32" s="5">
        <v>30</v>
      </c>
      <c r="B32" s="5" t="s">
        <v>246</v>
      </c>
      <c r="C32" s="6" t="s">
        <v>179</v>
      </c>
      <c r="D32" s="15">
        <v>1.0512054043934248E-4</v>
      </c>
      <c r="E32" s="15">
        <v>5.2560270219671242E-5</v>
      </c>
      <c r="F32" s="15">
        <v>4.506093904329809E-3</v>
      </c>
      <c r="G32" s="15">
        <v>2.2530469521649045E-3</v>
      </c>
      <c r="H32" s="15">
        <v>1.1623726709649316E-4</v>
      </c>
      <c r="I32" s="15">
        <v>5.8118633548246581E-5</v>
      </c>
      <c r="J32" s="15">
        <v>3.1187801635561648E-4</v>
      </c>
      <c r="K32" s="15">
        <v>1.5593900817780824E-4</v>
      </c>
      <c r="L32" s="15">
        <v>2.2650066907819183E-4</v>
      </c>
      <c r="M32" s="15">
        <v>1.1325033453909592E-4</v>
      </c>
    </row>
    <row r="33" spans="1:13" x14ac:dyDescent="0.35">
      <c r="A33" s="5">
        <v>31</v>
      </c>
      <c r="B33" s="5" t="s">
        <v>247</v>
      </c>
      <c r="C33" s="6" t="s">
        <v>179</v>
      </c>
      <c r="D33" s="15">
        <v>6.2117203563088613E-3</v>
      </c>
      <c r="E33" s="15">
        <v>3.1058601781544307E-3</v>
      </c>
      <c r="F33" s="15">
        <v>3.2477887382732231E-3</v>
      </c>
      <c r="G33" s="15">
        <v>1.6238943691366115E-3</v>
      </c>
      <c r="H33" s="15">
        <v>9.1873267539142756E-3</v>
      </c>
      <c r="I33" s="15">
        <v>4.5936633769571378E-3</v>
      </c>
      <c r="J33" s="15">
        <v>4.4742672361488657E-3</v>
      </c>
      <c r="K33" s="15">
        <v>2.2371336180744329E-3</v>
      </c>
      <c r="L33" s="15">
        <v>7.9533007939158816E-4</v>
      </c>
      <c r="M33" s="15">
        <v>3.9766503969579408E-4</v>
      </c>
    </row>
    <row r="34" spans="1:13" x14ac:dyDescent="0.35">
      <c r="A34" s="5">
        <v>32</v>
      </c>
      <c r="B34" s="5" t="s">
        <v>248</v>
      </c>
      <c r="C34" s="6" t="s">
        <v>179</v>
      </c>
      <c r="D34" s="15">
        <v>4.3431282429880696E-4</v>
      </c>
      <c r="E34" s="15">
        <v>2.1715641214940348E-4</v>
      </c>
      <c r="F34" s="15">
        <v>1.4340753483963766E-3</v>
      </c>
      <c r="G34" s="15">
        <v>7.1703767419818828E-4</v>
      </c>
      <c r="H34" s="15">
        <v>8.5015978259248795E-4</v>
      </c>
      <c r="I34" s="15">
        <v>4.2507989129624398E-4</v>
      </c>
      <c r="J34" s="15">
        <v>4.2088659786911184E-4</v>
      </c>
      <c r="K34" s="15">
        <v>2.1044329893455592E-4</v>
      </c>
      <c r="L34" s="15">
        <v>2.185722832593637E-3</v>
      </c>
      <c r="M34" s="15">
        <v>1.0928614162968185E-3</v>
      </c>
    </row>
    <row r="35" spans="1:13" x14ac:dyDescent="0.35">
      <c r="A35" s="5">
        <v>33</v>
      </c>
      <c r="B35" s="5" t="s">
        <v>249</v>
      </c>
      <c r="C35" s="6" t="s">
        <v>179</v>
      </c>
      <c r="D35" s="15">
        <v>7.0571696044749452E-3</v>
      </c>
      <c r="E35" s="15">
        <v>3.5285848022374726E-3</v>
      </c>
      <c r="F35" s="15">
        <v>5.6665973183799385E-3</v>
      </c>
      <c r="G35" s="15">
        <v>2.8332986591899693E-3</v>
      </c>
      <c r="H35" s="15">
        <v>4.1112716431384007E-3</v>
      </c>
      <c r="I35" s="15">
        <v>2.0556358215692004E-3</v>
      </c>
      <c r="J35" s="15">
        <v>2.2650275336014141E-3</v>
      </c>
      <c r="K35" s="15">
        <v>1.1325137668007071E-3</v>
      </c>
      <c r="L35" s="15">
        <v>6.4817459655236223E-5</v>
      </c>
      <c r="M35" s="15">
        <v>3.2408729827618111E-5</v>
      </c>
    </row>
    <row r="36" spans="1:13" x14ac:dyDescent="0.35">
      <c r="A36" s="5">
        <v>34</v>
      </c>
      <c r="B36" s="5" t="s">
        <v>250</v>
      </c>
      <c r="C36" s="6" t="s">
        <v>179</v>
      </c>
      <c r="D36" s="15">
        <v>5.8416261348308307E-4</v>
      </c>
      <c r="E36" s="15">
        <v>2.9208130674154153E-4</v>
      </c>
      <c r="F36" s="15">
        <v>2.4106461930805041E-5</v>
      </c>
      <c r="G36" s="15">
        <v>1.2053230965402521E-5</v>
      </c>
      <c r="H36" s="15">
        <v>6.4621692248718522E-7</v>
      </c>
      <c r="I36" s="15">
        <v>3.2310846124359261E-7</v>
      </c>
      <c r="J36" s="15">
        <v>6.1002891624821044E-5</v>
      </c>
      <c r="K36" s="15">
        <v>3.0501445812410522E-5</v>
      </c>
      <c r="L36" s="15">
        <v>5.8623617333144063E-4</v>
      </c>
      <c r="M36" s="15">
        <v>2.9311808666572032E-4</v>
      </c>
    </row>
    <row r="37" spans="1:13" x14ac:dyDescent="0.35">
      <c r="A37" s="5">
        <v>35</v>
      </c>
      <c r="B37" s="5" t="s">
        <v>251</v>
      </c>
      <c r="C37" s="6" t="s">
        <v>179</v>
      </c>
      <c r="D37" s="15">
        <v>6.6107474649117495E-2</v>
      </c>
      <c r="E37" s="15">
        <v>3.3053737324558748E-2</v>
      </c>
      <c r="F37" s="15">
        <v>3.3661650107475481E-2</v>
      </c>
      <c r="G37" s="15">
        <v>1.6830825053737741E-2</v>
      </c>
      <c r="H37" s="15">
        <v>3.1620694049661367E-4</v>
      </c>
      <c r="I37" s="15">
        <v>1.5810347024830683E-4</v>
      </c>
      <c r="J37" s="15">
        <v>4.445012937268935E-2</v>
      </c>
      <c r="K37" s="15">
        <v>2.2225064686344675E-2</v>
      </c>
      <c r="L37" s="15">
        <v>1.9009310514318903E-4</v>
      </c>
      <c r="M37" s="15">
        <v>9.5046552571594517E-5</v>
      </c>
    </row>
    <row r="38" spans="1:13" x14ac:dyDescent="0.35">
      <c r="A38" s="5">
        <v>36</v>
      </c>
      <c r="B38" s="5" t="s">
        <v>252</v>
      </c>
      <c r="C38" s="6" t="s">
        <v>179</v>
      </c>
      <c r="D38" s="11">
        <v>9.5082724269698613E-5</v>
      </c>
      <c r="E38" s="11">
        <v>4.7541362134849307E-5</v>
      </c>
      <c r="F38" s="11">
        <v>4.0758131802603277E-3</v>
      </c>
      <c r="G38" s="11">
        <v>2.0379065901301638E-3</v>
      </c>
      <c r="H38" s="11">
        <v>1.0513792995172601E-4</v>
      </c>
      <c r="I38" s="11">
        <v>5.2568964975863005E-5</v>
      </c>
      <c r="J38" s="11">
        <v>2.8209721250465751E-4</v>
      </c>
      <c r="K38" s="11">
        <v>1.4104860625232876E-4</v>
      </c>
      <c r="L38" s="11">
        <v>2.0487243097167123E-4</v>
      </c>
      <c r="M38" s="11">
        <v>1.0243621548583562E-4</v>
      </c>
    </row>
    <row r="40" spans="1:13" ht="26" x14ac:dyDescent="0.6">
      <c r="A40" s="7" t="s">
        <v>19</v>
      </c>
      <c r="B40" s="8"/>
      <c r="C40" s="8"/>
      <c r="D40" s="13"/>
    </row>
    <row r="41" spans="1:13" x14ac:dyDescent="0.35">
      <c r="A41" s="9">
        <v>1</v>
      </c>
      <c r="B41" s="9" t="s">
        <v>20</v>
      </c>
      <c r="C41" s="10" t="s">
        <v>21</v>
      </c>
      <c r="D41" s="17">
        <v>10.240493000000001</v>
      </c>
      <c r="E41" s="17">
        <v>0.58962110000000001</v>
      </c>
      <c r="F41" s="17">
        <v>9.8974919999999997</v>
      </c>
      <c r="G41" s="17">
        <v>0.41121180000000002</v>
      </c>
      <c r="H41" s="17">
        <v>13.090223999999999</v>
      </c>
      <c r="I41" s="17">
        <v>0.32739249999999998</v>
      </c>
      <c r="J41" s="17">
        <v>12.122057</v>
      </c>
      <c r="K41" s="17">
        <v>0.59165129999999999</v>
      </c>
      <c r="L41" s="17">
        <v>10.688394000000001</v>
      </c>
      <c r="M41" s="17">
        <v>0.57504809999999995</v>
      </c>
    </row>
    <row r="42" spans="1:13" x14ac:dyDescent="0.35">
      <c r="A42" s="9">
        <v>2</v>
      </c>
      <c r="B42" s="9" t="s">
        <v>180</v>
      </c>
      <c r="C42" s="10" t="s">
        <v>21</v>
      </c>
      <c r="D42" s="17">
        <v>9.3974150000000005</v>
      </c>
      <c r="F42" s="17">
        <v>7.9157019999999996</v>
      </c>
      <c r="G42" s="17"/>
      <c r="H42" s="17">
        <v>11.465439</v>
      </c>
      <c r="I42" s="17"/>
      <c r="J42" s="17">
        <v>9.6527419999999999</v>
      </c>
      <c r="K42" s="17"/>
      <c r="L42" s="17">
        <v>7.9416000000000002</v>
      </c>
      <c r="M42" s="17"/>
    </row>
    <row r="43" spans="1:13" x14ac:dyDescent="0.35">
      <c r="A43" s="9">
        <v>3</v>
      </c>
      <c r="B43" s="9" t="s">
        <v>167</v>
      </c>
      <c r="C43" s="10" t="s">
        <v>21</v>
      </c>
      <c r="D43" s="17">
        <v>5.7369500000000002</v>
      </c>
      <c r="E43" s="17"/>
      <c r="F43" s="17">
        <v>2.8820000000000001</v>
      </c>
      <c r="G43" s="17"/>
      <c r="H43" s="17">
        <v>4.9303999999999997</v>
      </c>
      <c r="I43" s="17"/>
      <c r="J43" s="17">
        <v>8.3413350000000008</v>
      </c>
      <c r="K43" s="17"/>
      <c r="L43" s="17">
        <v>1.8084</v>
      </c>
      <c r="M43" s="17"/>
    </row>
    <row r="44" spans="1:13" x14ac:dyDescent="0.35">
      <c r="A44" s="9">
        <v>4</v>
      </c>
      <c r="B44" s="9" t="s">
        <v>200</v>
      </c>
      <c r="C44" s="10" t="s">
        <v>201</v>
      </c>
      <c r="D44" s="17">
        <v>884.26319999999998</v>
      </c>
      <c r="E44" s="17"/>
      <c r="F44" s="17">
        <v>1501.6922999999999</v>
      </c>
      <c r="G44" s="17"/>
      <c r="H44" s="17">
        <v>1046.5</v>
      </c>
      <c r="I44" s="17"/>
      <c r="J44" s="17">
        <v>449.5</v>
      </c>
      <c r="K44" s="17"/>
      <c r="L44" s="17">
        <v>2635.1</v>
      </c>
      <c r="M44" s="17"/>
    </row>
    <row r="45" spans="1:13" x14ac:dyDescent="0.35">
      <c r="A45" s="9">
        <v>5</v>
      </c>
      <c r="B45" s="8" t="s">
        <v>160</v>
      </c>
      <c r="C45" s="10" t="s">
        <v>168</v>
      </c>
      <c r="D45" s="17">
        <v>0.32656759474468966</v>
      </c>
      <c r="E45" s="17">
        <v>0.16437855245034977</v>
      </c>
      <c r="F45" s="17">
        <v>0.31045975717006297</v>
      </c>
      <c r="G45" s="17">
        <v>7.8558799430562487E-2</v>
      </c>
      <c r="H45" s="17">
        <v>7.3162576407054822E-3</v>
      </c>
      <c r="I45" s="17">
        <v>7.0528901977444406E-3</v>
      </c>
      <c r="J45" s="17">
        <v>0.4739057148472583</v>
      </c>
      <c r="K45" s="17">
        <v>0.16146131025564953</v>
      </c>
      <c r="L45" s="17">
        <v>1.9337844944991114E-4</v>
      </c>
      <c r="M45" s="17">
        <v>6.1151635065345418E-4</v>
      </c>
    </row>
    <row r="46" spans="1:13" x14ac:dyDescent="0.35">
      <c r="A46" s="9">
        <v>6</v>
      </c>
      <c r="B46" s="8" t="s">
        <v>22</v>
      </c>
      <c r="C46" s="10" t="s">
        <v>23</v>
      </c>
      <c r="D46" s="16">
        <v>2.4323501781423214</v>
      </c>
      <c r="E46" s="16"/>
      <c r="F46" s="16">
        <v>3.7253041652729526</v>
      </c>
      <c r="G46" s="16"/>
      <c r="H46" s="16">
        <v>4.8385681874089643</v>
      </c>
      <c r="I46" s="16"/>
      <c r="J46" s="16">
        <v>1.393927864036977</v>
      </c>
      <c r="K46" s="16"/>
      <c r="L46" s="16">
        <v>8.6175824554244311</v>
      </c>
      <c r="M46" s="13"/>
    </row>
    <row r="47" spans="1:13" x14ac:dyDescent="0.35">
      <c r="A47" s="9">
        <v>7</v>
      </c>
      <c r="B47" s="8" t="s">
        <v>24</v>
      </c>
      <c r="C47" s="10" t="s">
        <v>23</v>
      </c>
      <c r="D47" s="13">
        <v>8.4716316118609694</v>
      </c>
      <c r="E47" s="16"/>
      <c r="F47" s="13">
        <v>1.1232474425869927</v>
      </c>
      <c r="G47" s="16"/>
      <c r="H47" s="13">
        <v>0.51240455397907148</v>
      </c>
      <c r="I47" s="16"/>
      <c r="J47" s="13">
        <v>0.35273312027826415</v>
      </c>
      <c r="K47" s="16"/>
      <c r="L47" s="13">
        <v>0.46975683323434964</v>
      </c>
      <c r="M47" s="13"/>
    </row>
    <row r="48" spans="1:13" x14ac:dyDescent="0.35">
      <c r="A48" s="9">
        <v>8</v>
      </c>
      <c r="B48" s="8" t="s">
        <v>25</v>
      </c>
      <c r="C48" s="10" t="s">
        <v>23</v>
      </c>
      <c r="D48" s="13">
        <v>5.3577986892343077</v>
      </c>
      <c r="E48" s="16"/>
      <c r="F48" s="13">
        <v>3.4577517436177492</v>
      </c>
      <c r="G48" s="16"/>
      <c r="H48" s="13">
        <v>4.2948952587221045</v>
      </c>
      <c r="I48" s="16"/>
      <c r="J48" s="13">
        <v>3.9405854015456714</v>
      </c>
      <c r="K48" s="16"/>
      <c r="L48" s="13">
        <v>3.0408447155019203</v>
      </c>
      <c r="M48" s="13"/>
    </row>
    <row r="49" spans="1:13" x14ac:dyDescent="0.35">
      <c r="A49" s="9">
        <v>9</v>
      </c>
      <c r="B49" s="8" t="s">
        <v>26</v>
      </c>
      <c r="C49" s="10" t="s">
        <v>23</v>
      </c>
      <c r="D49" s="13">
        <v>0.90800919603657448</v>
      </c>
      <c r="E49" s="16"/>
      <c r="F49" s="13">
        <v>1.1168357740714712</v>
      </c>
      <c r="G49" s="16"/>
      <c r="H49" s="13">
        <v>2.0222311417669885</v>
      </c>
      <c r="I49" s="16"/>
      <c r="J49" s="13">
        <v>1.7585174218494173</v>
      </c>
      <c r="K49" s="16"/>
      <c r="L49" s="13">
        <v>0.81948828811823138</v>
      </c>
      <c r="M49" s="13"/>
    </row>
    <row r="50" spans="1:13" x14ac:dyDescent="0.35">
      <c r="A50" s="9">
        <v>10</v>
      </c>
      <c r="B50" s="8" t="s">
        <v>27</v>
      </c>
      <c r="C50" s="10" t="s">
        <v>23</v>
      </c>
      <c r="D50" s="16">
        <v>1.0521291991626498</v>
      </c>
      <c r="E50" s="16"/>
      <c r="F50" s="16">
        <v>0.20896667907169963</v>
      </c>
      <c r="G50" s="16"/>
      <c r="H50" s="16">
        <v>0.26691986144075114</v>
      </c>
      <c r="I50" s="16"/>
      <c r="J50" s="16">
        <v>2.3268684258918482</v>
      </c>
      <c r="K50" s="16"/>
      <c r="L50" s="16">
        <v>0.55378937264701944</v>
      </c>
      <c r="M50" s="13"/>
    </row>
    <row r="51" spans="1:13" x14ac:dyDescent="0.35">
      <c r="A51" s="9">
        <v>11</v>
      </c>
      <c r="B51" s="8" t="s">
        <v>202</v>
      </c>
      <c r="C51" s="10" t="s">
        <v>23</v>
      </c>
      <c r="D51" s="16">
        <v>9.1791540000000005</v>
      </c>
      <c r="E51" s="16">
        <v>1.2731239999999999</v>
      </c>
      <c r="F51" s="16">
        <v>4.7993069999999998</v>
      </c>
      <c r="G51" s="16">
        <v>9.1301560000000004E-3</v>
      </c>
      <c r="H51" s="16">
        <v>13.576252999999999</v>
      </c>
      <c r="I51" s="16">
        <v>7.2571894810000002</v>
      </c>
      <c r="J51" s="16">
        <v>6.6116929999999998</v>
      </c>
      <c r="K51" s="16">
        <v>1.918613779</v>
      </c>
      <c r="L51" s="16">
        <v>1.1752714</v>
      </c>
      <c r="M51" s="13">
        <v>0.63147409600000004</v>
      </c>
    </row>
    <row r="52" spans="1:13" x14ac:dyDescent="0.35">
      <c r="A52" s="9">
        <v>12</v>
      </c>
      <c r="B52" s="8" t="s">
        <v>30</v>
      </c>
      <c r="C52" s="10" t="s">
        <v>23</v>
      </c>
      <c r="D52" s="16">
        <v>0.23954410000000001</v>
      </c>
      <c r="E52" s="16">
        <v>0.33876650000000003</v>
      </c>
      <c r="F52" s="16">
        <v>0.79096049999999996</v>
      </c>
      <c r="G52" s="16">
        <v>0.74237500000000001</v>
      </c>
      <c r="H52" s="16">
        <v>0.46890340000000003</v>
      </c>
      <c r="I52" s="16">
        <v>0.39759260000000002</v>
      </c>
      <c r="J52" s="16">
        <v>0.23213890000000001</v>
      </c>
      <c r="K52" s="16">
        <v>0.13097990000000001</v>
      </c>
      <c r="L52" s="16">
        <v>1.2055297</v>
      </c>
      <c r="M52" s="13">
        <v>0.85942859999999999</v>
      </c>
    </row>
    <row r="53" spans="1:13" x14ac:dyDescent="0.35">
      <c r="A53" s="9">
        <v>13</v>
      </c>
      <c r="B53" s="8" t="s">
        <v>31</v>
      </c>
      <c r="C53" s="10" t="s">
        <v>23</v>
      </c>
      <c r="D53" s="16">
        <v>4.1319074999999996</v>
      </c>
      <c r="E53" s="16">
        <v>2.6204844</v>
      </c>
      <c r="F53" s="16">
        <v>3.9163573999999999</v>
      </c>
      <c r="G53" s="16">
        <v>2.8763820999999998</v>
      </c>
      <c r="H53" s="16">
        <v>2.7364644999999999</v>
      </c>
      <c r="I53" s="16">
        <v>0.35706339999999998</v>
      </c>
      <c r="J53" s="16">
        <v>1.4814088999999999</v>
      </c>
      <c r="K53" s="16">
        <v>0.62639690000000003</v>
      </c>
      <c r="L53" s="16">
        <v>1.2412795999999999</v>
      </c>
      <c r="M53" s="13">
        <v>0.53054069999999998</v>
      </c>
    </row>
    <row r="54" spans="1:13" x14ac:dyDescent="0.35">
      <c r="A54" s="9">
        <v>14</v>
      </c>
      <c r="B54" s="8" t="s">
        <v>158</v>
      </c>
      <c r="C54" s="10" t="s">
        <v>23</v>
      </c>
      <c r="D54" s="16">
        <v>0.32219335849999997</v>
      </c>
      <c r="E54" s="16"/>
      <c r="F54" s="16">
        <v>1.32958559E-2</v>
      </c>
      <c r="G54" s="16"/>
      <c r="H54" s="16">
        <v>3.5641924999999999E-4</v>
      </c>
      <c r="I54" s="16"/>
      <c r="J54" s="16">
        <v>3.3645979999999999E-2</v>
      </c>
      <c r="K54" s="16"/>
      <c r="L54" s="16">
        <v>0.32333699999999999</v>
      </c>
      <c r="M54" s="37"/>
    </row>
    <row r="55" spans="1:13" x14ac:dyDescent="0.35">
      <c r="A55" s="9">
        <v>15</v>
      </c>
      <c r="B55" s="8" t="s">
        <v>159</v>
      </c>
      <c r="C55" s="10" t="s">
        <v>23</v>
      </c>
      <c r="D55" s="16">
        <v>3.6306909999999998E-2</v>
      </c>
      <c r="E55" s="16"/>
      <c r="F55" s="16">
        <v>1.5563309999999999</v>
      </c>
      <c r="G55" s="16"/>
      <c r="H55" s="16">
        <v>4.0146439999999999E-2</v>
      </c>
      <c r="I55" s="16"/>
      <c r="J55" s="16">
        <v>0.1077176</v>
      </c>
      <c r="K55" s="16"/>
      <c r="L55" s="16">
        <v>7.8229629999999994E-2</v>
      </c>
      <c r="M55" s="37"/>
    </row>
    <row r="56" spans="1:13" x14ac:dyDescent="0.35">
      <c r="A56" s="9">
        <v>16</v>
      </c>
      <c r="B56" s="8" t="s">
        <v>165</v>
      </c>
      <c r="C56" s="10" t="s">
        <v>23</v>
      </c>
      <c r="D56" s="8">
        <v>10.280304567373474</v>
      </c>
      <c r="E56" s="16">
        <v>8.4812444609999993</v>
      </c>
      <c r="F56" s="16">
        <v>3.5113963199999998</v>
      </c>
      <c r="G56" s="16">
        <v>3.2785495619999998</v>
      </c>
      <c r="H56" s="16">
        <v>7.5097617000000005E-2</v>
      </c>
      <c r="I56" s="16">
        <v>9.3705091000000004E-2</v>
      </c>
      <c r="J56" s="16">
        <v>7.6321474839999999</v>
      </c>
      <c r="K56" s="16">
        <v>8.6550229059999992</v>
      </c>
      <c r="L56" s="16">
        <v>1.770607E-3</v>
      </c>
      <c r="M56" s="13">
        <v>4.3370830000000003E-3</v>
      </c>
    </row>
    <row r="57" spans="1:13" x14ac:dyDescent="0.35">
      <c r="A57" s="9">
        <v>17</v>
      </c>
      <c r="B57" s="8" t="s">
        <v>166</v>
      </c>
      <c r="C57" s="10" t="s">
        <v>23</v>
      </c>
      <c r="D57" s="16">
        <v>25.242841439890078</v>
      </c>
      <c r="E57" s="16">
        <v>18.100777572999998</v>
      </c>
      <c r="F57" s="16">
        <v>12.853549478</v>
      </c>
      <c r="G57" s="16">
        <v>15.547954317</v>
      </c>
      <c r="H57" s="16">
        <v>0.120742196</v>
      </c>
      <c r="I57" s="16">
        <v>0.17997648599999999</v>
      </c>
      <c r="J57" s="16">
        <v>16.973081693000001</v>
      </c>
      <c r="K57" s="16">
        <v>11.787042123000001</v>
      </c>
      <c r="L57" s="16">
        <v>7.2586196000000006E-2</v>
      </c>
      <c r="M57" s="13">
        <v>0.15708614900000001</v>
      </c>
    </row>
    <row r="58" spans="1:13" x14ac:dyDescent="0.35">
      <c r="A58" s="9">
        <v>18</v>
      </c>
      <c r="B58" s="8" t="s">
        <v>32</v>
      </c>
      <c r="C58" s="10" t="s">
        <v>23</v>
      </c>
      <c r="D58" s="16">
        <v>5.354917872714231</v>
      </c>
      <c r="E58" s="16"/>
      <c r="F58" s="16">
        <v>5.3429932071880728</v>
      </c>
      <c r="G58" s="16"/>
      <c r="H58" s="16">
        <v>4.451094572511467</v>
      </c>
      <c r="I58" s="16"/>
      <c r="J58" s="16">
        <v>4.116539054311926</v>
      </c>
      <c r="K58" s="16"/>
      <c r="L58" s="16">
        <v>1.8180427205504586</v>
      </c>
    </row>
    <row r="59" spans="1:13" x14ac:dyDescent="0.35">
      <c r="A59" s="9">
        <v>19</v>
      </c>
      <c r="B59" s="8" t="s">
        <v>33</v>
      </c>
      <c r="C59" s="10" t="s">
        <v>23</v>
      </c>
      <c r="D59" s="16">
        <v>1.5578214515930142</v>
      </c>
      <c r="E59" s="16"/>
      <c r="F59" s="16">
        <v>1.3807395753864304</v>
      </c>
      <c r="G59" s="16"/>
      <c r="H59" s="16">
        <v>1.093792666100704</v>
      </c>
      <c r="I59" s="16"/>
      <c r="J59" s="16">
        <v>0.87898105291124362</v>
      </c>
      <c r="K59" s="16"/>
      <c r="L59" s="16">
        <v>0.35441645392681881</v>
      </c>
    </row>
    <row r="60" spans="1:13" x14ac:dyDescent="0.35">
      <c r="A60" s="9">
        <v>20</v>
      </c>
      <c r="B60" s="8" t="s">
        <v>34</v>
      </c>
      <c r="C60" s="10" t="s">
        <v>23</v>
      </c>
      <c r="D60" s="16">
        <v>18.403219989872277</v>
      </c>
      <c r="E60" s="16"/>
      <c r="F60" s="16">
        <v>10.490392913780543</v>
      </c>
      <c r="G60" s="16"/>
      <c r="H60" s="16">
        <v>0.11712693059168898</v>
      </c>
      <c r="I60" s="16"/>
      <c r="J60" s="16">
        <v>12.434821842925722</v>
      </c>
      <c r="K60" s="16"/>
      <c r="L60" s="16">
        <v>0.10979391035521449</v>
      </c>
    </row>
    <row r="61" spans="1:13" x14ac:dyDescent="0.35">
      <c r="A61" s="9">
        <v>21</v>
      </c>
      <c r="B61" s="8" t="s">
        <v>154</v>
      </c>
      <c r="C61" s="10" t="s">
        <v>155</v>
      </c>
      <c r="D61" s="16">
        <v>555.38994216228696</v>
      </c>
      <c r="E61" s="16"/>
      <c r="F61" s="16">
        <v>384.66280015304699</v>
      </c>
      <c r="G61" s="16"/>
      <c r="H61" s="16">
        <v>317.083903009398</v>
      </c>
      <c r="I61" s="16"/>
      <c r="J61" s="16">
        <v>235.54478217396701</v>
      </c>
      <c r="K61" s="16"/>
      <c r="L61" s="16">
        <v>354.50234195540702</v>
      </c>
    </row>
    <row r="62" spans="1:13" x14ac:dyDescent="0.35">
      <c r="A62" s="9">
        <v>22</v>
      </c>
      <c r="B62" s="8" t="s">
        <v>156</v>
      </c>
      <c r="C62" s="10" t="s">
        <v>155</v>
      </c>
      <c r="D62" s="16">
        <v>1679.9187908255799</v>
      </c>
      <c r="E62" s="16"/>
      <c r="F62" s="16">
        <v>524.29391895270601</v>
      </c>
      <c r="G62" s="16"/>
      <c r="H62" s="16">
        <v>436.082019537897</v>
      </c>
      <c r="I62" s="16"/>
      <c r="J62" s="16">
        <v>308.87667068271998</v>
      </c>
      <c r="K62" s="16"/>
      <c r="L62" s="16">
        <v>627.79010109917101</v>
      </c>
    </row>
    <row r="63" spans="1:13" x14ac:dyDescent="0.35">
      <c r="A63" s="9">
        <v>23</v>
      </c>
      <c r="B63" s="8" t="s">
        <v>157</v>
      </c>
      <c r="C63" s="10" t="s">
        <v>155</v>
      </c>
      <c r="D63" s="16">
        <v>11749.864845948199</v>
      </c>
      <c r="E63" s="16"/>
      <c r="F63" s="16">
        <v>8239.8320490517999</v>
      </c>
      <c r="G63" s="16"/>
      <c r="H63" s="16">
        <v>10570.128463663599</v>
      </c>
      <c r="I63" s="16"/>
      <c r="J63" s="16">
        <v>23363.7795992069</v>
      </c>
      <c r="K63" s="16"/>
      <c r="L63" s="16">
        <v>11056.7363182476</v>
      </c>
    </row>
    <row r="64" spans="1:13" x14ac:dyDescent="0.35">
      <c r="A64" s="9">
        <v>24</v>
      </c>
      <c r="B64" s="8" t="s">
        <v>36</v>
      </c>
      <c r="C64" s="10" t="s">
        <v>37</v>
      </c>
      <c r="D64" s="13">
        <v>7.5640000000000004E-3</v>
      </c>
      <c r="E64" s="16"/>
      <c r="F64" s="13">
        <v>7.5640000000000004E-3</v>
      </c>
      <c r="G64" s="16"/>
      <c r="H64" s="13">
        <v>7.5640000000000004E-3</v>
      </c>
      <c r="I64" s="16"/>
      <c r="J64" s="13">
        <v>7.5640000000000004E-3</v>
      </c>
      <c r="K64" s="16"/>
      <c r="L64" s="13">
        <v>7.5640000000000004E-3</v>
      </c>
    </row>
    <row r="65" spans="1:13" x14ac:dyDescent="0.35">
      <c r="A65" s="9">
        <v>25</v>
      </c>
      <c r="B65" s="8" t="s">
        <v>38</v>
      </c>
      <c r="C65" s="10" t="s">
        <v>37</v>
      </c>
      <c r="D65" s="16">
        <v>0.46887499999999999</v>
      </c>
      <c r="E65" s="16"/>
      <c r="F65" s="16">
        <v>0.46887499999999999</v>
      </c>
      <c r="G65" s="16"/>
      <c r="H65" s="16">
        <v>0.46887499999999999</v>
      </c>
      <c r="I65" s="16"/>
      <c r="J65" s="16">
        <v>0.46887499999999999</v>
      </c>
      <c r="K65" s="16"/>
      <c r="L65" s="16">
        <v>0.46887499999999999</v>
      </c>
    </row>
    <row r="66" spans="1:13" x14ac:dyDescent="0.35">
      <c r="A66" s="9">
        <v>26</v>
      </c>
      <c r="B66" s="8" t="s">
        <v>150</v>
      </c>
      <c r="C66" s="10" t="s">
        <v>37</v>
      </c>
      <c r="D66" s="16">
        <v>0.96186859999999996</v>
      </c>
      <c r="E66" s="18"/>
      <c r="F66" s="16">
        <v>0.54815100000000005</v>
      </c>
      <c r="G66" s="16"/>
      <c r="H66" s="16">
        <v>2.8122100000000001E-2</v>
      </c>
      <c r="I66" s="16"/>
      <c r="J66" s="16">
        <v>0.75654580000000005</v>
      </c>
      <c r="K66" s="16"/>
      <c r="L66" s="16">
        <v>1.7015480000000001</v>
      </c>
    </row>
    <row r="67" spans="1:13" x14ac:dyDescent="0.35">
      <c r="A67" s="9">
        <v>27</v>
      </c>
      <c r="B67" s="8" t="s">
        <v>151</v>
      </c>
      <c r="C67" s="10" t="s">
        <v>37</v>
      </c>
      <c r="D67" s="16">
        <v>1.21023E-2</v>
      </c>
      <c r="E67" s="18"/>
      <c r="F67" s="16">
        <v>0.51877689999999999</v>
      </c>
      <c r="G67" s="16"/>
      <c r="H67" s="16">
        <v>1.3382150000000001E-2</v>
      </c>
      <c r="I67" s="16"/>
      <c r="J67" s="16">
        <v>3.5905859999999998E-2</v>
      </c>
      <c r="K67" s="16"/>
      <c r="L67" s="16">
        <v>2.6076539999999999E-2</v>
      </c>
    </row>
    <row r="68" spans="1:13" x14ac:dyDescent="0.35">
      <c r="A68" s="9">
        <v>28</v>
      </c>
      <c r="B68" s="8" t="s">
        <v>235</v>
      </c>
      <c r="C68" s="10" t="s">
        <v>37</v>
      </c>
      <c r="D68" s="16">
        <v>1.1365681939127792</v>
      </c>
      <c r="E68" s="18"/>
      <c r="F68" s="16">
        <v>2.37664373529313</v>
      </c>
      <c r="G68" s="16"/>
      <c r="H68" s="16">
        <v>1.5945618649858171</v>
      </c>
      <c r="I68" s="16"/>
      <c r="J68" s="16">
        <v>20.549279036435077</v>
      </c>
      <c r="K68" s="16"/>
      <c r="L68" s="16">
        <v>1.5945618649858171</v>
      </c>
    </row>
    <row r="69" spans="1:13" x14ac:dyDescent="0.35">
      <c r="A69" s="9">
        <v>29</v>
      </c>
      <c r="B69" s="8" t="s">
        <v>39</v>
      </c>
      <c r="C69" s="10" t="s">
        <v>40</v>
      </c>
      <c r="D69" s="16">
        <f>1.3*1000</f>
        <v>1300</v>
      </c>
      <c r="E69" s="18"/>
      <c r="F69" s="16">
        <f>1.3*1000</f>
        <v>1300</v>
      </c>
      <c r="G69" s="16"/>
      <c r="H69" s="16">
        <f>1.3*1000</f>
        <v>1300</v>
      </c>
      <c r="I69" s="16"/>
      <c r="J69" s="16">
        <f>1.3*1000</f>
        <v>1300</v>
      </c>
      <c r="K69" s="16"/>
      <c r="L69" s="16">
        <f>1.3*1000</f>
        <v>1300</v>
      </c>
    </row>
    <row r="70" spans="1:13" x14ac:dyDescent="0.35">
      <c r="A70" s="9">
        <v>30</v>
      </c>
      <c r="B70" s="8" t="s">
        <v>41</v>
      </c>
      <c r="C70" s="10" t="s">
        <v>40</v>
      </c>
      <c r="D70" s="16">
        <f>892*1000</f>
        <v>892000</v>
      </c>
      <c r="E70" s="18"/>
      <c r="F70" s="16">
        <f>892*1000</f>
        <v>892000</v>
      </c>
      <c r="G70" s="16"/>
      <c r="H70" s="16">
        <f>892*1000</f>
        <v>892000</v>
      </c>
      <c r="I70" s="16"/>
      <c r="J70" s="16">
        <f>892*1000</f>
        <v>892000</v>
      </c>
      <c r="K70" s="16"/>
      <c r="L70" s="16">
        <f>892*1000</f>
        <v>892000</v>
      </c>
    </row>
    <row r="71" spans="1:13" x14ac:dyDescent="0.35">
      <c r="A71" s="9">
        <v>31</v>
      </c>
      <c r="B71" s="8" t="s">
        <v>42</v>
      </c>
      <c r="C71" s="10" t="s">
        <v>40</v>
      </c>
      <c r="D71" s="16">
        <f>1257.66*1000</f>
        <v>1257660</v>
      </c>
      <c r="E71" s="18"/>
      <c r="F71" s="16">
        <f>1257.66*1000</f>
        <v>1257660</v>
      </c>
      <c r="G71" s="16"/>
      <c r="H71" s="16">
        <f>1257.66*1000</f>
        <v>1257660</v>
      </c>
      <c r="I71" s="16"/>
      <c r="J71" s="16">
        <f>1257.66*1000</f>
        <v>1257660</v>
      </c>
      <c r="K71" s="16"/>
      <c r="L71" s="16">
        <f>1257.66*1000</f>
        <v>1257660</v>
      </c>
    </row>
    <row r="72" spans="1:13" x14ac:dyDescent="0.35">
      <c r="A72" s="9">
        <v>32</v>
      </c>
      <c r="B72" s="8" t="s">
        <v>181</v>
      </c>
      <c r="C72" s="10" t="s">
        <v>35</v>
      </c>
      <c r="D72" s="17">
        <v>1.0503395377281601</v>
      </c>
      <c r="E72" s="17"/>
      <c r="F72" s="17">
        <v>0.48589487930952385</v>
      </c>
      <c r="G72" s="17"/>
      <c r="H72" s="17">
        <v>6.4810982831485352E-3</v>
      </c>
      <c r="I72" s="17"/>
      <c r="J72" s="17">
        <v>0.79249506342541975</v>
      </c>
      <c r="K72" s="17"/>
      <c r="L72" s="17">
        <v>2.8626111979504808E-3</v>
      </c>
      <c r="M72" s="15"/>
    </row>
    <row r="74" spans="1:13" ht="30" x14ac:dyDescent="0.6">
      <c r="A74" s="19" t="s">
        <v>43</v>
      </c>
      <c r="B74" s="20"/>
      <c r="C74" s="20"/>
      <c r="D74" s="21"/>
      <c r="E74" s="21"/>
      <c r="F74" s="21"/>
      <c r="G74" s="21"/>
      <c r="H74" s="21"/>
      <c r="I74" s="21"/>
      <c r="J74" s="21"/>
      <c r="K74" s="21"/>
      <c r="L74" s="21"/>
      <c r="M74" s="21"/>
    </row>
    <row r="75" spans="1:13" x14ac:dyDescent="0.35">
      <c r="A75" s="22">
        <v>1</v>
      </c>
      <c r="B75" s="22" t="s">
        <v>47</v>
      </c>
      <c r="C75" s="23" t="s">
        <v>45</v>
      </c>
      <c r="D75" s="24">
        <v>6.5344519999999999</v>
      </c>
      <c r="E75" s="24">
        <v>0.75064960000000003</v>
      </c>
      <c r="F75" s="21">
        <v>4.0130990000000004</v>
      </c>
      <c r="G75" s="21">
        <v>0.6753015</v>
      </c>
      <c r="H75" s="11">
        <v>9.1313420000000001</v>
      </c>
      <c r="I75" s="11">
        <v>0.45024690000000001</v>
      </c>
      <c r="J75" s="21">
        <v>9.7313410000000005</v>
      </c>
      <c r="K75" s="21">
        <v>0.35580620000000002</v>
      </c>
      <c r="L75" s="24">
        <v>4.5152340000000004</v>
      </c>
      <c r="M75" s="24">
        <v>0.33743719999999999</v>
      </c>
    </row>
    <row r="76" spans="1:13" x14ac:dyDescent="0.35">
      <c r="A76" s="22">
        <v>2</v>
      </c>
      <c r="B76" s="22" t="s">
        <v>48</v>
      </c>
      <c r="C76" s="23" t="s">
        <v>45</v>
      </c>
      <c r="D76" s="24">
        <v>6.0951810000000002</v>
      </c>
      <c r="E76" s="24">
        <v>1.4836384</v>
      </c>
      <c r="F76" s="21">
        <v>4.4330930000000004</v>
      </c>
      <c r="G76" s="21">
        <v>0.7529901</v>
      </c>
      <c r="H76" s="21">
        <v>8.9932130000000008</v>
      </c>
      <c r="I76" s="21">
        <v>0.57430250000000005</v>
      </c>
      <c r="J76" s="21">
        <v>10.505179</v>
      </c>
      <c r="K76" s="21">
        <v>0.38461450000000003</v>
      </c>
      <c r="L76" s="24">
        <v>6.5810570000000004</v>
      </c>
      <c r="M76" s="24">
        <v>1.1969808</v>
      </c>
    </row>
    <row r="77" spans="1:13" x14ac:dyDescent="0.35">
      <c r="A77" s="22">
        <v>3</v>
      </c>
      <c r="B77" s="22" t="s">
        <v>49</v>
      </c>
      <c r="C77" s="23" t="s">
        <v>45</v>
      </c>
      <c r="D77" s="24">
        <v>2.78</v>
      </c>
      <c r="E77" s="24">
        <v>1.33</v>
      </c>
      <c r="F77" s="21">
        <v>1.1299999999999999</v>
      </c>
      <c r="G77" s="21">
        <v>0.55000000000000004</v>
      </c>
      <c r="H77" s="21" t="s">
        <v>71</v>
      </c>
      <c r="I77" s="21" t="s">
        <v>71</v>
      </c>
      <c r="J77" s="21">
        <v>7.75</v>
      </c>
      <c r="K77" s="21">
        <v>0.47</v>
      </c>
      <c r="L77" s="24" t="s">
        <v>71</v>
      </c>
      <c r="M77" s="24" t="s">
        <v>71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2E99-7147-48E3-A93B-40AEF4E238C1}">
  <dimension ref="A1:S77"/>
  <sheetViews>
    <sheetView workbookViewId="0">
      <pane xSplit="3" ySplit="2" topLeftCell="D6" activePane="bottomRight" state="frozen"/>
      <selection pane="topRight" activeCell="D1" sqref="D1"/>
      <selection pane="bottomLeft" activeCell="A3" sqref="A3"/>
      <selection pane="bottomRight" activeCell="O34" sqref="O34"/>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453125" style="11" bestFit="1" customWidth="1"/>
    <col min="12" max="12" width="14.7265625" style="11" bestFit="1" customWidth="1"/>
    <col min="13" max="13" width="10.54296875" style="11" bestFit="1" customWidth="1"/>
    <col min="18" max="18" width="9.453125" bestFit="1" customWidth="1"/>
  </cols>
  <sheetData>
    <row r="1" spans="1:16" ht="26" x14ac:dyDescent="0.6">
      <c r="A1" s="1" t="s">
        <v>0</v>
      </c>
      <c r="B1" s="2"/>
      <c r="C1" s="2"/>
      <c r="D1" s="12"/>
      <c r="E1" s="12"/>
      <c r="F1" s="12"/>
      <c r="G1" s="12"/>
      <c r="H1" s="12"/>
      <c r="I1" s="12"/>
      <c r="J1" s="12"/>
      <c r="K1" s="12"/>
      <c r="L1" s="12"/>
      <c r="M1" s="12"/>
    </row>
    <row r="2" spans="1:16" x14ac:dyDescent="0.35">
      <c r="A2" s="2"/>
      <c r="B2" s="2"/>
      <c r="C2" s="3" t="s">
        <v>1</v>
      </c>
      <c r="D2" s="3" t="s">
        <v>2</v>
      </c>
      <c r="E2" s="4" t="s">
        <v>3</v>
      </c>
      <c r="F2" s="3" t="s">
        <v>4</v>
      </c>
      <c r="G2" s="4" t="s">
        <v>3</v>
      </c>
      <c r="H2" s="3" t="s">
        <v>5</v>
      </c>
      <c r="I2" s="4" t="s">
        <v>3</v>
      </c>
      <c r="J2" s="3" t="s">
        <v>6</v>
      </c>
      <c r="K2" s="4" t="s">
        <v>3</v>
      </c>
      <c r="L2" s="3" t="s">
        <v>7</v>
      </c>
      <c r="M2" s="4" t="s">
        <v>3</v>
      </c>
    </row>
    <row r="3" spans="1:16" x14ac:dyDescent="0.35">
      <c r="A3" s="5">
        <v>1</v>
      </c>
      <c r="B3" s="5" t="s">
        <v>153</v>
      </c>
      <c r="C3" s="6" t="s">
        <v>8</v>
      </c>
      <c r="D3" s="15">
        <v>6.9751395770705304</v>
      </c>
      <c r="E3" s="15">
        <v>2.1054146836448493</v>
      </c>
      <c r="F3" s="15">
        <v>4.0433304059190514</v>
      </c>
      <c r="G3" s="15">
        <v>0.782773000331076</v>
      </c>
      <c r="H3" s="12">
        <v>9.8238143057644312</v>
      </c>
      <c r="I3" s="12">
        <v>4.5503873820535841</v>
      </c>
      <c r="J3" s="15">
        <v>5.689407455376319</v>
      </c>
      <c r="K3" s="15">
        <v>1.2846958018136592</v>
      </c>
      <c r="L3" s="15">
        <v>3.1620202422853949</v>
      </c>
      <c r="M3" s="15">
        <v>0.38276057123455215</v>
      </c>
    </row>
    <row r="4" spans="1:16" x14ac:dyDescent="0.35">
      <c r="A4" s="5">
        <v>2</v>
      </c>
      <c r="B4" s="5" t="s">
        <v>9</v>
      </c>
      <c r="C4" s="6" t="s">
        <v>8</v>
      </c>
      <c r="D4" s="15">
        <v>0.97868813053894244</v>
      </c>
      <c r="E4" s="15">
        <v>0.20023276423153064</v>
      </c>
      <c r="F4" s="15">
        <v>1.6343249758697753</v>
      </c>
      <c r="G4" s="15">
        <v>5.6975159479932917E-2</v>
      </c>
      <c r="H4" s="15">
        <v>0.46955161565803499</v>
      </c>
      <c r="I4" s="15">
        <v>2.9864707184233424E-2</v>
      </c>
      <c r="J4" s="15">
        <v>1.7889700021150503</v>
      </c>
      <c r="K4" s="15">
        <v>0.59585480538241931</v>
      </c>
      <c r="L4" s="15">
        <v>0.4195884011815369</v>
      </c>
      <c r="M4" s="15">
        <v>0.18168493088635868</v>
      </c>
    </row>
    <row r="5" spans="1:16" x14ac:dyDescent="0.35">
      <c r="A5" s="5">
        <v>3</v>
      </c>
      <c r="B5" s="5" t="s">
        <v>11</v>
      </c>
      <c r="C5" s="6" t="s">
        <v>8</v>
      </c>
      <c r="D5" s="15">
        <f>D3*NZ_Extra!D6</f>
        <v>2.1257040907636764</v>
      </c>
      <c r="E5" s="15">
        <f>D5*SQRT((E3/D3)^2+(NZ_Extra!E6/NZ_Extra!D6)^2)</f>
        <v>1.529245387205191</v>
      </c>
      <c r="F5" s="15">
        <f>F3*NZ_Extra!F6</f>
        <v>3.0867580654897724</v>
      </c>
      <c r="G5" s="15">
        <f>F5*SQRT((G3/F3)^2+(NZ_Extra!G6/NZ_Extra!F6)^2)</f>
        <v>0.91836992540808726</v>
      </c>
      <c r="H5" s="15">
        <f>H3*NZ_Extra!H6</f>
        <v>6.4892367066326058</v>
      </c>
      <c r="I5" s="15">
        <f>H5*SQRT((I3/H3)^2+(NZ_Extra!I6/NZ_Extra!H6)^2)</f>
        <v>4.75740961119413</v>
      </c>
      <c r="J5" s="15">
        <f>J3*NZ_Extra!J6</f>
        <v>3.4570987839772562</v>
      </c>
      <c r="K5" s="15">
        <f>J5*SQRT((K3/J3)^2+(NZ_Extra!K6/NZ_Extra!J6)^2)</f>
        <v>2.2352910282621208</v>
      </c>
      <c r="L5" s="15">
        <f>L3*NZ_Extra!L6</f>
        <v>2.8354623725330517</v>
      </c>
      <c r="M5" s="15">
        <f>L5*SQRT((M3/L3)^2+(NZ_Extra!M6/NZ_Extra!L6)^2)</f>
        <v>3.8090409922828234</v>
      </c>
    </row>
    <row r="6" spans="1:16" x14ac:dyDescent="0.35">
      <c r="A6" s="5">
        <v>4</v>
      </c>
      <c r="B6" s="5" t="s">
        <v>12</v>
      </c>
      <c r="C6" s="6" t="s">
        <v>8</v>
      </c>
      <c r="D6" s="15">
        <f>D3*NZ_Extra!D7</f>
        <v>1.6509193259295052</v>
      </c>
      <c r="E6" s="15">
        <f>D6*SQRT((E3/D3)^2+(NZ_Extra!E7/NZ_Extra!D7)^2)</f>
        <v>0.83512693633249513</v>
      </c>
      <c r="F6" s="15">
        <f>F3*NZ_Extra!F7</f>
        <v>0.34567740240112704</v>
      </c>
      <c r="G6" s="15">
        <f>F6*SQRT((G3/F3)^2+(NZ_Extra!G7/NZ_Extra!F7)^2)</f>
        <v>0.500674736451859</v>
      </c>
      <c r="H6" s="15">
        <f>H3*NZ_Extra!H7</f>
        <v>2.7169000225340558</v>
      </c>
      <c r="I6" s="15">
        <f>H6*SQRT((I3/H3)^2+(NZ_Extra!I7/NZ_Extra!H7)^2)</f>
        <v>3.3405851699714728</v>
      </c>
      <c r="J6" s="15">
        <f>J3*NZ_Extra!J7</f>
        <v>1.9849115483197928</v>
      </c>
      <c r="K6" s="15">
        <f>J6*SQRT((K3/J3)^2+(NZ_Extra!K7/NZ_Extra!J7)^2)</f>
        <v>1.9757685926891104</v>
      </c>
      <c r="L6" s="15">
        <f>L3*NZ_Extra!L7</f>
        <v>0.16239398547005449</v>
      </c>
      <c r="M6" s="15">
        <f>L6*SQRT((M3/L3)^2+(NZ_Extra!M7/NZ_Extra!L7)^2)</f>
        <v>3.4118451249548518</v>
      </c>
    </row>
    <row r="7" spans="1:16" x14ac:dyDescent="0.35">
      <c r="A7" s="5">
        <v>5</v>
      </c>
      <c r="B7" s="5" t="s">
        <v>182</v>
      </c>
      <c r="C7" s="6" t="s">
        <v>8</v>
      </c>
      <c r="D7" s="15">
        <f>D3*NZ_Extra!D8</f>
        <v>3.1985161603773489</v>
      </c>
      <c r="E7" s="15">
        <f>D7*SQRT((E3/D3)^2+(NZ_Extra!E8/NZ_Extra!D8)^2)</f>
        <v>2.0384171493794305</v>
      </c>
      <c r="F7" s="15">
        <f>F3*NZ_Extra!F8</f>
        <v>0.36121241637843743</v>
      </c>
      <c r="G7" s="15">
        <f>F7*SQRT((G3/F3)^2+(NZ_Extra!G8/NZ_Extra!F8)^2)</f>
        <v>0.23417384287485524</v>
      </c>
      <c r="H7" s="15">
        <f>H3*NZ_Extra!H8</f>
        <v>0.61767757659776912</v>
      </c>
      <c r="I7" s="15">
        <f>H7*SQRT((I3/H3)^2+(NZ_Extra!I8/NZ_Extra!H8)^2)</f>
        <v>0.56187448469565471</v>
      </c>
      <c r="J7" s="15">
        <f>J3*NZ_Extra!J8</f>
        <v>0.24739712307926998</v>
      </c>
      <c r="K7" s="15">
        <f>J7*SQRT((K3/J3)^2+(NZ_Extra!K8/NZ_Extra!J8)^2)</f>
        <v>0.15495821808294558</v>
      </c>
      <c r="L7" s="15">
        <f>L3*NZ_Extra!L8</f>
        <v>0.16416388428228881</v>
      </c>
      <c r="M7" s="15">
        <f>L7*SQRT((M3/L3)^2+(NZ_Extra!M8/NZ_Extra!L8)^2)</f>
        <v>0.21488912092939733</v>
      </c>
    </row>
    <row r="8" spans="1:16" x14ac:dyDescent="0.35">
      <c r="A8" s="5">
        <v>6</v>
      </c>
      <c r="B8" s="5" t="s">
        <v>13</v>
      </c>
      <c r="C8" s="6" t="s">
        <v>8</v>
      </c>
      <c r="D8" s="15">
        <f>D11*NZ_Extra!D14</f>
        <v>0.9680377856143324</v>
      </c>
      <c r="E8" s="15">
        <f>D8*SQRT((E11/D11)^2+(NZ_Extra!E14/NZ_Extra!D14)^2)</f>
        <v>0.77464728293812979</v>
      </c>
      <c r="F8" s="15">
        <f>F11*NZ_Extra!F14</f>
        <v>1.8898783958923295</v>
      </c>
      <c r="G8" s="15">
        <f>F8*SQRT((G11/F11)^2+(NZ_Extra!G14/NZ_Extra!F14)^2)</f>
        <v>0.73034638435033294</v>
      </c>
      <c r="H8" s="15">
        <f>H11*NZ_Extra!H14</f>
        <v>3.4956497672810012</v>
      </c>
      <c r="I8" s="15">
        <f>H8*SQRT((I11/H11)^2+(NZ_Extra!I14/NZ_Extra!H14)^2)</f>
        <v>2.5146743932235576</v>
      </c>
      <c r="J8" s="15">
        <f>J11*NZ_Extra!J14</f>
        <v>2.1195066010520414</v>
      </c>
      <c r="K8" s="15">
        <f>J8*SQRT((K11/J11)^2+(NZ_Extra!K14/NZ_Extra!J14)^2)</f>
        <v>1.293169338866397</v>
      </c>
      <c r="L8" s="15">
        <f>L11*NZ_Extra!L14</f>
        <v>1.249680964823271</v>
      </c>
      <c r="M8" s="15">
        <f>L8*SQRT((M11/L11)^2+(NZ_Extra!M14/NZ_Extra!L14)^2)</f>
        <v>0.93631570638214678</v>
      </c>
    </row>
    <row r="9" spans="1:16" x14ac:dyDescent="0.35">
      <c r="A9" s="5">
        <v>7</v>
      </c>
      <c r="B9" s="5" t="s">
        <v>14</v>
      </c>
      <c r="C9" s="6" t="s">
        <v>8</v>
      </c>
      <c r="D9" s="15">
        <f>D11*NZ_Extra!D15</f>
        <v>0.93107773943501781</v>
      </c>
      <c r="E9" s="15">
        <f>D9*SQRT((E11/D11)^2+(NZ_Extra!E15/NZ_Extra!D15)^2)</f>
        <v>1.0527763422171048</v>
      </c>
      <c r="F9" s="15">
        <f>F11*NZ_Extra!F15</f>
        <v>0.48436400386133022</v>
      </c>
      <c r="G9" s="15">
        <f>F9*SQRT((G11/F11)^2+(NZ_Extra!G15/NZ_Extra!F15)^2)</f>
        <v>0.53471731927488009</v>
      </c>
      <c r="H9" s="15">
        <f>H11*NZ_Extra!H15</f>
        <v>1.5734107472520935</v>
      </c>
      <c r="I9" s="15">
        <f>H9*SQRT((I11/H11)^2+(NZ_Extra!I15/NZ_Extra!H15)^2)</f>
        <v>1.7854607152677655</v>
      </c>
      <c r="J9" s="15">
        <f>J11*NZ_Extra!J15</f>
        <v>2.2956993882787935</v>
      </c>
      <c r="K9" s="15">
        <f>J9*SQRT((K11/J11)^2+(NZ_Extra!K15/NZ_Extra!J15)^2)</f>
        <v>1.4378622111730337</v>
      </c>
      <c r="L9" s="15">
        <f>L11*NZ_Extra!L15</f>
        <v>1.5922615659761581</v>
      </c>
      <c r="M9" s="15">
        <f>L9*SQRT((M11/L11)^2+(NZ_Extra!M15/NZ_Extra!L15)^2)</f>
        <v>2.3670613615743945</v>
      </c>
    </row>
    <row r="10" spans="1:16" x14ac:dyDescent="0.35">
      <c r="A10" s="5">
        <v>8</v>
      </c>
      <c r="B10" s="5" t="s">
        <v>183</v>
      </c>
      <c r="C10" s="6" t="s">
        <v>8</v>
      </c>
      <c r="D10" s="15">
        <f>D11*NZ_Extra!D16</f>
        <v>1.610034223190812</v>
      </c>
      <c r="E10" s="15">
        <f>D10*SQRT((E11/D11)^2+(NZ_Extra!E16/NZ_Extra!D16)^2)</f>
        <v>1.141546497344532</v>
      </c>
      <c r="F10" s="15">
        <f>F11*NZ_Extra!F16</f>
        <v>8.3139899568425379E-2</v>
      </c>
      <c r="G10" s="15">
        <f>F10*SQRT((G11/F11)^2+(NZ_Extra!G16/NZ_Extra!F16)^2)</f>
        <v>3.4881401373732787E-2</v>
      </c>
      <c r="H10" s="15">
        <f>H11*NZ_Extra!H16</f>
        <v>0.30286347948815684</v>
      </c>
      <c r="I10" s="15">
        <f>H10*SQRT((I11/H11)^2+(NZ_Extra!I16/NZ_Extra!H16)^2)</f>
        <v>0.26697516636211549</v>
      </c>
      <c r="J10" s="15">
        <f>J11*NZ_Extra!J16</f>
        <v>0.18752558852227863</v>
      </c>
      <c r="K10" s="15">
        <f>J10*SQRT((K11/J11)^2+(NZ_Extra!K16/NZ_Extra!J16)^2)</f>
        <v>0.12099696069503854</v>
      </c>
      <c r="L10" s="15">
        <f>L11*NZ_Extra!L16</f>
        <v>0.13592019999549798</v>
      </c>
      <c r="M10" s="15">
        <f>L10*SQRT((M11/L11)^2+(NZ_Extra!M16/NZ_Extra!L16)^2)</f>
        <v>0.13470708129944753</v>
      </c>
    </row>
    <row r="11" spans="1:16" x14ac:dyDescent="0.35">
      <c r="A11" s="5">
        <v>9</v>
      </c>
      <c r="B11" s="5" t="s">
        <v>152</v>
      </c>
      <c r="C11" s="6" t="s">
        <v>8</v>
      </c>
      <c r="D11" s="15">
        <v>3.5091497482401626</v>
      </c>
      <c r="E11" s="15">
        <v>1.2649780271784867</v>
      </c>
      <c r="F11" s="15">
        <v>2.6936632003654828</v>
      </c>
      <c r="G11" s="15">
        <v>0.60951549478679601</v>
      </c>
      <c r="H11" s="15">
        <v>5.3719239940212518</v>
      </c>
      <c r="I11" s="15">
        <v>2.9742856330468999</v>
      </c>
      <c r="J11" s="15">
        <v>4.6027315778531133</v>
      </c>
      <c r="K11" s="15">
        <v>2.1767590749848282</v>
      </c>
      <c r="L11" s="15">
        <v>2.9778627307949268</v>
      </c>
      <c r="M11" s="15">
        <v>0.86612577413233227</v>
      </c>
    </row>
    <row r="12" spans="1:16" x14ac:dyDescent="0.35">
      <c r="A12" s="5">
        <v>10</v>
      </c>
      <c r="B12" s="5" t="s">
        <v>15</v>
      </c>
      <c r="C12" s="6" t="s">
        <v>8</v>
      </c>
      <c r="D12" s="15">
        <v>0.90936712058115243</v>
      </c>
      <c r="E12" s="15">
        <v>0.18438143754367645</v>
      </c>
      <c r="F12" s="36">
        <v>0.69786875348140176</v>
      </c>
      <c r="G12" s="36">
        <v>0.33083742555493062</v>
      </c>
      <c r="H12" s="15">
        <v>0.24256808752952785</v>
      </c>
      <c r="I12" s="15">
        <v>9.9091055888499632E-2</v>
      </c>
      <c r="J12" s="15">
        <v>0.32637300304228883</v>
      </c>
      <c r="K12" s="15">
        <v>0.11439529554434019</v>
      </c>
      <c r="L12" s="15">
        <v>0.30265779501730594</v>
      </c>
      <c r="M12" s="15">
        <v>0.1607958156305225</v>
      </c>
      <c r="P12" t="s">
        <v>229</v>
      </c>
    </row>
    <row r="13" spans="1:16" x14ac:dyDescent="0.35">
      <c r="A13" s="5">
        <v>11</v>
      </c>
      <c r="B13" s="5" t="s">
        <v>16</v>
      </c>
      <c r="C13" s="6" t="s">
        <v>8</v>
      </c>
      <c r="D13" s="15">
        <v>2.7775614345871977E-2</v>
      </c>
      <c r="E13" s="15">
        <v>2.7788247064735046E-2</v>
      </c>
      <c r="F13" s="15">
        <v>3.3175154585448542E-2</v>
      </c>
      <c r="G13" s="15">
        <v>7.5474281355229864E-2</v>
      </c>
      <c r="H13" s="15">
        <v>7.8424367389722423E-3</v>
      </c>
      <c r="I13" s="15">
        <v>1.1119541452350641E-2</v>
      </c>
      <c r="J13" s="15">
        <v>1.1164564455451947E-2</v>
      </c>
      <c r="K13" s="15">
        <v>1.4112720238673453E-2</v>
      </c>
      <c r="L13" s="15">
        <v>2.4892996784586202E-2</v>
      </c>
      <c r="M13" s="15">
        <v>2.5748036807699545E-2</v>
      </c>
      <c r="O13" s="35">
        <v>1</v>
      </c>
      <c r="P13" s="32">
        <f>D3-SUM(D11:D15)</f>
        <v>-0.13916210196251555</v>
      </c>
    </row>
    <row r="14" spans="1:16" x14ac:dyDescent="0.35">
      <c r="A14" s="5">
        <v>12</v>
      </c>
      <c r="B14" s="5" t="s">
        <v>163</v>
      </c>
      <c r="C14" s="6" t="s">
        <v>8</v>
      </c>
      <c r="D14" s="15">
        <v>8.8005356807663079E-3</v>
      </c>
      <c r="E14" s="15">
        <v>1.2670301898349702E-2</v>
      </c>
      <c r="F14" s="15">
        <v>2.0797253454106119E-2</v>
      </c>
      <c r="G14" s="15">
        <v>4.7029263843153819E-2</v>
      </c>
      <c r="H14" s="15">
        <v>3.5417563847894682E-3</v>
      </c>
      <c r="I14" s="15">
        <v>6.7117834196103602E-3</v>
      </c>
      <c r="J14" s="15">
        <v>3.199379393507245E-3</v>
      </c>
      <c r="K14" s="15">
        <v>9.5212133763109569E-3</v>
      </c>
      <c r="L14" s="15">
        <v>8.8802004093344432E-5</v>
      </c>
      <c r="M14" s="15">
        <v>1.2747024535486495E-2</v>
      </c>
      <c r="O14" s="35">
        <v>2</v>
      </c>
      <c r="P14" s="32">
        <f>F3-SUM(F11:F15)</f>
        <v>-1.1599385805500422</v>
      </c>
    </row>
    <row r="15" spans="1:16" x14ac:dyDescent="0.35">
      <c r="A15" s="5">
        <v>13</v>
      </c>
      <c r="B15" s="5" t="s">
        <v>169</v>
      </c>
      <c r="C15" s="6" t="s">
        <v>8</v>
      </c>
      <c r="D15" s="12">
        <v>2.6592086601850928</v>
      </c>
      <c r="E15" s="15">
        <v>1.9074743144778554</v>
      </c>
      <c r="F15" s="15">
        <v>1.7577646245826541</v>
      </c>
      <c r="G15" s="15">
        <v>0.91975506825772047</v>
      </c>
      <c r="H15" s="15">
        <v>2.4739265995989291E-2</v>
      </c>
      <c r="I15" s="15">
        <v>2.8097449191110818E-2</v>
      </c>
      <c r="J15" s="15">
        <v>1.5968294083391568</v>
      </c>
      <c r="K15" s="15">
        <v>0.97512046936770413</v>
      </c>
      <c r="L15" s="15">
        <v>7.2143977414072993E-3</v>
      </c>
      <c r="M15" s="15">
        <v>1.6218314560821474E-2</v>
      </c>
      <c r="O15" s="35">
        <v>3</v>
      </c>
      <c r="P15" s="32">
        <f>H3-SUM(H11:H15)</f>
        <v>4.1731987650939004</v>
      </c>
    </row>
    <row r="16" spans="1:16" x14ac:dyDescent="0.35">
      <c r="A16" s="5">
        <v>14</v>
      </c>
      <c r="B16" s="5" t="s">
        <v>170</v>
      </c>
      <c r="C16" s="6" t="s">
        <v>8</v>
      </c>
      <c r="D16" s="15">
        <f>(D15/0.58499)*0.41501</f>
        <v>1.8865248740378728</v>
      </c>
      <c r="E16" s="15">
        <f>D16*SQRT((E15/D15)^2+(0.17843/0.58499)^2+(0.17843/0.41501)^2)</f>
        <v>1.6793412199250386</v>
      </c>
      <c r="F16" s="15">
        <f>(F15/0.95928)*0.4072</f>
        <v>0.74614477017143777</v>
      </c>
      <c r="G16" s="15">
        <f>F16*SQRT((G15/F15)^2+(0.30768/0.95928)^2+(0.30768/0.04072)^2)</f>
        <v>5.6564311872057029</v>
      </c>
      <c r="H16" s="15">
        <f>(H15/0.7689925)*0.23100747</f>
        <v>7.4317438042510384E-3</v>
      </c>
      <c r="I16" s="15">
        <f>H16*SQRT((I15/H15)^2+(0.28703/0.76899)^2+(0.28703/0.23101)^2)</f>
        <v>1.2814186761036529E-2</v>
      </c>
      <c r="J16" s="15">
        <f>(J15/0.81303)*0.18697</f>
        <v>0.36721793104457662</v>
      </c>
      <c r="K16" s="15">
        <f>J16*SQRT((K15/J15)^2+(0.22065/0.81303)^2+(0.22065/0.18697)^2)</f>
        <v>0.49802123210338339</v>
      </c>
      <c r="L16" s="15">
        <f>(L15/0.94848)*0.05152</f>
        <v>3.9187518096038299E-4</v>
      </c>
      <c r="M16" s="15">
        <f>L16*SQRT((M15/L15)^2+(0/0.94848)^2+(0/0.05152)^2)</f>
        <v>8.8095433343193558E-4</v>
      </c>
      <c r="O16" s="35">
        <v>4</v>
      </c>
      <c r="P16" s="32">
        <f>J3-SUM(J11:J15)</f>
        <v>-0.85089047770719883</v>
      </c>
    </row>
    <row r="17" spans="1:19" x14ac:dyDescent="0.35">
      <c r="A17" s="5">
        <v>15</v>
      </c>
      <c r="B17" s="5" t="s">
        <v>17</v>
      </c>
      <c r="C17" s="6" t="s">
        <v>8</v>
      </c>
      <c r="D17" s="15">
        <f>(D15+D16) * 0.0144398</f>
        <v>6.5639483087472777E-2</v>
      </c>
      <c r="E17" s="15">
        <f>D17*SQRT((SQRT((E15)^2+(E16^2))/(D15+D16))^2+(0.00000265298/0.0144398)^2)</f>
        <v>3.6697114340849879E-2</v>
      </c>
      <c r="F17" s="15">
        <f>(F15+F16) * 0.02786716</f>
        <v>6.977684372911544E-2</v>
      </c>
      <c r="G17" s="15">
        <f>F17*SQRT((SQRT((G15)^2+(G16^2))/(F15+F16))^2+(6.398304E-19/0.02786716)^2)</f>
        <v>0.15969891897698574</v>
      </c>
      <c r="H17" s="15">
        <f>(H15+H16) * 0.08979186</f>
        <v>2.8886948080418078E-3</v>
      </c>
      <c r="I17" s="15">
        <f>H17*SQRT((SQRT((I15)^2+(I16^2))/(H15+H16))^2+(0/0.08979186)^2)</f>
        <v>2.7729116731506714E-3</v>
      </c>
      <c r="J17" s="15">
        <f>(J15+J16) * 0.0366902</f>
        <v>7.2061289691457059E-2</v>
      </c>
      <c r="K17" s="15">
        <f>J17*SQRT((SQRT((K15)^2+(K16^2))/(J15+J16))^2+(0/0.0366902)^2)</f>
        <v>4.0173424736185466E-2</v>
      </c>
      <c r="L17" s="15">
        <f>(L15+L16) * 0.02808958</f>
        <v>2.136570117546808E-4</v>
      </c>
      <c r="M17" s="15">
        <f>L17*SQRT((SQRT((M15)^2+(M16^2))/(L15+L16))^2+(0.0000002335522/0.02808958)^2)</f>
        <v>4.5623722212329037E-4</v>
      </c>
      <c r="O17" s="35">
        <v>5</v>
      </c>
      <c r="P17" s="32">
        <f>L3-SUM(L11:L15)</f>
        <v>-0.15069648005692482</v>
      </c>
    </row>
    <row r="18" spans="1:19" x14ac:dyDescent="0.35">
      <c r="A18" s="5">
        <v>16</v>
      </c>
      <c r="B18" s="5" t="s">
        <v>18</v>
      </c>
      <c r="C18" s="6" t="s">
        <v>8</v>
      </c>
      <c r="D18" s="15">
        <f>(D15+D16) * 0.1836172</f>
        <v>0.83467486350012521</v>
      </c>
      <c r="E18" s="15">
        <f>D18*SQRT((SQRT((E15)^2+(E16^2))/(D15+D16))^2+(0.001733872/0.1836172)^2)</f>
        <v>0.46670882535929636</v>
      </c>
      <c r="F18" s="15">
        <f>(F15+F16) * 0.09318711</f>
        <v>0.23333208019898299</v>
      </c>
      <c r="G18" s="15">
        <f>F18*SQRT((SQRT((G15)^2+(G16^2))/(F15+F16))^2+(0.0006530248/0.09318711)^2)</f>
        <v>0.53403183128280451</v>
      </c>
      <c r="H18" s="15">
        <f>(H15+H16) * 0.0004796753</f>
        <v>1.5431638777233221E-5</v>
      </c>
      <c r="I18" s="15">
        <f>H18*SQRT((SQRT((I15)^2+(I16^2))/(H15+H16))^2+(0.00001015141/0.0004796753)^2)</f>
        <v>1.4816715596507647E-5</v>
      </c>
      <c r="J18" s="15">
        <f>(J15+J16) * 0.000004663878</f>
        <v>9.160077177110328E-6</v>
      </c>
      <c r="K18" s="15">
        <f>J18*SQRT((SQRT((K15)^2+(K16^2))/(J15+J16))^2+(0/0.000004663878)^2)</f>
        <v>5.1066484186990305E-6</v>
      </c>
      <c r="L18" s="15">
        <f>(L15+L16) * 0.09488286</f>
        <v>7.2170492881480359E-4</v>
      </c>
      <c r="M18" s="15">
        <f>L18*SQRT((SQRT((M15)^2+(M16^2))/(L15+L16))^2+(0.000609438/0.09488286)^2)</f>
        <v>1.5411155419658771E-3</v>
      </c>
    </row>
    <row r="19" spans="1:19" x14ac:dyDescent="0.35">
      <c r="A19" s="5">
        <v>17</v>
      </c>
      <c r="B19" s="5" t="s">
        <v>161</v>
      </c>
      <c r="C19" s="6" t="s">
        <v>8</v>
      </c>
      <c r="D19" s="15">
        <f>(D15+D16) * 0.8019303</f>
        <v>3.645361456819483</v>
      </c>
      <c r="E19" s="15">
        <f>D19*SQRT((SQRT((E15)^2+(E16^2))/(D15+D16))^2+(0.001733677/0.8019303)^2)</f>
        <v>2.0380300520516972</v>
      </c>
      <c r="F19" s="15">
        <f>(F15+F16) * 0.8789064</f>
        <v>2.2007019920694977</v>
      </c>
      <c r="G19" s="15">
        <f>F19*SQRT((SQRT((G15)^2+(G16^2))/(F15+F16))^2+(0.0006530248/0.8789064)^2)</f>
        <v>5.0367676274917379</v>
      </c>
      <c r="H19" s="15">
        <f>(H15+H16) * 0.9097285</f>
        <v>2.926688448905794E-2</v>
      </c>
      <c r="I19" s="15">
        <f>H19*SQRT((SQRT((I15)^2+(I16^2))/(H15+H16))^2+(0.00001015141/0.9097285)^2)</f>
        <v>2.8093824732200599E-2</v>
      </c>
      <c r="J19" s="15">
        <f>(J15+J16) * 0.9633051</f>
        <v>1.8919768186697814</v>
      </c>
      <c r="K19" s="15">
        <f>J19*SQRT((SQRT((K15)^2+(K16^2))/(J15+J16))^2+(0/0.9633051)^2)</f>
        <v>1.0547575356044288</v>
      </c>
      <c r="L19" s="15">
        <f>(L15+L16) * 0.8769906</f>
        <v>6.6706298539509863E-3</v>
      </c>
      <c r="M19" s="15">
        <f>L19*SQRT((SQRT((M15)^2+(M16^2))/(L15+L16))^2+(0.0006094337/0.8769906)^2)</f>
        <v>1.4244277641613269E-2</v>
      </c>
    </row>
    <row r="20" spans="1:19" x14ac:dyDescent="0.35">
      <c r="A20" s="5">
        <v>18</v>
      </c>
      <c r="B20" s="5" t="s">
        <v>162</v>
      </c>
      <c r="C20" s="6" t="s">
        <v>8</v>
      </c>
      <c r="D20" s="15">
        <v>0.95731511766663324</v>
      </c>
      <c r="E20" s="15">
        <v>0.6866907532120281</v>
      </c>
      <c r="F20" s="15">
        <v>0.63279526484975535</v>
      </c>
      <c r="G20" s="15">
        <v>0.33111182457277949</v>
      </c>
      <c r="H20" s="15">
        <v>8.906135758556144E-3</v>
      </c>
      <c r="I20" s="15">
        <v>1.0115081708799895E-2</v>
      </c>
      <c r="J20" s="15">
        <v>0.57485858700209647</v>
      </c>
      <c r="K20" s="15">
        <v>0.35104336897237348</v>
      </c>
      <c r="L20" s="15">
        <v>2.5971831869066281E-3</v>
      </c>
      <c r="M20" s="15">
        <v>5.8385932418957313E-3</v>
      </c>
    </row>
    <row r="21" spans="1:19" x14ac:dyDescent="0.35">
      <c r="A21" s="5">
        <v>19</v>
      </c>
      <c r="B21" s="5" t="s">
        <v>178</v>
      </c>
      <c r="C21" s="6" t="s">
        <v>8</v>
      </c>
      <c r="D21" s="15">
        <v>0.7685139653165618</v>
      </c>
      <c r="E21" s="15">
        <v>0.15497850567849536</v>
      </c>
      <c r="F21" s="15">
        <v>0.51195866101729559</v>
      </c>
      <c r="G21" s="15">
        <v>0.17726619239998903</v>
      </c>
      <c r="H21" s="15">
        <v>0.82093159034171903</v>
      </c>
      <c r="I21" s="15">
        <v>0.18646460250648508</v>
      </c>
      <c r="J21" s="15">
        <v>0.73073093882389928</v>
      </c>
      <c r="K21" s="15">
        <v>0.19985947417252783</v>
      </c>
      <c r="L21" s="15">
        <v>0.44078466938784061</v>
      </c>
      <c r="M21" s="15">
        <v>0.10558124978639725</v>
      </c>
    </row>
    <row r="22" spans="1:19" x14ac:dyDescent="0.35">
      <c r="A22" s="5">
        <v>20</v>
      </c>
      <c r="B22" s="5" t="s">
        <v>236</v>
      </c>
      <c r="C22" s="6" t="s">
        <v>179</v>
      </c>
      <c r="D22" s="15">
        <v>0.11693990712328771</v>
      </c>
      <c r="E22" s="15">
        <v>5.8469953561643855E-2</v>
      </c>
      <c r="F22" s="15">
        <v>6.1141856301369875E-2</v>
      </c>
      <c r="G22" s="15">
        <v>3.0570928150684937E-2</v>
      </c>
      <c r="H22" s="15">
        <v>0.17295774369863018</v>
      </c>
      <c r="I22" s="15">
        <v>8.6478871849315089E-2</v>
      </c>
      <c r="J22" s="15">
        <v>8.4231157397260295E-2</v>
      </c>
      <c r="K22" s="15">
        <v>4.2115578698630148E-2</v>
      </c>
      <c r="L22" s="15">
        <v>1.497263564383562E-2</v>
      </c>
      <c r="M22" s="15">
        <v>7.48631782191781E-3</v>
      </c>
      <c r="O22" s="32">
        <f>SUM(D22,D23:D27)</f>
        <v>0.43277317980203578</v>
      </c>
      <c r="P22" s="32">
        <f>SUM(F22:F27)</f>
        <v>0.25675103185417308</v>
      </c>
      <c r="Q22" s="32">
        <f>SUM(H22:H27)</f>
        <v>0.20530083965196647</v>
      </c>
      <c r="R22" s="32">
        <f>SUM(J22:J27)</f>
        <v>0.2808980683043677</v>
      </c>
      <c r="S22" s="32">
        <f>SUM(L22:L27)</f>
        <v>3.4081900589610255E-2</v>
      </c>
    </row>
    <row r="23" spans="1:19" x14ac:dyDescent="0.35">
      <c r="A23" s="5">
        <v>21</v>
      </c>
      <c r="B23" s="5" t="s">
        <v>237</v>
      </c>
      <c r="C23" s="6" t="s">
        <v>179</v>
      </c>
      <c r="D23" s="15">
        <v>2.6827245560760056E-3</v>
      </c>
      <c r="E23" s="15">
        <v>1.3413622780380028E-3</v>
      </c>
      <c r="F23" s="15">
        <v>8.8581983703049059E-3</v>
      </c>
      <c r="G23" s="15">
        <v>4.429099185152453E-3</v>
      </c>
      <c r="H23" s="15">
        <v>5.2513865530711456E-3</v>
      </c>
      <c r="I23" s="15">
        <v>2.6256932765355728E-3</v>
      </c>
      <c r="J23" s="15">
        <v>2.5997915517454711E-3</v>
      </c>
      <c r="K23" s="15">
        <v>1.2998957758727355E-3</v>
      </c>
      <c r="L23" s="15">
        <v>1.350108029907203E-2</v>
      </c>
      <c r="M23" s="15">
        <v>6.7505401495360148E-3</v>
      </c>
    </row>
    <row r="24" spans="1:19" x14ac:dyDescent="0.35">
      <c r="A24" s="5">
        <v>22</v>
      </c>
      <c r="B24" s="5" t="s">
        <v>238</v>
      </c>
      <c r="C24" s="6" t="s">
        <v>179</v>
      </c>
      <c r="D24" s="15">
        <v>4.3591718077596112E-2</v>
      </c>
      <c r="E24" s="15">
        <v>2.1795859038798056E-2</v>
      </c>
      <c r="F24" s="15">
        <v>3.5002235542907649E-2</v>
      </c>
      <c r="G24" s="15">
        <v>1.7501117771453824E-2</v>
      </c>
      <c r="H24" s="15">
        <v>2.5395081095183389E-2</v>
      </c>
      <c r="I24" s="15">
        <v>1.2697540547591694E-2</v>
      </c>
      <c r="J24" s="15">
        <v>1.3990940733539549E-2</v>
      </c>
      <c r="K24" s="15">
        <v>6.9954703667697744E-3</v>
      </c>
      <c r="L24" s="15">
        <v>4.003736038886422E-4</v>
      </c>
      <c r="M24" s="15">
        <v>2.001868019443211E-4</v>
      </c>
    </row>
    <row r="25" spans="1:19" x14ac:dyDescent="0.35">
      <c r="A25" s="5">
        <v>23</v>
      </c>
      <c r="B25" s="5" t="s">
        <v>239</v>
      </c>
      <c r="C25" s="6" t="s">
        <v>179</v>
      </c>
      <c r="D25" s="15">
        <v>3.6083378160954487E-3</v>
      </c>
      <c r="E25" s="15">
        <v>1.8041689080477243E-3</v>
      </c>
      <c r="F25" s="15">
        <v>1.4890418556323467E-4</v>
      </c>
      <c r="G25" s="15">
        <v>7.4452092781617334E-5</v>
      </c>
      <c r="H25" s="15">
        <v>3.991643602297835E-6</v>
      </c>
      <c r="I25" s="15">
        <v>1.9958218011489175E-6</v>
      </c>
      <c r="J25" s="15">
        <v>3.7681124341140085E-4</v>
      </c>
      <c r="K25" s="15">
        <v>1.8840562170570043E-4</v>
      </c>
      <c r="L25" s="15">
        <v>3.621146072293416E-3</v>
      </c>
      <c r="M25" s="15">
        <v>1.810573036146708E-3</v>
      </c>
    </row>
    <row r="26" spans="1:19" x14ac:dyDescent="0.35">
      <c r="A26" s="5">
        <v>24</v>
      </c>
      <c r="B26" s="5" t="s">
        <v>240</v>
      </c>
      <c r="C26" s="6" t="s">
        <v>179</v>
      </c>
      <c r="D26" s="15">
        <v>0.26556852364158329</v>
      </c>
      <c r="E26" s="15">
        <v>0.13278426182079164</v>
      </c>
      <c r="F26" s="15">
        <v>0.13522638354936986</v>
      </c>
      <c r="G26" s="15">
        <v>6.761319177468493E-2</v>
      </c>
      <c r="H26" s="15">
        <v>1.2702740620273972E-3</v>
      </c>
      <c r="I26" s="15">
        <v>6.3513703101369858E-4</v>
      </c>
      <c r="J26" s="15">
        <v>0.17856611972909592</v>
      </c>
      <c r="K26" s="15">
        <v>8.9283059864547959E-2</v>
      </c>
      <c r="L26" s="15">
        <v>7.6364655517808231E-4</v>
      </c>
      <c r="M26" s="15">
        <v>3.8182327758904116E-4</v>
      </c>
    </row>
    <row r="27" spans="1:19" x14ac:dyDescent="0.35">
      <c r="A27" s="5">
        <v>25</v>
      </c>
      <c r="B27" s="5" t="s">
        <v>241</v>
      </c>
      <c r="C27" s="6" t="s">
        <v>179</v>
      </c>
      <c r="D27" s="15">
        <v>3.8196858739726028E-4</v>
      </c>
      <c r="E27" s="15">
        <v>1.9098429369863014E-4</v>
      </c>
      <c r="F27" s="15">
        <v>1.6373453904657533E-2</v>
      </c>
      <c r="G27" s="15">
        <v>8.1867269523287663E-3</v>
      </c>
      <c r="H27" s="15">
        <v>4.2236259945205475E-4</v>
      </c>
      <c r="I27" s="15">
        <v>2.1118129972602737E-4</v>
      </c>
      <c r="J27" s="15">
        <v>1.1332476493150685E-3</v>
      </c>
      <c r="K27" s="15">
        <v>5.6662382465753425E-4</v>
      </c>
      <c r="L27" s="15">
        <v>8.2301841534246584E-4</v>
      </c>
      <c r="M27" s="15">
        <v>4.1150920767123292E-4</v>
      </c>
    </row>
    <row r="28" spans="1:19" x14ac:dyDescent="0.35">
      <c r="A28" s="5">
        <v>26</v>
      </c>
      <c r="B28" s="5" t="s">
        <v>242</v>
      </c>
      <c r="C28" s="6" t="s">
        <v>179</v>
      </c>
      <c r="D28" s="15">
        <v>2.2182563900120321E-2</v>
      </c>
      <c r="E28" s="15">
        <v>1.109128195006016E-2</v>
      </c>
      <c r="F28" s="15">
        <v>2.2133166381557167E-2</v>
      </c>
      <c r="G28" s="15">
        <v>1.1066583190778584E-2</v>
      </c>
      <c r="H28" s="15">
        <v>1.8438506831883118E-2</v>
      </c>
      <c r="I28" s="15">
        <v>9.2192534159415591E-3</v>
      </c>
      <c r="J28" s="15">
        <v>1.7052622055122278E-2</v>
      </c>
      <c r="K28" s="15">
        <v>8.5263110275611391E-3</v>
      </c>
      <c r="L28" s="15">
        <v>7.5311797081432695E-3</v>
      </c>
      <c r="M28" s="15">
        <v>3.7655898540716348E-3</v>
      </c>
    </row>
    <row r="29" spans="1:19" x14ac:dyDescent="0.35">
      <c r="A29" s="5">
        <v>27</v>
      </c>
      <c r="B29" s="5" t="s">
        <v>243</v>
      </c>
      <c r="C29" s="6" t="s">
        <v>179</v>
      </c>
      <c r="D29" s="15">
        <v>4.1610276346796286E-3</v>
      </c>
      <c r="E29" s="15">
        <v>2.0805138173398143E-3</v>
      </c>
      <c r="F29" s="15">
        <v>3.3411224836411846E-3</v>
      </c>
      <c r="G29" s="15">
        <v>1.6705612418205923E-3</v>
      </c>
      <c r="H29" s="15">
        <v>2.4240759227220506E-3</v>
      </c>
      <c r="I29" s="15">
        <v>1.2120379613610253E-3</v>
      </c>
      <c r="J29" s="15">
        <v>1.3354988882015024E-3</v>
      </c>
      <c r="K29" s="15">
        <v>6.6774944410075122E-4</v>
      </c>
      <c r="L29" s="15">
        <v>3.821748037118857E-5</v>
      </c>
      <c r="M29" s="15">
        <v>1.9108740185594285E-5</v>
      </c>
    </row>
    <row r="30" spans="1:19" x14ac:dyDescent="0.35">
      <c r="A30" s="5">
        <v>28</v>
      </c>
      <c r="B30" s="5" t="s">
        <v>244</v>
      </c>
      <c r="C30" s="6" t="s">
        <v>179</v>
      </c>
      <c r="D30" s="15">
        <v>3.4443224608183827E-4</v>
      </c>
      <c r="E30" s="15">
        <v>1.7221612304091913E-4</v>
      </c>
      <c r="F30" s="15">
        <v>1.4213581349217854E-5</v>
      </c>
      <c r="G30" s="15">
        <v>7.106790674608927E-6</v>
      </c>
      <c r="H30" s="15">
        <v>3.8102052567388422E-7</v>
      </c>
      <c r="I30" s="15">
        <v>1.9051026283694211E-7</v>
      </c>
      <c r="J30" s="15">
        <v>3.5968345961997357E-5</v>
      </c>
      <c r="K30" s="15">
        <v>1.7984172980998678E-5</v>
      </c>
      <c r="L30" s="15">
        <v>3.4565485235528063E-4</v>
      </c>
      <c r="M30" s="15">
        <v>1.7282742617764031E-4</v>
      </c>
    </row>
    <row r="31" spans="1:19" x14ac:dyDescent="0.35">
      <c r="A31" s="5">
        <v>29</v>
      </c>
      <c r="B31" s="5" t="s">
        <v>245</v>
      </c>
      <c r="C31" s="6" t="s">
        <v>179</v>
      </c>
      <c r="D31" s="15">
        <v>0.14617278828663058</v>
      </c>
      <c r="E31" s="15">
        <v>7.3086394143315289E-2</v>
      </c>
      <c r="F31" s="15">
        <v>7.4430573556999946E-2</v>
      </c>
      <c r="G31" s="15">
        <v>3.7215286778499973E-2</v>
      </c>
      <c r="H31" s="15">
        <v>6.9917736856995086E-4</v>
      </c>
      <c r="I31" s="15">
        <v>3.4958868428497543E-4</v>
      </c>
      <c r="J31" s="15">
        <v>9.8285396388140447E-2</v>
      </c>
      <c r="K31" s="15">
        <v>4.9142698194070224E-2</v>
      </c>
      <c r="L31" s="15">
        <v>4.2032220048227959E-4</v>
      </c>
      <c r="M31" s="15">
        <v>2.1016110024113979E-4</v>
      </c>
    </row>
    <row r="32" spans="1:19" x14ac:dyDescent="0.35">
      <c r="A32" s="5">
        <v>30</v>
      </c>
      <c r="B32" s="5" t="s">
        <v>246</v>
      </c>
      <c r="C32" s="6" t="s">
        <v>179</v>
      </c>
      <c r="D32" s="15">
        <v>2.1024108087868497E-4</v>
      </c>
      <c r="E32" s="15">
        <v>1.0512054043934248E-4</v>
      </c>
      <c r="F32" s="15">
        <v>9.0121878086596181E-3</v>
      </c>
      <c r="G32" s="15">
        <v>4.506093904329809E-3</v>
      </c>
      <c r="H32" s="15">
        <v>2.3247453419298632E-4</v>
      </c>
      <c r="I32" s="15">
        <v>1.1623726709649316E-4</v>
      </c>
      <c r="J32" s="15">
        <v>6.2375603271123297E-4</v>
      </c>
      <c r="K32" s="15">
        <v>3.1187801635561648E-4</v>
      </c>
      <c r="L32" s="15">
        <v>4.5300133815638367E-4</v>
      </c>
      <c r="M32" s="15">
        <v>2.2650066907819183E-4</v>
      </c>
    </row>
    <row r="33" spans="1:13" x14ac:dyDescent="0.35">
      <c r="A33" s="5">
        <v>31</v>
      </c>
      <c r="B33" s="5" t="s">
        <v>247</v>
      </c>
      <c r="C33" s="6" t="s">
        <v>179</v>
      </c>
      <c r="D33" s="15">
        <v>1.2423440712617723E-2</v>
      </c>
      <c r="E33" s="15">
        <v>6.2117203563088613E-3</v>
      </c>
      <c r="F33" s="15">
        <v>6.4955774765464462E-3</v>
      </c>
      <c r="G33" s="15">
        <v>3.2477887382732231E-3</v>
      </c>
      <c r="H33" s="15">
        <v>1.8374653507828551E-2</v>
      </c>
      <c r="I33" s="15">
        <v>9.1873267539142756E-3</v>
      </c>
      <c r="J33" s="15">
        <v>8.9485344722977315E-3</v>
      </c>
      <c r="K33" s="15">
        <v>4.4742672361488657E-3</v>
      </c>
      <c r="L33" s="15">
        <v>1.5906601587831763E-3</v>
      </c>
      <c r="M33" s="15">
        <v>7.9533007939158816E-4</v>
      </c>
    </row>
    <row r="34" spans="1:13" x14ac:dyDescent="0.35">
      <c r="A34" s="5">
        <v>32</v>
      </c>
      <c r="B34" s="5" t="s">
        <v>248</v>
      </c>
      <c r="C34" s="6" t="s">
        <v>179</v>
      </c>
      <c r="D34" s="15">
        <v>8.6862564859761392E-4</v>
      </c>
      <c r="E34" s="15">
        <v>4.3431282429880696E-4</v>
      </c>
      <c r="F34" s="15">
        <v>2.8681506967927531E-3</v>
      </c>
      <c r="G34" s="15">
        <v>1.4340753483963766E-3</v>
      </c>
      <c r="H34" s="15">
        <v>1.7003195651849759E-3</v>
      </c>
      <c r="I34" s="15">
        <v>8.5015978259248795E-4</v>
      </c>
      <c r="J34" s="15">
        <v>8.4177319573822368E-4</v>
      </c>
      <c r="K34" s="15">
        <v>4.2088659786911184E-4</v>
      </c>
      <c r="L34" s="15">
        <v>4.371445665187274E-3</v>
      </c>
      <c r="M34" s="15">
        <v>2.185722832593637E-3</v>
      </c>
    </row>
    <row r="35" spans="1:13" x14ac:dyDescent="0.35">
      <c r="A35" s="5">
        <v>33</v>
      </c>
      <c r="B35" s="5" t="s">
        <v>249</v>
      </c>
      <c r="C35" s="6" t="s">
        <v>179</v>
      </c>
      <c r="D35" s="15">
        <v>1.411433920894989E-2</v>
      </c>
      <c r="E35" s="15">
        <v>7.0571696044749452E-3</v>
      </c>
      <c r="F35" s="15">
        <v>1.1333194636759877E-2</v>
      </c>
      <c r="G35" s="15">
        <v>5.6665973183799385E-3</v>
      </c>
      <c r="H35" s="15">
        <v>8.2225432862768014E-3</v>
      </c>
      <c r="I35" s="15">
        <v>4.1112716431384007E-3</v>
      </c>
      <c r="J35" s="15">
        <v>4.5300550672028282E-3</v>
      </c>
      <c r="K35" s="15">
        <v>2.2650275336014141E-3</v>
      </c>
      <c r="L35" s="15">
        <v>1.2963491931047245E-4</v>
      </c>
      <c r="M35" s="15">
        <v>6.4817459655236223E-5</v>
      </c>
    </row>
    <row r="36" spans="1:13" x14ac:dyDescent="0.35">
      <c r="A36" s="5">
        <v>34</v>
      </c>
      <c r="B36" s="5" t="s">
        <v>250</v>
      </c>
      <c r="C36" s="6" t="s">
        <v>179</v>
      </c>
      <c r="D36" s="15">
        <v>1.1683252269661661E-3</v>
      </c>
      <c r="E36" s="15">
        <v>5.8416261348308307E-4</v>
      </c>
      <c r="F36" s="15">
        <v>4.8212923861610083E-5</v>
      </c>
      <c r="G36" s="15">
        <v>2.4106461930805041E-5</v>
      </c>
      <c r="H36" s="15">
        <v>1.2924338449743704E-6</v>
      </c>
      <c r="I36" s="15">
        <v>6.4621692248718522E-7</v>
      </c>
      <c r="J36" s="15">
        <v>1.2200578324964209E-4</v>
      </c>
      <c r="K36" s="15">
        <v>6.1002891624821044E-5</v>
      </c>
      <c r="L36" s="15">
        <v>1.1724723466628813E-3</v>
      </c>
      <c r="M36" s="15">
        <v>5.8623617333144063E-4</v>
      </c>
    </row>
    <row r="37" spans="1:13" x14ac:dyDescent="0.35">
      <c r="A37" s="5">
        <v>35</v>
      </c>
      <c r="B37" s="5" t="s">
        <v>251</v>
      </c>
      <c r="C37" s="6" t="s">
        <v>179</v>
      </c>
      <c r="D37" s="15">
        <v>0.13221494929823499</v>
      </c>
      <c r="E37" s="15">
        <v>6.6107474649117495E-2</v>
      </c>
      <c r="F37" s="15">
        <v>6.7323300214950962E-2</v>
      </c>
      <c r="G37" s="15">
        <v>3.3661650107475481E-2</v>
      </c>
      <c r="H37" s="15">
        <v>6.3241388099322734E-4</v>
      </c>
      <c r="I37" s="15">
        <v>3.1620694049661367E-4</v>
      </c>
      <c r="J37" s="15">
        <v>8.8900258745378699E-2</v>
      </c>
      <c r="K37" s="15">
        <v>4.445012937268935E-2</v>
      </c>
      <c r="L37" s="15">
        <v>3.8018621028637807E-4</v>
      </c>
      <c r="M37" s="15">
        <v>1.9009310514318903E-4</v>
      </c>
    </row>
    <row r="38" spans="1:13" x14ac:dyDescent="0.35">
      <c r="A38" s="5">
        <v>36</v>
      </c>
      <c r="B38" s="5" t="s">
        <v>252</v>
      </c>
      <c r="C38" s="6" t="s">
        <v>179</v>
      </c>
      <c r="D38" s="15">
        <v>1.9016544853939723E-4</v>
      </c>
      <c r="E38" s="15">
        <v>9.5082724269698613E-5</v>
      </c>
      <c r="F38" s="15">
        <v>8.1516263605206554E-3</v>
      </c>
      <c r="G38" s="15">
        <v>4.0758131802603277E-3</v>
      </c>
      <c r="H38" s="15">
        <v>2.1027585990345202E-4</v>
      </c>
      <c r="I38" s="15">
        <v>1.0513792995172601E-4</v>
      </c>
      <c r="J38" s="15">
        <v>5.6419442500931503E-4</v>
      </c>
      <c r="K38" s="15">
        <v>2.8209721250465751E-4</v>
      </c>
      <c r="L38" s="15">
        <v>4.0974486194334246E-4</v>
      </c>
      <c r="M38" s="15">
        <v>2.0487243097167123E-4</v>
      </c>
    </row>
    <row r="40" spans="1:13" ht="26" x14ac:dyDescent="0.6">
      <c r="A40" s="7" t="s">
        <v>19</v>
      </c>
      <c r="B40" s="8"/>
      <c r="C40" s="8"/>
      <c r="D40" s="13"/>
    </row>
    <row r="41" spans="1:13" x14ac:dyDescent="0.35">
      <c r="A41" s="9">
        <v>1</v>
      </c>
      <c r="B41" s="9" t="s">
        <v>20</v>
      </c>
      <c r="C41" s="10" t="s">
        <v>21</v>
      </c>
      <c r="D41" s="17">
        <v>10.240493000000001</v>
      </c>
      <c r="E41" s="17">
        <v>0.58962110000000001</v>
      </c>
      <c r="F41" s="17">
        <v>9.8974919999999997</v>
      </c>
      <c r="G41" s="17">
        <v>0.41121180000000002</v>
      </c>
      <c r="H41" s="17">
        <v>13.090223999999999</v>
      </c>
      <c r="I41" s="17">
        <v>0.32739249999999998</v>
      </c>
      <c r="J41" s="17">
        <v>12.122057</v>
      </c>
      <c r="K41" s="17">
        <v>0.59165129999999999</v>
      </c>
      <c r="L41" s="17">
        <v>10.688394000000001</v>
      </c>
      <c r="M41" s="17">
        <v>0.57504809999999995</v>
      </c>
    </row>
    <row r="42" spans="1:13" x14ac:dyDescent="0.35">
      <c r="A42" s="9">
        <v>2</v>
      </c>
      <c r="B42" s="9" t="s">
        <v>180</v>
      </c>
      <c r="C42" s="10" t="s">
        <v>21</v>
      </c>
      <c r="D42" s="17">
        <v>9.3974150000000005</v>
      </c>
      <c r="F42" s="17">
        <v>7.9157019999999996</v>
      </c>
      <c r="G42" s="17"/>
      <c r="H42" s="17">
        <v>11.465439</v>
      </c>
      <c r="I42" s="17"/>
      <c r="J42" s="17">
        <v>9.6527419999999999</v>
      </c>
      <c r="K42" s="17"/>
      <c r="L42" s="17">
        <v>7.9416000000000002</v>
      </c>
      <c r="M42" s="17"/>
    </row>
    <row r="43" spans="1:13" x14ac:dyDescent="0.35">
      <c r="A43" s="9">
        <v>3</v>
      </c>
      <c r="B43" s="9" t="s">
        <v>167</v>
      </c>
      <c r="C43" s="10" t="s">
        <v>21</v>
      </c>
      <c r="D43" s="17">
        <v>5.7369500000000002</v>
      </c>
      <c r="E43" s="17"/>
      <c r="F43" s="17">
        <v>2.8820000000000001</v>
      </c>
      <c r="G43" s="17"/>
      <c r="H43" s="17">
        <v>4.9303999999999997</v>
      </c>
      <c r="I43" s="17"/>
      <c r="J43" s="17">
        <v>8.3413350000000008</v>
      </c>
      <c r="K43" s="17"/>
      <c r="L43" s="17">
        <v>1.8084</v>
      </c>
      <c r="M43" s="17"/>
    </row>
    <row r="44" spans="1:13" x14ac:dyDescent="0.35">
      <c r="A44" s="9">
        <v>4</v>
      </c>
      <c r="B44" s="9" t="s">
        <v>200</v>
      </c>
      <c r="C44" s="10" t="s">
        <v>201</v>
      </c>
      <c r="D44" s="17">
        <v>884.26319999999998</v>
      </c>
      <c r="E44" s="17"/>
      <c r="F44" s="17">
        <v>1501.6922999999999</v>
      </c>
      <c r="G44" s="17"/>
      <c r="H44" s="17">
        <v>1046.5</v>
      </c>
      <c r="I44" s="17"/>
      <c r="J44" s="17">
        <v>449.5</v>
      </c>
      <c r="K44" s="17"/>
      <c r="L44" s="17">
        <v>2635.1</v>
      </c>
      <c r="M44" s="17"/>
    </row>
    <row r="45" spans="1:13" x14ac:dyDescent="0.35">
      <c r="A45" s="9">
        <v>5</v>
      </c>
      <c r="B45" s="8" t="s">
        <v>160</v>
      </c>
      <c r="C45" s="10" t="s">
        <v>168</v>
      </c>
      <c r="D45" s="17">
        <v>0.32656759474468966</v>
      </c>
      <c r="E45" s="17">
        <v>0.16437855245034977</v>
      </c>
      <c r="F45" s="17">
        <v>0.31045975717006297</v>
      </c>
      <c r="G45" s="17">
        <v>7.8558799430562487E-2</v>
      </c>
      <c r="H45" s="17">
        <v>7.3162576407054822E-3</v>
      </c>
      <c r="I45" s="17">
        <v>7.0528901977444406E-3</v>
      </c>
      <c r="J45" s="17">
        <v>0.4739057148472583</v>
      </c>
      <c r="K45" s="17">
        <v>0.16146131025564953</v>
      </c>
      <c r="L45" s="17">
        <v>1.9337844944991114E-4</v>
      </c>
      <c r="M45" s="17">
        <v>6.1151635065345418E-4</v>
      </c>
    </row>
    <row r="46" spans="1:13" x14ac:dyDescent="0.35">
      <c r="A46" s="9">
        <v>6</v>
      </c>
      <c r="B46" s="8" t="s">
        <v>22</v>
      </c>
      <c r="C46" s="10" t="s">
        <v>23</v>
      </c>
      <c r="D46" s="16">
        <v>2.4323501781423214</v>
      </c>
      <c r="E46" s="16"/>
      <c r="F46" s="16">
        <v>3.7253041652729526</v>
      </c>
      <c r="G46" s="16"/>
      <c r="H46" s="16">
        <v>4.8385681874089643</v>
      </c>
      <c r="I46" s="16"/>
      <c r="J46" s="16">
        <v>1.393927864036977</v>
      </c>
      <c r="K46" s="16"/>
      <c r="L46" s="16">
        <v>8.6175824554244311</v>
      </c>
      <c r="M46" s="13"/>
    </row>
    <row r="47" spans="1:13" x14ac:dyDescent="0.35">
      <c r="A47" s="9">
        <v>7</v>
      </c>
      <c r="B47" s="8" t="s">
        <v>24</v>
      </c>
      <c r="C47" s="10" t="s">
        <v>23</v>
      </c>
      <c r="D47" s="13">
        <v>8.4716316118609694</v>
      </c>
      <c r="E47" s="16"/>
      <c r="F47" s="13">
        <v>1.1232474425869927</v>
      </c>
      <c r="G47" s="16"/>
      <c r="H47" s="13">
        <v>0.51240455397907148</v>
      </c>
      <c r="I47" s="16"/>
      <c r="J47" s="13">
        <v>0.35273312027826415</v>
      </c>
      <c r="K47" s="16"/>
      <c r="L47" s="13">
        <v>0.46975683323434964</v>
      </c>
      <c r="M47" s="13"/>
    </row>
    <row r="48" spans="1:13" x14ac:dyDescent="0.35">
      <c r="A48" s="9">
        <v>8</v>
      </c>
      <c r="B48" s="8" t="s">
        <v>25</v>
      </c>
      <c r="C48" s="10" t="s">
        <v>23</v>
      </c>
      <c r="D48" s="13">
        <v>5.3577986892343077</v>
      </c>
      <c r="E48" s="16"/>
      <c r="F48" s="13">
        <v>3.4577517436177492</v>
      </c>
      <c r="G48" s="16"/>
      <c r="H48" s="13">
        <v>4.2948952587221045</v>
      </c>
      <c r="I48" s="16"/>
      <c r="J48" s="13">
        <v>3.9405854015456714</v>
      </c>
      <c r="K48" s="16"/>
      <c r="L48" s="13">
        <v>3.0408447155019203</v>
      </c>
      <c r="M48" s="13"/>
    </row>
    <row r="49" spans="1:13" x14ac:dyDescent="0.35">
      <c r="A49" s="9">
        <v>9</v>
      </c>
      <c r="B49" s="8" t="s">
        <v>26</v>
      </c>
      <c r="C49" s="10" t="s">
        <v>23</v>
      </c>
      <c r="D49" s="13">
        <v>0.90800919603657448</v>
      </c>
      <c r="E49" s="16"/>
      <c r="F49" s="13">
        <v>1.1168357740714712</v>
      </c>
      <c r="G49" s="16"/>
      <c r="H49" s="13">
        <v>2.0222311417669885</v>
      </c>
      <c r="I49" s="16"/>
      <c r="J49" s="13">
        <v>1.7585174218494173</v>
      </c>
      <c r="K49" s="16"/>
      <c r="L49" s="13">
        <v>0.81948828811823138</v>
      </c>
      <c r="M49" s="13"/>
    </row>
    <row r="50" spans="1:13" x14ac:dyDescent="0.35">
      <c r="A50" s="9">
        <v>10</v>
      </c>
      <c r="B50" s="8" t="s">
        <v>27</v>
      </c>
      <c r="C50" s="10" t="s">
        <v>23</v>
      </c>
      <c r="D50" s="16">
        <v>1.0521291991626498</v>
      </c>
      <c r="E50" s="16"/>
      <c r="F50" s="16">
        <v>0.20896667907169963</v>
      </c>
      <c r="G50" s="16"/>
      <c r="H50" s="16">
        <v>0.26691986144075114</v>
      </c>
      <c r="I50" s="16"/>
      <c r="J50" s="16">
        <v>2.3268684258918482</v>
      </c>
      <c r="K50" s="16"/>
      <c r="L50" s="16">
        <v>0.55378937264701944</v>
      </c>
      <c r="M50" s="13"/>
    </row>
    <row r="51" spans="1:13" x14ac:dyDescent="0.35">
      <c r="A51" s="9">
        <v>11</v>
      </c>
      <c r="B51" s="8" t="s">
        <v>202</v>
      </c>
      <c r="C51" s="10" t="s">
        <v>23</v>
      </c>
      <c r="D51" s="16">
        <v>9.1791540000000005</v>
      </c>
      <c r="E51" s="16">
        <v>1.2731239999999999</v>
      </c>
      <c r="F51" s="16">
        <v>4.7993069999999998</v>
      </c>
      <c r="G51" s="16">
        <v>9.1301560000000004E-3</v>
      </c>
      <c r="H51" s="16">
        <v>13.576252999999999</v>
      </c>
      <c r="I51" s="16">
        <v>7.2571894810000002</v>
      </c>
      <c r="J51" s="16">
        <v>6.6116929999999998</v>
      </c>
      <c r="K51" s="16">
        <v>1.918613779</v>
      </c>
      <c r="L51" s="16">
        <v>1.1752714</v>
      </c>
      <c r="M51" s="13">
        <v>0.63147409600000004</v>
      </c>
    </row>
    <row r="52" spans="1:13" x14ac:dyDescent="0.35">
      <c r="A52" s="9">
        <v>12</v>
      </c>
      <c r="B52" s="8" t="s">
        <v>30</v>
      </c>
      <c r="C52" s="10" t="s">
        <v>23</v>
      </c>
      <c r="D52" s="16">
        <v>0.23954410000000001</v>
      </c>
      <c r="E52" s="16">
        <v>0.33876650000000003</v>
      </c>
      <c r="F52" s="16">
        <v>0.79096049999999996</v>
      </c>
      <c r="G52" s="16">
        <v>0.74237500000000001</v>
      </c>
      <c r="H52" s="16">
        <v>0.46890340000000003</v>
      </c>
      <c r="I52" s="16">
        <v>0.39759260000000002</v>
      </c>
      <c r="J52" s="16">
        <v>0.23213890000000001</v>
      </c>
      <c r="K52" s="16">
        <v>0.13097990000000001</v>
      </c>
      <c r="L52" s="16">
        <v>1.2055297</v>
      </c>
      <c r="M52" s="13">
        <v>0.85942859999999999</v>
      </c>
    </row>
    <row r="53" spans="1:13" x14ac:dyDescent="0.35">
      <c r="A53" s="9">
        <v>13</v>
      </c>
      <c r="B53" s="8" t="s">
        <v>31</v>
      </c>
      <c r="C53" s="10" t="s">
        <v>23</v>
      </c>
      <c r="D53" s="16">
        <v>4.1319074999999996</v>
      </c>
      <c r="E53" s="16">
        <v>2.6204844</v>
      </c>
      <c r="F53" s="16">
        <v>3.9163573999999999</v>
      </c>
      <c r="G53" s="16">
        <v>2.8763820999999998</v>
      </c>
      <c r="H53" s="16">
        <v>2.7364644999999999</v>
      </c>
      <c r="I53" s="16">
        <v>0.35706339999999998</v>
      </c>
      <c r="J53" s="16">
        <v>1.4814088999999999</v>
      </c>
      <c r="K53" s="16">
        <v>0.62639690000000003</v>
      </c>
      <c r="L53" s="16">
        <v>1.2412795999999999</v>
      </c>
      <c r="M53" s="13">
        <v>0.53054069999999998</v>
      </c>
    </row>
    <row r="54" spans="1:13" x14ac:dyDescent="0.35">
      <c r="A54" s="9">
        <v>14</v>
      </c>
      <c r="B54" s="8" t="s">
        <v>158</v>
      </c>
      <c r="C54" s="10" t="s">
        <v>23</v>
      </c>
      <c r="D54" s="16">
        <v>0.32219335849999997</v>
      </c>
      <c r="E54" s="16"/>
      <c r="F54" s="16">
        <v>1.32958559E-2</v>
      </c>
      <c r="G54" s="16"/>
      <c r="H54" s="16">
        <v>3.5641924999999999E-4</v>
      </c>
      <c r="I54" s="16"/>
      <c r="J54" s="16">
        <v>3.3645979999999999E-2</v>
      </c>
      <c r="K54" s="16"/>
      <c r="L54" s="16">
        <v>0.32333699999999999</v>
      </c>
      <c r="M54" s="37"/>
    </row>
    <row r="55" spans="1:13" x14ac:dyDescent="0.35">
      <c r="A55" s="9">
        <v>15</v>
      </c>
      <c r="B55" s="8" t="s">
        <v>159</v>
      </c>
      <c r="C55" s="10" t="s">
        <v>23</v>
      </c>
      <c r="D55" s="16">
        <v>3.6306909999999998E-2</v>
      </c>
      <c r="E55" s="16"/>
      <c r="F55" s="16">
        <v>1.5563309999999999</v>
      </c>
      <c r="G55" s="16"/>
      <c r="H55" s="16">
        <v>4.0146439999999999E-2</v>
      </c>
      <c r="I55" s="16"/>
      <c r="J55" s="16">
        <v>0.1077176</v>
      </c>
      <c r="K55" s="16"/>
      <c r="L55" s="16">
        <v>7.8229629999999994E-2</v>
      </c>
      <c r="M55" s="37"/>
    </row>
    <row r="56" spans="1:13" x14ac:dyDescent="0.35">
      <c r="A56" s="9">
        <v>16</v>
      </c>
      <c r="B56" s="8" t="s">
        <v>165</v>
      </c>
      <c r="C56" s="10" t="s">
        <v>23</v>
      </c>
      <c r="D56" s="8">
        <v>10.280304567373474</v>
      </c>
      <c r="E56" s="16">
        <v>8.4812444609999993</v>
      </c>
      <c r="F56" s="16">
        <v>3.5113963199999998</v>
      </c>
      <c r="G56" s="16">
        <v>3.2785495619999998</v>
      </c>
      <c r="H56" s="16">
        <v>7.5097617000000005E-2</v>
      </c>
      <c r="I56" s="16">
        <v>9.3705091000000004E-2</v>
      </c>
      <c r="J56" s="16">
        <v>7.6321474839999999</v>
      </c>
      <c r="K56" s="16">
        <v>8.6550229059999992</v>
      </c>
      <c r="L56" s="16">
        <v>1.770607E-3</v>
      </c>
      <c r="M56" s="13">
        <v>4.3370830000000003E-3</v>
      </c>
    </row>
    <row r="57" spans="1:13" x14ac:dyDescent="0.35">
      <c r="A57" s="9">
        <v>17</v>
      </c>
      <c r="B57" s="8" t="s">
        <v>166</v>
      </c>
      <c r="C57" s="10" t="s">
        <v>23</v>
      </c>
      <c r="D57" s="16">
        <v>25.242841439890078</v>
      </c>
      <c r="E57" s="16">
        <v>18.100777572999998</v>
      </c>
      <c r="F57" s="16">
        <v>12.853549478</v>
      </c>
      <c r="G57" s="16">
        <v>15.547954317</v>
      </c>
      <c r="H57" s="16">
        <v>0.120742196</v>
      </c>
      <c r="I57" s="16">
        <v>0.17997648599999999</v>
      </c>
      <c r="J57" s="16">
        <v>16.973081693000001</v>
      </c>
      <c r="K57" s="16">
        <v>11.787042123000001</v>
      </c>
      <c r="L57" s="16">
        <v>7.2586196000000006E-2</v>
      </c>
      <c r="M57" s="13">
        <v>0.15708614900000001</v>
      </c>
    </row>
    <row r="58" spans="1:13" x14ac:dyDescent="0.35">
      <c r="A58" s="9">
        <v>18</v>
      </c>
      <c r="B58" s="8" t="s">
        <v>32</v>
      </c>
      <c r="C58" s="10" t="s">
        <v>23</v>
      </c>
      <c r="D58" s="16">
        <v>5.354917872714231</v>
      </c>
      <c r="E58" s="16"/>
      <c r="F58" s="16">
        <v>5.3429932071880728</v>
      </c>
      <c r="G58" s="16"/>
      <c r="H58" s="16">
        <v>4.451094572511467</v>
      </c>
      <c r="I58" s="16"/>
      <c r="J58" s="16">
        <v>4.116539054311926</v>
      </c>
      <c r="K58" s="16"/>
      <c r="L58" s="16">
        <v>1.8180427205504586</v>
      </c>
    </row>
    <row r="59" spans="1:13" x14ac:dyDescent="0.35">
      <c r="A59" s="9">
        <v>19</v>
      </c>
      <c r="B59" s="8" t="s">
        <v>33</v>
      </c>
      <c r="C59" s="10" t="s">
        <v>23</v>
      </c>
      <c r="D59" s="16">
        <v>1.5578214515930142</v>
      </c>
      <c r="E59" s="16"/>
      <c r="F59" s="16">
        <v>1.3807395753864304</v>
      </c>
      <c r="G59" s="16"/>
      <c r="H59" s="16">
        <v>1.093792666100704</v>
      </c>
      <c r="I59" s="16"/>
      <c r="J59" s="16">
        <v>0.87898105291124362</v>
      </c>
      <c r="K59" s="16"/>
      <c r="L59" s="16">
        <v>0.35441645392681881</v>
      </c>
    </row>
    <row r="60" spans="1:13" x14ac:dyDescent="0.35">
      <c r="A60" s="9">
        <v>20</v>
      </c>
      <c r="B60" s="8" t="s">
        <v>34</v>
      </c>
      <c r="C60" s="10" t="s">
        <v>23</v>
      </c>
      <c r="D60" s="16">
        <v>18.403219989872277</v>
      </c>
      <c r="E60" s="16"/>
      <c r="F60" s="16">
        <v>10.490392913780543</v>
      </c>
      <c r="G60" s="16"/>
      <c r="H60" s="16">
        <v>0.11712693059168898</v>
      </c>
      <c r="I60" s="16"/>
      <c r="J60" s="16">
        <v>12.434821842925722</v>
      </c>
      <c r="K60" s="16"/>
      <c r="L60" s="16">
        <v>0.10979391035521449</v>
      </c>
    </row>
    <row r="61" spans="1:13" x14ac:dyDescent="0.35">
      <c r="A61" s="9">
        <v>21</v>
      </c>
      <c r="B61" s="8" t="s">
        <v>154</v>
      </c>
      <c r="C61" s="10" t="s">
        <v>155</v>
      </c>
      <c r="D61" s="16">
        <v>555.38994216228696</v>
      </c>
      <c r="E61" s="16"/>
      <c r="F61" s="16">
        <v>384.66280015304699</v>
      </c>
      <c r="G61" s="16"/>
      <c r="H61" s="16">
        <v>317.083903009398</v>
      </c>
      <c r="I61" s="16"/>
      <c r="J61" s="16">
        <v>235.54478217396701</v>
      </c>
      <c r="K61" s="16"/>
      <c r="L61" s="16">
        <v>354.50234195540702</v>
      </c>
    </row>
    <row r="62" spans="1:13" x14ac:dyDescent="0.35">
      <c r="A62" s="9">
        <v>22</v>
      </c>
      <c r="B62" s="8" t="s">
        <v>156</v>
      </c>
      <c r="C62" s="10" t="s">
        <v>155</v>
      </c>
      <c r="D62" s="16">
        <v>1679.9187908255799</v>
      </c>
      <c r="E62" s="16"/>
      <c r="F62" s="16">
        <v>524.29391895270601</v>
      </c>
      <c r="G62" s="16"/>
      <c r="H62" s="16">
        <v>436.082019537897</v>
      </c>
      <c r="I62" s="16"/>
      <c r="J62" s="16">
        <v>308.87667068271998</v>
      </c>
      <c r="K62" s="16"/>
      <c r="L62" s="16">
        <v>627.79010109917101</v>
      </c>
    </row>
    <row r="63" spans="1:13" x14ac:dyDescent="0.35">
      <c r="A63" s="9">
        <v>23</v>
      </c>
      <c r="B63" s="8" t="s">
        <v>157</v>
      </c>
      <c r="C63" s="10" t="s">
        <v>155</v>
      </c>
      <c r="D63" s="16">
        <v>11749.864845948199</v>
      </c>
      <c r="E63" s="16"/>
      <c r="F63" s="16">
        <v>8239.8320490517999</v>
      </c>
      <c r="G63" s="16"/>
      <c r="H63" s="16">
        <v>10570.128463663599</v>
      </c>
      <c r="I63" s="16"/>
      <c r="J63" s="16">
        <v>23363.7795992069</v>
      </c>
      <c r="K63" s="16"/>
      <c r="L63" s="16">
        <v>11056.7363182476</v>
      </c>
    </row>
    <row r="64" spans="1:13" x14ac:dyDescent="0.35">
      <c r="A64" s="9">
        <v>24</v>
      </c>
      <c r="B64" s="8" t="s">
        <v>36</v>
      </c>
      <c r="C64" s="10" t="s">
        <v>37</v>
      </c>
      <c r="D64" s="13">
        <v>7.5640000000000004E-3</v>
      </c>
      <c r="E64" s="16"/>
      <c r="F64" s="13">
        <v>7.5640000000000004E-3</v>
      </c>
      <c r="G64" s="16"/>
      <c r="H64" s="13">
        <v>7.5640000000000004E-3</v>
      </c>
      <c r="I64" s="16"/>
      <c r="J64" s="13">
        <v>7.5640000000000004E-3</v>
      </c>
      <c r="K64" s="16"/>
      <c r="L64" s="13">
        <v>7.5640000000000004E-3</v>
      </c>
    </row>
    <row r="65" spans="1:13" x14ac:dyDescent="0.35">
      <c r="A65" s="9">
        <v>25</v>
      </c>
      <c r="B65" s="8" t="s">
        <v>38</v>
      </c>
      <c r="C65" s="10" t="s">
        <v>37</v>
      </c>
      <c r="D65" s="16">
        <v>0.46887499999999999</v>
      </c>
      <c r="E65" s="16"/>
      <c r="F65" s="16">
        <v>0.46887499999999999</v>
      </c>
      <c r="G65" s="16"/>
      <c r="H65" s="16">
        <v>0.46887499999999999</v>
      </c>
      <c r="I65" s="16"/>
      <c r="J65" s="16">
        <v>0.46887499999999999</v>
      </c>
      <c r="K65" s="16"/>
      <c r="L65" s="16">
        <v>0.46887499999999999</v>
      </c>
    </row>
    <row r="66" spans="1:13" x14ac:dyDescent="0.35">
      <c r="A66" s="9">
        <v>26</v>
      </c>
      <c r="B66" s="8" t="s">
        <v>150</v>
      </c>
      <c r="C66" s="10" t="s">
        <v>37</v>
      </c>
      <c r="D66" s="16">
        <v>0.96186859999999996</v>
      </c>
      <c r="E66" s="18"/>
      <c r="F66" s="16">
        <v>0.54815100000000005</v>
      </c>
      <c r="G66" s="16"/>
      <c r="H66" s="16">
        <v>2.8122100000000001E-2</v>
      </c>
      <c r="I66" s="16"/>
      <c r="J66" s="16">
        <v>0.75654580000000005</v>
      </c>
      <c r="K66" s="16"/>
      <c r="L66" s="16">
        <v>1.7015480000000001</v>
      </c>
    </row>
    <row r="67" spans="1:13" x14ac:dyDescent="0.35">
      <c r="A67" s="9">
        <v>27</v>
      </c>
      <c r="B67" s="8" t="s">
        <v>151</v>
      </c>
      <c r="C67" s="10" t="s">
        <v>37</v>
      </c>
      <c r="D67" s="16">
        <v>1.21023E-2</v>
      </c>
      <c r="E67" s="18"/>
      <c r="F67" s="16">
        <v>0.51877689999999999</v>
      </c>
      <c r="G67" s="16"/>
      <c r="H67" s="16">
        <v>1.3382150000000001E-2</v>
      </c>
      <c r="I67" s="16"/>
      <c r="J67" s="16">
        <v>3.5905859999999998E-2</v>
      </c>
      <c r="K67" s="16"/>
      <c r="L67" s="16">
        <v>2.6076539999999999E-2</v>
      </c>
    </row>
    <row r="68" spans="1:13" x14ac:dyDescent="0.35">
      <c r="A68" s="9">
        <v>28</v>
      </c>
      <c r="B68" s="8" t="s">
        <v>235</v>
      </c>
      <c r="C68" s="10" t="s">
        <v>37</v>
      </c>
      <c r="D68" s="16">
        <v>1.1365681939127792</v>
      </c>
      <c r="E68" s="18"/>
      <c r="F68" s="16">
        <v>2.37664373529313</v>
      </c>
      <c r="G68" s="16"/>
      <c r="H68" s="16">
        <v>1.5945618649858171</v>
      </c>
      <c r="I68" s="16"/>
      <c r="J68" s="16">
        <v>20.549279036435077</v>
      </c>
      <c r="K68" s="16"/>
      <c r="L68" s="16">
        <v>1.5945618649858171</v>
      </c>
    </row>
    <row r="69" spans="1:13" x14ac:dyDescent="0.35">
      <c r="A69" s="9">
        <v>29</v>
      </c>
      <c r="B69" s="8" t="s">
        <v>39</v>
      </c>
      <c r="C69" s="10" t="s">
        <v>40</v>
      </c>
      <c r="D69" s="16">
        <f>1.3*1000</f>
        <v>1300</v>
      </c>
      <c r="E69" s="18"/>
      <c r="F69" s="16">
        <f>1.3*1000</f>
        <v>1300</v>
      </c>
      <c r="G69" s="16"/>
      <c r="H69" s="16">
        <f>1.3*1000</f>
        <v>1300</v>
      </c>
      <c r="I69" s="16"/>
      <c r="J69" s="16">
        <f>1.3*1000</f>
        <v>1300</v>
      </c>
      <c r="K69" s="16"/>
      <c r="L69" s="16">
        <f>1.3*1000</f>
        <v>1300</v>
      </c>
    </row>
    <row r="70" spans="1:13" x14ac:dyDescent="0.35">
      <c r="A70" s="9">
        <v>30</v>
      </c>
      <c r="B70" s="8" t="s">
        <v>41</v>
      </c>
      <c r="C70" s="10" t="s">
        <v>40</v>
      </c>
      <c r="D70" s="16">
        <f>892*1000</f>
        <v>892000</v>
      </c>
      <c r="E70" s="18"/>
      <c r="F70" s="16">
        <f>892*1000</f>
        <v>892000</v>
      </c>
      <c r="G70" s="16"/>
      <c r="H70" s="16">
        <f>892*1000</f>
        <v>892000</v>
      </c>
      <c r="I70" s="16"/>
      <c r="J70" s="16">
        <f>892*1000</f>
        <v>892000</v>
      </c>
      <c r="K70" s="16"/>
      <c r="L70" s="16">
        <f>892*1000</f>
        <v>892000</v>
      </c>
    </row>
    <row r="71" spans="1:13" x14ac:dyDescent="0.35">
      <c r="A71" s="9">
        <v>31</v>
      </c>
      <c r="B71" s="8" t="s">
        <v>42</v>
      </c>
      <c r="C71" s="10" t="s">
        <v>40</v>
      </c>
      <c r="D71" s="16">
        <f>1257.66*1000</f>
        <v>1257660</v>
      </c>
      <c r="E71" s="18"/>
      <c r="F71" s="16">
        <f>1257.66*1000</f>
        <v>1257660</v>
      </c>
      <c r="G71" s="16"/>
      <c r="H71" s="16">
        <f>1257.66*1000</f>
        <v>1257660</v>
      </c>
      <c r="I71" s="16"/>
      <c r="J71" s="16">
        <f>1257.66*1000</f>
        <v>1257660</v>
      </c>
      <c r="K71" s="16"/>
      <c r="L71" s="16">
        <f>1257.66*1000</f>
        <v>1257660</v>
      </c>
    </row>
    <row r="72" spans="1:13" x14ac:dyDescent="0.35">
      <c r="A72" s="9">
        <v>32</v>
      </c>
      <c r="B72" s="8" t="s">
        <v>181</v>
      </c>
      <c r="C72" s="10" t="s">
        <v>35</v>
      </c>
      <c r="D72" s="17">
        <v>1.0503395377281601</v>
      </c>
      <c r="E72" s="17"/>
      <c r="F72" s="17">
        <v>0.48589487930952385</v>
      </c>
      <c r="G72" s="17"/>
      <c r="H72" s="17">
        <v>6.4810982831485352E-3</v>
      </c>
      <c r="I72" s="17"/>
      <c r="J72" s="17">
        <v>0.79249506342541975</v>
      </c>
      <c r="K72" s="17"/>
      <c r="L72" s="17">
        <v>2.8626111979504808E-3</v>
      </c>
      <c r="M72" s="15"/>
    </row>
    <row r="74" spans="1:13" ht="30" x14ac:dyDescent="0.6">
      <c r="A74" s="19" t="s">
        <v>43</v>
      </c>
      <c r="B74" s="20"/>
      <c r="C74" s="20"/>
      <c r="D74" s="21"/>
      <c r="E74" s="21"/>
      <c r="F74" s="21"/>
      <c r="G74" s="21"/>
      <c r="H74" s="21"/>
      <c r="I74" s="21"/>
      <c r="J74" s="21"/>
      <c r="K74" s="21"/>
      <c r="L74" s="21"/>
      <c r="M74" s="21"/>
    </row>
    <row r="75" spans="1:13" x14ac:dyDescent="0.35">
      <c r="A75" s="22">
        <v>1</v>
      </c>
      <c r="B75" s="22" t="s">
        <v>47</v>
      </c>
      <c r="C75" s="23" t="s">
        <v>45</v>
      </c>
      <c r="D75" s="24">
        <v>6.5344519999999999</v>
      </c>
      <c r="E75" s="24">
        <v>0.75064960000000003</v>
      </c>
      <c r="F75" s="21">
        <v>4.0130990000000004</v>
      </c>
      <c r="G75" s="21">
        <v>0.6753015</v>
      </c>
      <c r="H75" s="11">
        <v>9.1313420000000001</v>
      </c>
      <c r="I75" s="11">
        <v>0.45024690000000001</v>
      </c>
      <c r="J75" s="21">
        <v>9.7313410000000005</v>
      </c>
      <c r="K75" s="21">
        <v>0.35580620000000002</v>
      </c>
      <c r="L75" s="24">
        <v>4.5152340000000004</v>
      </c>
      <c r="M75" s="24">
        <v>0.33743719999999999</v>
      </c>
    </row>
    <row r="76" spans="1:13" x14ac:dyDescent="0.35">
      <c r="A76" s="22">
        <v>2</v>
      </c>
      <c r="B76" s="22" t="s">
        <v>48</v>
      </c>
      <c r="C76" s="23" t="s">
        <v>45</v>
      </c>
      <c r="D76" s="24">
        <v>6.0951810000000002</v>
      </c>
      <c r="E76" s="24">
        <v>1.4836384</v>
      </c>
      <c r="F76" s="21">
        <v>4.4330930000000004</v>
      </c>
      <c r="G76" s="21">
        <v>0.7529901</v>
      </c>
      <c r="H76" s="21">
        <v>8.9932130000000008</v>
      </c>
      <c r="I76" s="21">
        <v>0.57430250000000005</v>
      </c>
      <c r="J76" s="21">
        <v>10.505179</v>
      </c>
      <c r="K76" s="21">
        <v>0.38461450000000003</v>
      </c>
      <c r="L76" s="24">
        <v>6.5810570000000004</v>
      </c>
      <c r="M76" s="24">
        <v>1.1969808</v>
      </c>
    </row>
    <row r="77" spans="1:13" x14ac:dyDescent="0.35">
      <c r="A77" s="22">
        <v>3</v>
      </c>
      <c r="B77" s="22" t="s">
        <v>49</v>
      </c>
      <c r="C77" s="23" t="s">
        <v>45</v>
      </c>
      <c r="D77" s="24">
        <v>2.78</v>
      </c>
      <c r="E77" s="24">
        <v>1.33</v>
      </c>
      <c r="F77" s="21">
        <v>1.1299999999999999</v>
      </c>
      <c r="G77" s="21">
        <v>0.55000000000000004</v>
      </c>
      <c r="H77" s="21" t="s">
        <v>71</v>
      </c>
      <c r="I77" s="21" t="s">
        <v>71</v>
      </c>
      <c r="J77" s="21">
        <v>7.75</v>
      </c>
      <c r="K77" s="21">
        <v>0.47</v>
      </c>
      <c r="L77" s="24" t="s">
        <v>71</v>
      </c>
      <c r="M77" s="24" t="s">
        <v>71</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15DA-0DA1-4AE4-BB45-D24BB06BB86E}">
  <dimension ref="A1:R87"/>
  <sheetViews>
    <sheetView workbookViewId="0">
      <pane xSplit="3" ySplit="2" topLeftCell="D40" activePane="bottomRight" state="frozen"/>
      <selection pane="topRight" activeCell="D1" sqref="D1"/>
      <selection pane="bottomLeft" activeCell="A3" sqref="A3"/>
      <selection pane="bottomRight" activeCell="A44" sqref="A44:XFD69"/>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453125" style="11" bestFit="1" customWidth="1"/>
    <col min="12" max="12" width="14.7265625" style="11" bestFit="1" customWidth="1"/>
    <col min="13" max="13" width="10.54296875" style="11" bestFit="1" customWidth="1"/>
    <col min="18" max="18" width="9.453125" bestFit="1" customWidth="1"/>
  </cols>
  <sheetData>
    <row r="1" spans="1:16" ht="26" x14ac:dyDescent="0.6">
      <c r="A1" s="1" t="s">
        <v>0</v>
      </c>
      <c r="B1" s="2"/>
      <c r="C1" s="2"/>
      <c r="D1" s="12"/>
      <c r="E1" s="12"/>
      <c r="F1" s="12"/>
      <c r="G1" s="12"/>
      <c r="H1" s="12"/>
      <c r="I1" s="12"/>
      <c r="J1" s="12"/>
      <c r="K1" s="12"/>
      <c r="L1" s="12"/>
      <c r="M1" s="12"/>
    </row>
    <row r="2" spans="1:16" x14ac:dyDescent="0.35">
      <c r="A2" s="2"/>
      <c r="B2" s="2"/>
      <c r="C2" s="3" t="s">
        <v>1</v>
      </c>
      <c r="D2" s="3" t="s">
        <v>2</v>
      </c>
      <c r="E2" s="4" t="s">
        <v>3</v>
      </c>
      <c r="F2" s="3" t="s">
        <v>4</v>
      </c>
      <c r="G2" s="4" t="s">
        <v>3</v>
      </c>
      <c r="H2" s="3" t="s">
        <v>5</v>
      </c>
      <c r="I2" s="4" t="s">
        <v>3</v>
      </c>
      <c r="J2" s="3" t="s">
        <v>6</v>
      </c>
      <c r="K2" s="4" t="s">
        <v>3</v>
      </c>
      <c r="L2" s="3" t="s">
        <v>7</v>
      </c>
      <c r="M2" s="4" t="s">
        <v>3</v>
      </c>
    </row>
    <row r="3" spans="1:16" x14ac:dyDescent="0.35">
      <c r="A3" s="5">
        <v>1</v>
      </c>
      <c r="B3" s="5" t="s">
        <v>153</v>
      </c>
      <c r="C3" s="6" t="s">
        <v>8</v>
      </c>
      <c r="D3" s="15">
        <v>6.984790197903564</v>
      </c>
      <c r="E3" s="15">
        <v>1.4592867511980716</v>
      </c>
      <c r="F3" s="15">
        <v>4.0048802595387842</v>
      </c>
      <c r="G3" s="15">
        <v>0.84743941037243176</v>
      </c>
      <c r="H3" s="12">
        <v>9.3827997589098526</v>
      </c>
      <c r="I3" s="12">
        <v>4.8765990280137759</v>
      </c>
      <c r="J3" s="15">
        <v>5.689407455765199</v>
      </c>
      <c r="K3" s="15">
        <v>1.2846958017222954</v>
      </c>
      <c r="L3" s="15">
        <v>2.9328239132075473</v>
      </c>
      <c r="M3" s="15">
        <v>0.55150632668044375</v>
      </c>
    </row>
    <row r="4" spans="1:16" x14ac:dyDescent="0.35">
      <c r="A4" s="5">
        <v>2</v>
      </c>
      <c r="B4" s="5" t="s">
        <v>9</v>
      </c>
      <c r="C4" s="6" t="s">
        <v>8</v>
      </c>
      <c r="D4" s="15">
        <v>0.97868813053894244</v>
      </c>
      <c r="E4" s="15">
        <v>0.20023276423153064</v>
      </c>
      <c r="F4" s="15">
        <v>1.6343249758697753</v>
      </c>
      <c r="G4" s="15">
        <v>5.6975159479932917E-2</v>
      </c>
      <c r="H4" s="15">
        <v>0.46955161565803499</v>
      </c>
      <c r="I4" s="15">
        <v>2.9864707184233424E-2</v>
      </c>
      <c r="J4" s="15">
        <v>1.7889700021150503</v>
      </c>
      <c r="K4" s="15">
        <v>0.59585480538241931</v>
      </c>
      <c r="L4" s="15">
        <v>0.4195884011815369</v>
      </c>
      <c r="M4" s="15">
        <v>0.18168493088635868</v>
      </c>
    </row>
    <row r="5" spans="1:16" x14ac:dyDescent="0.35">
      <c r="A5" s="5">
        <v>3</v>
      </c>
      <c r="B5" s="5" t="s">
        <v>11</v>
      </c>
      <c r="C5" s="6" t="s">
        <v>8</v>
      </c>
      <c r="D5" s="15">
        <f>D3*NZ_Extra!D6</f>
        <v>2.128645159391267</v>
      </c>
      <c r="E5" s="15">
        <f>D5*SQRT((E3/D3)^2+(NZ_Extra!E6/NZ_Extra!D6)^2)</f>
        <v>1.4594560727599954</v>
      </c>
      <c r="F5" s="15">
        <f>F3*NZ_Extra!F6</f>
        <v>3.0574044664653628</v>
      </c>
      <c r="G5" s="15">
        <f>F5*SQRT((G3/F3)^2+(NZ_Extra!G6/NZ_Extra!F6)^2)</f>
        <v>0.94638162807843096</v>
      </c>
      <c r="H5" s="15">
        <f>H3*NZ_Extra!H6</f>
        <v>6.197919332694827</v>
      </c>
      <c r="I5" s="15">
        <f>H5*SQRT((I3/H3)^2+(NZ_Extra!I6/NZ_Extra!H6)^2)</f>
        <v>4.7729748737311617</v>
      </c>
      <c r="J5" s="15">
        <f>J3*NZ_Extra!J6</f>
        <v>3.4570987842135543</v>
      </c>
      <c r="K5" s="15">
        <f>J5*SQRT((K3/J3)^2+(NZ_Extra!K6/NZ_Extra!J6)^2)</f>
        <v>2.2352910283768845</v>
      </c>
      <c r="L5" s="15">
        <f>L3*NZ_Extra!L6</f>
        <v>2.6299363109562823</v>
      </c>
      <c r="M5" s="15">
        <f>L5*SQRT((M3/L3)^2+(NZ_Extra!M6/NZ_Extra!L6)^2)</f>
        <v>3.5531588696345375</v>
      </c>
    </row>
    <row r="6" spans="1:16" x14ac:dyDescent="0.35">
      <c r="A6" s="5">
        <v>4</v>
      </c>
      <c r="B6" s="5" t="s">
        <v>12</v>
      </c>
      <c r="C6" s="6" t="s">
        <v>8</v>
      </c>
      <c r="D6" s="15">
        <f>D3*NZ_Extra!D7</f>
        <v>1.6532034947643264</v>
      </c>
      <c r="E6" s="15">
        <f>D6*SQRT((E3/D3)^2+(NZ_Extra!E7/NZ_Extra!D7)^2)</f>
        <v>0.75475263841989737</v>
      </c>
      <c r="F6" s="15">
        <f>F3*NZ_Extra!F7</f>
        <v>0.3423901749454592</v>
      </c>
      <c r="G6" s="15">
        <f>F6*SQRT((G3/F3)^2+(NZ_Extra!G7/NZ_Extra!F7)^2)</f>
        <v>0.49677515438728981</v>
      </c>
      <c r="H6" s="15">
        <f>H3*NZ_Extra!H7</f>
        <v>2.5949318750311074</v>
      </c>
      <c r="I6" s="15">
        <f>H6*SQRT((I3/H3)^2+(NZ_Extra!I7/NZ_Extra!H7)^2)</f>
        <v>3.2487322243879495</v>
      </c>
      <c r="J6" s="15">
        <f>J3*NZ_Extra!J7</f>
        <v>1.9849115484554647</v>
      </c>
      <c r="K6" s="15">
        <f>J6*SQRT((K3/J3)^2+(NZ_Extra!K7/NZ_Extra!J7)^2)</f>
        <v>1.9757685928099769</v>
      </c>
      <c r="L6" s="15">
        <f>L3*NZ_Extra!L7</f>
        <v>0.15062299651928279</v>
      </c>
      <c r="M6" s="15">
        <f>L6*SQRT((M3/L3)^2+(NZ_Extra!M7/NZ_Extra!L7)^2)</f>
        <v>3.164614683943312</v>
      </c>
    </row>
    <row r="7" spans="1:16" x14ac:dyDescent="0.35">
      <c r="A7" s="5">
        <v>5</v>
      </c>
      <c r="B7" s="5" t="s">
        <v>182</v>
      </c>
      <c r="C7" s="6" t="s">
        <v>8</v>
      </c>
      <c r="D7" s="15">
        <f>D3*NZ_Extra!D8</f>
        <v>3.2029415437479707</v>
      </c>
      <c r="E7" s="15">
        <f>D7*SQRT((E3/D3)^2+(NZ_Extra!E8/NZ_Extra!D8)^2)</f>
        <v>1.918267089911091</v>
      </c>
      <c r="F7" s="15">
        <f>F3*NZ_Extra!F8</f>
        <v>0.3577774583389487</v>
      </c>
      <c r="G7" s="15">
        <f>F7*SQRT((G3/F3)^2+(NZ_Extra!G8/NZ_Extra!F8)^2)</f>
        <v>0.2339514746144051</v>
      </c>
      <c r="H7" s="15">
        <f>H3*NZ_Extra!H8</f>
        <v>0.58994855118391765</v>
      </c>
      <c r="I7" s="15">
        <f>H7*SQRT((I3/H3)^2+(NZ_Extra!I8/NZ_Extra!H8)^2)</f>
        <v>0.5543786938645463</v>
      </c>
      <c r="J7" s="15">
        <f>J3*NZ_Extra!J8</f>
        <v>0.24739712309617995</v>
      </c>
      <c r="K7" s="15">
        <f>J7*SQRT((K3/J3)^2+(NZ_Extra!K8/NZ_Extra!J8)^2)</f>
        <v>0.15495821809072841</v>
      </c>
      <c r="L7" s="15">
        <f>L3*NZ_Extra!L8</f>
        <v>0.15226460573198244</v>
      </c>
      <c r="M7" s="15">
        <f>L7*SQRT((M3/L3)^2+(NZ_Extra!M8/NZ_Extra!L8)^2)</f>
        <v>0.20051387265997739</v>
      </c>
    </row>
    <row r="8" spans="1:16" x14ac:dyDescent="0.35">
      <c r="A8" s="5">
        <v>6</v>
      </c>
      <c r="B8" s="5" t="s">
        <v>13</v>
      </c>
      <c r="C8" s="6" t="s">
        <v>8</v>
      </c>
      <c r="D8" s="15">
        <f>D11*NZ_Extra!D14</f>
        <v>0.67907804661440174</v>
      </c>
      <c r="E8" s="15">
        <f>D8*SQRT((E11/D11)^2+(NZ_Extra!E14/NZ_Extra!D14)^2)</f>
        <v>0.48623447275456766</v>
      </c>
      <c r="F8" s="15">
        <f>F11*NZ_Extra!F14</f>
        <v>1.8898783958923295</v>
      </c>
      <c r="G8" s="15">
        <f>F8*SQRT((G11/F11)^2+(NZ_Extra!G14/NZ_Extra!F14)^2)</f>
        <v>0.73034638435033294</v>
      </c>
      <c r="H8" s="15">
        <f>H11*NZ_Extra!H14</f>
        <v>3.4956497672810012</v>
      </c>
      <c r="I8" s="15">
        <f>H8*SQRT((I11/H11)^2+(NZ_Extra!I14/NZ_Extra!H14)^2)</f>
        <v>2.5146743932235576</v>
      </c>
      <c r="J8" s="15">
        <f>J11*NZ_Extra!J14</f>
        <v>2.1195066010520414</v>
      </c>
      <c r="K8" s="15">
        <f>J8*SQRT((K11/J11)^2+(NZ_Extra!K14/NZ_Extra!J14)^2)</f>
        <v>1.293169338866397</v>
      </c>
      <c r="L8" s="15">
        <f>L11*NZ_Extra!L14</f>
        <v>1.249680964823271</v>
      </c>
      <c r="M8" s="15">
        <f>L8*SQRT((M11/L11)^2+(NZ_Extra!M14/NZ_Extra!L14)^2)</f>
        <v>0.93631570638214678</v>
      </c>
    </row>
    <row r="9" spans="1:16" x14ac:dyDescent="0.35">
      <c r="A9" s="5">
        <v>7</v>
      </c>
      <c r="B9" s="5" t="s">
        <v>14</v>
      </c>
      <c r="C9" s="6" t="s">
        <v>8</v>
      </c>
      <c r="D9" s="15">
        <f>D11*NZ_Extra!D15</f>
        <v>0.65315059178235824</v>
      </c>
      <c r="E9" s="15">
        <f>D9*SQRT((E11/D11)^2+(NZ_Extra!E15/NZ_Extra!D15)^2)</f>
        <v>0.70067772971807341</v>
      </c>
      <c r="F9" s="15">
        <f>F11*NZ_Extra!F15</f>
        <v>0.48436400386133022</v>
      </c>
      <c r="G9" s="15">
        <f>F9*SQRT((G11/F11)^2+(NZ_Extra!G15/NZ_Extra!F15)^2)</f>
        <v>0.53471731927488009</v>
      </c>
      <c r="H9" s="15">
        <f>H11*NZ_Extra!H15</f>
        <v>1.5734107472520935</v>
      </c>
      <c r="I9" s="15">
        <f>H9*SQRT((I11/H11)^2+(NZ_Extra!I15/NZ_Extra!H15)^2)</f>
        <v>1.7854607152677655</v>
      </c>
      <c r="J9" s="15">
        <f>J11*NZ_Extra!J15</f>
        <v>2.2956993882787935</v>
      </c>
      <c r="K9" s="15">
        <f>J9*SQRT((K11/J11)^2+(NZ_Extra!K15/NZ_Extra!J15)^2)</f>
        <v>1.4378622111730337</v>
      </c>
      <c r="L9" s="15">
        <f>L11*NZ_Extra!L15</f>
        <v>1.5922615659761581</v>
      </c>
      <c r="M9" s="15">
        <f>L9*SQRT((M11/L11)^2+(NZ_Extra!M15/NZ_Extra!L15)^2)</f>
        <v>2.3670613615743945</v>
      </c>
    </row>
    <row r="10" spans="1:16" x14ac:dyDescent="0.35">
      <c r="A10" s="5">
        <v>8</v>
      </c>
      <c r="B10" s="5" t="s">
        <v>183</v>
      </c>
      <c r="C10" s="6" t="s">
        <v>8</v>
      </c>
      <c r="D10" s="15">
        <f>D11*NZ_Extra!D16</f>
        <v>1.1294382425092031</v>
      </c>
      <c r="E10" s="15">
        <f>D10*SQRT((E11/D11)^2+(NZ_Extra!E16/NZ_Extra!D16)^2)</f>
        <v>0.69167129471520195</v>
      </c>
      <c r="F10" s="15">
        <f>F11*NZ_Extra!F16</f>
        <v>8.3139899568425379E-2</v>
      </c>
      <c r="G10" s="15">
        <f>F10*SQRT((G11/F11)^2+(NZ_Extra!G16/NZ_Extra!F16)^2)</f>
        <v>3.4881401373732787E-2</v>
      </c>
      <c r="H10" s="15">
        <f>H11*NZ_Extra!H16</f>
        <v>0.30286347948815684</v>
      </c>
      <c r="I10" s="15">
        <f>H10*SQRT((I11/H11)^2+(NZ_Extra!I16/NZ_Extra!H16)^2)</f>
        <v>0.26697516636211549</v>
      </c>
      <c r="J10" s="15">
        <f>J11*NZ_Extra!J16</f>
        <v>0.18752558852227863</v>
      </c>
      <c r="K10" s="15">
        <f>J10*SQRT((K11/J11)^2+(NZ_Extra!K16/NZ_Extra!J16)^2)</f>
        <v>0.12099696069503854</v>
      </c>
      <c r="L10" s="15">
        <f>L11*NZ_Extra!L16</f>
        <v>0.13592019999549798</v>
      </c>
      <c r="M10" s="15">
        <f>L10*SQRT((M11/L11)^2+(NZ_Extra!M16/NZ_Extra!L16)^2)</f>
        <v>0.13470708129944753</v>
      </c>
    </row>
    <row r="11" spans="1:16" x14ac:dyDescent="0.35">
      <c r="A11" s="5">
        <v>9</v>
      </c>
      <c r="B11" s="5" t="s">
        <v>152</v>
      </c>
      <c r="C11" s="6" t="s">
        <v>8</v>
      </c>
      <c r="D11" s="15">
        <v>2.4616668809059634</v>
      </c>
      <c r="E11" s="15">
        <v>0.11738150898244459</v>
      </c>
      <c r="F11" s="15">
        <v>2.6936632003654828</v>
      </c>
      <c r="G11" s="15">
        <v>0.60951549478679601</v>
      </c>
      <c r="H11" s="15">
        <v>5.3719239940212518</v>
      </c>
      <c r="I11" s="15">
        <v>2.9742856330468999</v>
      </c>
      <c r="J11" s="15">
        <v>4.6027315778531133</v>
      </c>
      <c r="K11" s="15">
        <v>2.1767590749848282</v>
      </c>
      <c r="L11" s="15">
        <v>2.9778627307949268</v>
      </c>
      <c r="M11" s="15">
        <v>0.86612577413233227</v>
      </c>
    </row>
    <row r="12" spans="1:16" x14ac:dyDescent="0.35">
      <c r="A12" s="5">
        <v>10</v>
      </c>
      <c r="B12" s="5" t="s">
        <v>15</v>
      </c>
      <c r="C12" s="6" t="s">
        <v>8</v>
      </c>
      <c r="D12" s="15">
        <v>0.9567855932757382</v>
      </c>
      <c r="E12" s="15">
        <v>0.18954805464336907</v>
      </c>
      <c r="F12" s="36">
        <v>0.56067860273555181</v>
      </c>
      <c r="G12" s="36">
        <v>0.24599088098238883</v>
      </c>
      <c r="H12" s="15">
        <v>0.26710772165871854</v>
      </c>
      <c r="I12" s="15">
        <v>0.10616426486459177</v>
      </c>
      <c r="J12" s="15">
        <v>0.39431444307844132</v>
      </c>
      <c r="K12" s="15">
        <v>0.12405841913707617</v>
      </c>
      <c r="L12" s="15">
        <v>0.11835132921047938</v>
      </c>
      <c r="M12" s="15">
        <v>3.6291901864548691E-2</v>
      </c>
      <c r="P12" t="s">
        <v>229</v>
      </c>
    </row>
    <row r="13" spans="1:16" x14ac:dyDescent="0.35">
      <c r="A13" s="5">
        <v>11</v>
      </c>
      <c r="B13" s="5" t="s">
        <v>16</v>
      </c>
      <c r="C13" s="6" t="s">
        <v>8</v>
      </c>
      <c r="D13" s="15">
        <v>2.9318502703484243E-2</v>
      </c>
      <c r="E13" s="15">
        <v>2.9955161711896838E-2</v>
      </c>
      <c r="F13" s="15">
        <v>2.6653434798038882E-2</v>
      </c>
      <c r="G13" s="15">
        <v>6.0445395872487845E-2</v>
      </c>
      <c r="H13" s="15">
        <v>8.6358244026824363E-3</v>
      </c>
      <c r="I13" s="15">
        <v>1.2199522327487961E-2</v>
      </c>
      <c r="J13" s="15">
        <v>1.3488704563270741E-2</v>
      </c>
      <c r="K13" s="15">
        <v>1.6856883799954533E-2</v>
      </c>
      <c r="L13" s="15">
        <v>9.7341595227028836E-3</v>
      </c>
      <c r="M13" s="15">
        <v>9.2154497398756734E-3</v>
      </c>
      <c r="O13" s="35">
        <v>1</v>
      </c>
      <c r="P13" s="32">
        <f>D3-SUM(D11:D15)</f>
        <v>0.86839943737443015</v>
      </c>
    </row>
    <row r="14" spans="1:16" x14ac:dyDescent="0.35">
      <c r="A14" s="5">
        <v>12</v>
      </c>
      <c r="B14" s="5" t="s">
        <v>163</v>
      </c>
      <c r="C14" s="6" t="s">
        <v>8</v>
      </c>
      <c r="D14" s="15">
        <v>9.4111234588549128E-3</v>
      </c>
      <c r="E14" s="15">
        <v>1.3073072925088202E-2</v>
      </c>
      <c r="F14" s="15">
        <v>1.6708836653332261E-2</v>
      </c>
      <c r="G14" s="15">
        <v>3.768748175485867E-2</v>
      </c>
      <c r="H14" s="15">
        <v>3.9000615796015376E-3</v>
      </c>
      <c r="I14" s="15">
        <v>7.3649812172165829E-3</v>
      </c>
      <c r="J14" s="15">
        <v>3.8653978484365866E-3</v>
      </c>
      <c r="K14" s="15">
        <v>7.3795082255877593E-3</v>
      </c>
      <c r="L14" s="15">
        <v>3.4725143029608065E-5</v>
      </c>
      <c r="M14" s="15">
        <v>4.9839119519322281E-3</v>
      </c>
      <c r="O14" s="35">
        <v>2</v>
      </c>
      <c r="P14" s="32">
        <f>F3-SUM(F11:F15)</f>
        <v>-1.0505884395962761</v>
      </c>
    </row>
    <row r="15" spans="1:16" x14ac:dyDescent="0.35">
      <c r="A15" s="5">
        <v>13</v>
      </c>
      <c r="B15" s="5" t="s">
        <v>169</v>
      </c>
      <c r="C15" s="6" t="s">
        <v>8</v>
      </c>
      <c r="D15" s="12">
        <v>2.6592086601850928</v>
      </c>
      <c r="E15" s="15">
        <v>1.9074743144778554</v>
      </c>
      <c r="F15" s="15">
        <v>1.7577646245826541</v>
      </c>
      <c r="G15" s="15">
        <v>0.91975506825772047</v>
      </c>
      <c r="H15" s="15">
        <v>2.4739265995989291E-2</v>
      </c>
      <c r="I15" s="15">
        <v>2.8097449191110818E-2</v>
      </c>
      <c r="J15" s="15">
        <v>1.5968294083391568</v>
      </c>
      <c r="K15" s="15">
        <v>0.97512046936770413</v>
      </c>
      <c r="L15" s="15">
        <v>7.2143977414072993E-3</v>
      </c>
      <c r="M15" s="15">
        <v>1.6218314560821474E-2</v>
      </c>
      <c r="O15" s="35">
        <v>3</v>
      </c>
      <c r="P15" s="32">
        <f>H3-SUM(H11:H15)</f>
        <v>3.7064928912516093</v>
      </c>
    </row>
    <row r="16" spans="1:16" x14ac:dyDescent="0.35">
      <c r="A16" s="5">
        <v>14</v>
      </c>
      <c r="B16" s="5" t="s">
        <v>170</v>
      </c>
      <c r="C16" s="6" t="s">
        <v>8</v>
      </c>
      <c r="D16" s="15">
        <f>(D15/0.58499)*0.41501</f>
        <v>1.8865248740378728</v>
      </c>
      <c r="E16" s="15">
        <f>D16*SQRT((E15/D15)^2+(0.17843/0.58499)^2+(0.17843/0.41501)^2)</f>
        <v>1.6793412199250386</v>
      </c>
      <c r="F16" s="15">
        <f>(F15/0.95928)*0.4072</f>
        <v>0.74614477017143777</v>
      </c>
      <c r="G16" s="15">
        <f>F16*SQRT((G15/F15)^2+(0.30768/0.95928)^2+(0.30768/0.04072)^2)</f>
        <v>5.6564311872057029</v>
      </c>
      <c r="H16" s="15">
        <f>(H15/0.7689925)*0.23100747</f>
        <v>7.4317438042510384E-3</v>
      </c>
      <c r="I16" s="15">
        <f>H16*SQRT((I15/H15)^2+(0.28703/0.76899)^2+(0.28703/0.23101)^2)</f>
        <v>1.2814186761036529E-2</v>
      </c>
      <c r="J16" s="15">
        <f>(J15/0.81303)*0.18697</f>
        <v>0.36721793104457662</v>
      </c>
      <c r="K16" s="15">
        <f>J16*SQRT((K15/J15)^2+(0.22065/0.81303)^2+(0.22065/0.18697)^2)</f>
        <v>0.49802123210338339</v>
      </c>
      <c r="L16" s="15">
        <f>(L15/0.94848)*0.05152</f>
        <v>3.9187518096038299E-4</v>
      </c>
      <c r="M16" s="15">
        <f>L16*SQRT((M15/L15)^2+(0/0.94848)^2+(0/0.05152)^2)</f>
        <v>8.8095433343193558E-4</v>
      </c>
      <c r="O16" s="35">
        <v>4</v>
      </c>
      <c r="P16" s="32">
        <f>J3-SUM(J11:J15)</f>
        <v>-0.92182207591721887</v>
      </c>
    </row>
    <row r="17" spans="1:16" x14ac:dyDescent="0.35">
      <c r="A17" s="5">
        <v>15</v>
      </c>
      <c r="B17" s="5" t="s">
        <v>17</v>
      </c>
      <c r="C17" s="6" t="s">
        <v>8</v>
      </c>
      <c r="D17" s="15">
        <f>(D15+D16) * 0.0144398</f>
        <v>6.5639483087472777E-2</v>
      </c>
      <c r="E17" s="15">
        <f>D17*SQRT((SQRT((E15)^2+(E16^2))/(D15+D16))^2+(0.00000265298/0.0144398)^2)</f>
        <v>3.6697114340849879E-2</v>
      </c>
      <c r="F17" s="15">
        <f>(F15+F16) * 0.02786716</f>
        <v>6.977684372911544E-2</v>
      </c>
      <c r="G17" s="15">
        <f>F17*SQRT((SQRT((G15)^2+(G16^2))/(F15+F16))^2+(6.398304E-19/0.02786716)^2)</f>
        <v>0.15969891897698574</v>
      </c>
      <c r="H17" s="15">
        <f>(H15+H16) * 0.08979186</f>
        <v>2.8886948080418078E-3</v>
      </c>
      <c r="I17" s="15">
        <f>H17*SQRT((SQRT((I15)^2+(I16^2))/(H15+H16))^2+(0/0.08979186)^2)</f>
        <v>2.7729116731506714E-3</v>
      </c>
      <c r="J17" s="15">
        <f>(J15+J16) * 0.0366902</f>
        <v>7.2061289691457059E-2</v>
      </c>
      <c r="K17" s="15">
        <f>J17*SQRT((SQRT((K15)^2+(K16^2))/(J15+J16))^2+(0/0.0366902)^2)</f>
        <v>4.0173424736185466E-2</v>
      </c>
      <c r="L17" s="15">
        <f>(L15+L16) * 0.02808958</f>
        <v>2.136570117546808E-4</v>
      </c>
      <c r="M17" s="15">
        <f>L17*SQRT((SQRT((M15)^2+(M16^2))/(L15+L16))^2+(0.0000002335522/0.02808958)^2)</f>
        <v>4.5623722212329037E-4</v>
      </c>
      <c r="O17" s="35">
        <v>5</v>
      </c>
      <c r="P17" s="32">
        <f>L3-SUM(L11:L15)</f>
        <v>-0.18037342920499855</v>
      </c>
    </row>
    <row r="18" spans="1:16" x14ac:dyDescent="0.35">
      <c r="A18" s="5">
        <v>16</v>
      </c>
      <c r="B18" s="5" t="s">
        <v>18</v>
      </c>
      <c r="C18" s="6" t="s">
        <v>8</v>
      </c>
      <c r="D18" s="15">
        <f>(D15+D16) * 0.1836172</f>
        <v>0.83467486350012521</v>
      </c>
      <c r="E18" s="15">
        <f>D18*SQRT((SQRT((E15)^2+(E16^2))/(D15+D16))^2+(0.001733872/0.1836172)^2)</f>
        <v>0.46670882535929636</v>
      </c>
      <c r="F18" s="15">
        <f>(F15+F16) * 0.09318711</f>
        <v>0.23333208019898299</v>
      </c>
      <c r="G18" s="15">
        <f>F18*SQRT((SQRT((G15)^2+(G16^2))/(F15+F16))^2+(0.0006530248/0.09318711)^2)</f>
        <v>0.53403183128280451</v>
      </c>
      <c r="H18" s="15">
        <f>(H15+H16) * 0.0004796753</f>
        <v>1.5431638777233221E-5</v>
      </c>
      <c r="I18" s="15">
        <f>H18*SQRT((SQRT((I15)^2+(I16^2))/(H15+H16))^2+(0.00001015141/0.0004796753)^2)</f>
        <v>1.4816715596507647E-5</v>
      </c>
      <c r="J18" s="15">
        <f>(J15+J16) * 0.000004663878</f>
        <v>9.160077177110328E-6</v>
      </c>
      <c r="K18" s="15">
        <f>J18*SQRT((SQRT((K15)^2+(K16^2))/(J15+J16))^2+(0/0.000004663878)^2)</f>
        <v>5.1066484186990305E-6</v>
      </c>
      <c r="L18" s="15">
        <f>(L15+L16) * 0.09488286</f>
        <v>7.2170492881480359E-4</v>
      </c>
      <c r="M18" s="15">
        <f>L18*SQRT((SQRT((M15)^2+(M16^2))/(L15+L16))^2+(0.000609438/0.09488286)^2)</f>
        <v>1.5411155419658771E-3</v>
      </c>
    </row>
    <row r="19" spans="1:16" x14ac:dyDescent="0.35">
      <c r="A19" s="5">
        <v>17</v>
      </c>
      <c r="B19" s="5" t="s">
        <v>161</v>
      </c>
      <c r="C19" s="6" t="s">
        <v>8</v>
      </c>
      <c r="D19" s="15">
        <f>(D15+D16) * 0.8019303</f>
        <v>3.645361456819483</v>
      </c>
      <c r="E19" s="15">
        <f>D19*SQRT((SQRT((E15)^2+(E16^2))/(D15+D16))^2+(0.001733677/0.8019303)^2)</f>
        <v>2.0380300520516972</v>
      </c>
      <c r="F19" s="15">
        <f>(F15+F16) * 0.8789064</f>
        <v>2.2007019920694977</v>
      </c>
      <c r="G19" s="15">
        <f>F19*SQRT((SQRT((G15)^2+(G16^2))/(F15+F16))^2+(0.0006530248/0.8789064)^2)</f>
        <v>5.0367676274917379</v>
      </c>
      <c r="H19" s="15">
        <f>(H15+H16) * 0.9097285</f>
        <v>2.926688448905794E-2</v>
      </c>
      <c r="I19" s="15">
        <f>H19*SQRT((SQRT((I15)^2+(I16^2))/(H15+H16))^2+(0.00001015141/0.9097285)^2)</f>
        <v>2.8093824732200599E-2</v>
      </c>
      <c r="J19" s="15">
        <f>(J15+J16) * 0.9633051</f>
        <v>1.8919768186697814</v>
      </c>
      <c r="K19" s="15">
        <f>J19*SQRT((SQRT((K15)^2+(K16^2))/(J15+J16))^2+(0/0.9633051)^2)</f>
        <v>1.0547575356044288</v>
      </c>
      <c r="L19" s="15">
        <f>(L15+L16) * 0.8769906</f>
        <v>6.6706298539509863E-3</v>
      </c>
      <c r="M19" s="15">
        <f>L19*SQRT((SQRT((M15)^2+(M16^2))/(L15+L16))^2+(0.0006094337/0.8769906)^2)</f>
        <v>1.4244277641613269E-2</v>
      </c>
    </row>
    <row r="20" spans="1:16" x14ac:dyDescent="0.35">
      <c r="A20" s="5">
        <v>18</v>
      </c>
      <c r="B20" s="5" t="s">
        <v>162</v>
      </c>
      <c r="C20" s="6" t="s">
        <v>8</v>
      </c>
      <c r="D20" s="15">
        <v>0.95731511766663324</v>
      </c>
      <c r="E20" s="15">
        <v>0.6866907532120281</v>
      </c>
      <c r="F20" s="15">
        <v>0.63279526484975535</v>
      </c>
      <c r="G20" s="15">
        <v>0.33111182457277949</v>
      </c>
      <c r="H20" s="15">
        <v>8.906135758556144E-3</v>
      </c>
      <c r="I20" s="15">
        <v>1.0115081708799895E-2</v>
      </c>
      <c r="J20" s="15">
        <v>0.57485858700209647</v>
      </c>
      <c r="K20" s="15">
        <v>0.35104336897237348</v>
      </c>
      <c r="L20" s="15">
        <v>2.5971831869066281E-3</v>
      </c>
      <c r="M20" s="15">
        <v>5.8385932418957313E-3</v>
      </c>
    </row>
    <row r="21" spans="1:16" x14ac:dyDescent="0.35">
      <c r="A21" s="5">
        <v>19</v>
      </c>
      <c r="B21" s="5" t="s">
        <v>178</v>
      </c>
      <c r="C21" s="6" t="s">
        <v>8</v>
      </c>
      <c r="D21" s="15">
        <v>0.7685139653165618</v>
      </c>
      <c r="E21" s="15">
        <v>0.15497850567849536</v>
      </c>
      <c r="F21" s="15">
        <v>0.51195866101729559</v>
      </c>
      <c r="G21" s="15">
        <v>0.17726619239998903</v>
      </c>
      <c r="H21" s="15">
        <v>0.82093159034171903</v>
      </c>
      <c r="I21" s="15">
        <v>0.18646460250648508</v>
      </c>
      <c r="J21" s="15">
        <v>0.73073093882389928</v>
      </c>
      <c r="K21" s="15">
        <v>0.19985947417252783</v>
      </c>
      <c r="L21" s="15">
        <v>0.44078466938784061</v>
      </c>
      <c r="M21" s="15">
        <v>0.10558124978639725</v>
      </c>
    </row>
    <row r="23" spans="1:16" ht="26" x14ac:dyDescent="0.6">
      <c r="A23" s="7" t="s">
        <v>19</v>
      </c>
      <c r="B23" s="8"/>
      <c r="C23" s="8"/>
      <c r="D23" s="13"/>
    </row>
    <row r="24" spans="1:16" x14ac:dyDescent="0.35">
      <c r="A24" s="9">
        <v>1</v>
      </c>
      <c r="B24" s="9" t="s">
        <v>20</v>
      </c>
      <c r="C24" s="10" t="s">
        <v>21</v>
      </c>
      <c r="D24" s="17">
        <v>10.240493000000001</v>
      </c>
      <c r="E24" s="17">
        <v>0.58962110000000001</v>
      </c>
      <c r="F24" s="17">
        <v>9.8974919999999997</v>
      </c>
      <c r="G24" s="17">
        <v>0.41121180000000002</v>
      </c>
      <c r="H24" s="17">
        <v>13.090223999999999</v>
      </c>
      <c r="I24" s="17">
        <v>0.32739249999999998</v>
      </c>
      <c r="J24" s="17">
        <v>12.122057</v>
      </c>
      <c r="K24" s="17">
        <v>0.59165129999999999</v>
      </c>
      <c r="L24" s="17">
        <v>10.688394000000001</v>
      </c>
      <c r="M24" s="17">
        <v>0.57504809999999995</v>
      </c>
    </row>
    <row r="25" spans="1:16" x14ac:dyDescent="0.35">
      <c r="A25" s="9">
        <v>2</v>
      </c>
      <c r="B25" s="9" t="s">
        <v>180</v>
      </c>
      <c r="C25" s="10" t="s">
        <v>21</v>
      </c>
      <c r="D25" s="17">
        <v>9.3974150000000005</v>
      </c>
      <c r="F25" s="17">
        <v>7.9157019999999996</v>
      </c>
      <c r="G25" s="17"/>
      <c r="H25" s="17">
        <v>11.465439</v>
      </c>
      <c r="I25" s="17"/>
      <c r="J25" s="17">
        <v>9.6527419999999999</v>
      </c>
      <c r="K25" s="17"/>
      <c r="L25" s="17">
        <v>7.9416000000000002</v>
      </c>
      <c r="M25" s="17"/>
    </row>
    <row r="26" spans="1:16" x14ac:dyDescent="0.35">
      <c r="A26" s="9">
        <v>3</v>
      </c>
      <c r="B26" s="9" t="s">
        <v>167</v>
      </c>
      <c r="C26" s="10" t="s">
        <v>21</v>
      </c>
      <c r="D26" s="17">
        <v>5.7369500000000002</v>
      </c>
      <c r="E26" s="17"/>
      <c r="F26" s="17">
        <v>2.8820000000000001</v>
      </c>
      <c r="G26" s="17"/>
      <c r="H26" s="17">
        <v>4.9303999999999997</v>
      </c>
      <c r="I26" s="17"/>
      <c r="J26" s="17">
        <v>8.3413350000000008</v>
      </c>
      <c r="K26" s="17"/>
      <c r="L26" s="17">
        <v>1.8084</v>
      </c>
      <c r="M26" s="17"/>
    </row>
    <row r="27" spans="1:16" x14ac:dyDescent="0.35">
      <c r="A27" s="9">
        <v>4</v>
      </c>
      <c r="B27" s="9" t="s">
        <v>200</v>
      </c>
      <c r="C27" s="10" t="s">
        <v>201</v>
      </c>
      <c r="D27" s="17">
        <v>884.26319999999998</v>
      </c>
      <c r="E27" s="17"/>
      <c r="F27" s="17">
        <v>1501.6922999999999</v>
      </c>
      <c r="G27" s="17"/>
      <c r="H27" s="17">
        <v>1046.5</v>
      </c>
      <c r="I27" s="17"/>
      <c r="J27" s="17">
        <v>449.5</v>
      </c>
      <c r="K27" s="17"/>
      <c r="L27" s="17">
        <v>2635.1</v>
      </c>
      <c r="M27" s="17"/>
    </row>
    <row r="28" spans="1:16" x14ac:dyDescent="0.35">
      <c r="A28" s="9">
        <v>5</v>
      </c>
      <c r="B28" s="8" t="s">
        <v>160</v>
      </c>
      <c r="C28" s="10" t="s">
        <v>168</v>
      </c>
      <c r="D28" s="17">
        <v>0.32656759474468966</v>
      </c>
      <c r="E28" s="17">
        <v>0.16437855245034977</v>
      </c>
      <c r="F28" s="17">
        <v>0.31045975717006297</v>
      </c>
      <c r="G28" s="17">
        <v>7.8558799430562487E-2</v>
      </c>
      <c r="H28" s="17">
        <v>7.3162576407054822E-3</v>
      </c>
      <c r="I28" s="17">
        <v>7.0528901977444406E-3</v>
      </c>
      <c r="J28" s="17">
        <v>0.4739057148472583</v>
      </c>
      <c r="K28" s="17">
        <v>0.16146131025564953</v>
      </c>
      <c r="L28" s="17">
        <v>1.9337844944991114E-4</v>
      </c>
      <c r="M28" s="17">
        <v>6.1151635065345418E-4</v>
      </c>
    </row>
    <row r="29" spans="1:16" x14ac:dyDescent="0.35">
      <c r="A29" s="9">
        <v>6</v>
      </c>
      <c r="B29" s="8" t="s">
        <v>22</v>
      </c>
      <c r="C29" s="10" t="s">
        <v>23</v>
      </c>
      <c r="D29" s="16">
        <v>2.4323501781423214</v>
      </c>
      <c r="E29" s="16"/>
      <c r="F29" s="16">
        <v>3.7253041652729526</v>
      </c>
      <c r="G29" s="16"/>
      <c r="H29" s="16">
        <v>4.8385681874089643</v>
      </c>
      <c r="I29" s="16"/>
      <c r="J29" s="16">
        <v>1.393927864036977</v>
      </c>
      <c r="K29" s="16"/>
      <c r="L29" s="16">
        <v>8.6175824554244311</v>
      </c>
      <c r="M29" s="13"/>
    </row>
    <row r="30" spans="1:16" s="8" customFormat="1" x14ac:dyDescent="0.35">
      <c r="A30" s="9">
        <v>7</v>
      </c>
      <c r="B30" s="8" t="s">
        <v>24</v>
      </c>
      <c r="C30" s="10" t="s">
        <v>23</v>
      </c>
      <c r="D30" s="13">
        <v>8.4716316118609694</v>
      </c>
      <c r="E30" s="16"/>
      <c r="F30" s="13">
        <v>1.1232474425869927</v>
      </c>
      <c r="G30" s="16"/>
      <c r="H30" s="13">
        <v>0.51240455397907148</v>
      </c>
      <c r="I30" s="16"/>
      <c r="J30" s="13">
        <v>0.35273312027826415</v>
      </c>
      <c r="K30" s="16"/>
      <c r="L30" s="13">
        <v>0.46975683323434964</v>
      </c>
      <c r="M30" s="13"/>
    </row>
    <row r="31" spans="1:16" s="8" customFormat="1" x14ac:dyDescent="0.35">
      <c r="A31" s="9">
        <v>8</v>
      </c>
      <c r="B31" s="8" t="s">
        <v>25</v>
      </c>
      <c r="C31" s="10" t="s">
        <v>23</v>
      </c>
      <c r="D31" s="13">
        <v>5.3577986892343077</v>
      </c>
      <c r="E31" s="16"/>
      <c r="F31" s="13">
        <v>3.4577517436177492</v>
      </c>
      <c r="G31" s="16"/>
      <c r="H31" s="13">
        <v>4.2948952587221045</v>
      </c>
      <c r="I31" s="16"/>
      <c r="J31" s="13">
        <v>3.9405854015456714</v>
      </c>
      <c r="K31" s="16"/>
      <c r="L31" s="13">
        <v>3.0408447155019203</v>
      </c>
      <c r="M31" s="13"/>
    </row>
    <row r="32" spans="1:16" s="8" customFormat="1" x14ac:dyDescent="0.35">
      <c r="A32" s="9">
        <v>9</v>
      </c>
      <c r="B32" s="8" t="s">
        <v>26</v>
      </c>
      <c r="C32" s="10" t="s">
        <v>23</v>
      </c>
      <c r="D32" s="13">
        <v>0.90800919603657448</v>
      </c>
      <c r="E32" s="16"/>
      <c r="F32" s="13">
        <v>1.1168357740714712</v>
      </c>
      <c r="G32" s="16"/>
      <c r="H32" s="13">
        <v>2.0222311417669885</v>
      </c>
      <c r="I32" s="16"/>
      <c r="J32" s="13">
        <v>1.7585174218494173</v>
      </c>
      <c r="K32" s="16"/>
      <c r="L32" s="13">
        <v>0.81948828811823138</v>
      </c>
      <c r="M32" s="13"/>
    </row>
    <row r="33" spans="1:18" x14ac:dyDescent="0.35">
      <c r="A33" s="9">
        <v>10</v>
      </c>
      <c r="B33" s="8" t="s">
        <v>27</v>
      </c>
      <c r="C33" s="10" t="s">
        <v>23</v>
      </c>
      <c r="D33" s="16">
        <v>1.0521291991626498</v>
      </c>
      <c r="E33" s="16"/>
      <c r="F33" s="16">
        <v>0.20896667907169963</v>
      </c>
      <c r="G33" s="16"/>
      <c r="H33" s="16">
        <v>0.26691986144075114</v>
      </c>
      <c r="I33" s="16"/>
      <c r="J33" s="16">
        <v>2.3268684258918482</v>
      </c>
      <c r="K33" s="16"/>
      <c r="L33" s="16">
        <v>0.55378937264701944</v>
      </c>
      <c r="M33" s="13"/>
    </row>
    <row r="34" spans="1:18" x14ac:dyDescent="0.35">
      <c r="A34" s="9">
        <v>11</v>
      </c>
      <c r="B34" s="8" t="s">
        <v>202</v>
      </c>
      <c r="C34" s="10" t="s">
        <v>23</v>
      </c>
      <c r="D34" s="16">
        <v>9.1791540000000005</v>
      </c>
      <c r="E34" s="16">
        <v>1.2731239999999999</v>
      </c>
      <c r="F34" s="16">
        <v>4.7993069999999998</v>
      </c>
      <c r="G34" s="16">
        <v>9.1301560000000004E-3</v>
      </c>
      <c r="H34" s="16">
        <v>13.576252999999999</v>
      </c>
      <c r="I34" s="16">
        <v>7.2571894810000002</v>
      </c>
      <c r="J34" s="16">
        <v>6.6116929999999998</v>
      </c>
      <c r="K34" s="16">
        <v>1.918613779</v>
      </c>
      <c r="L34" s="16">
        <v>1.1752714</v>
      </c>
      <c r="M34" s="13">
        <v>0.63147409600000004</v>
      </c>
      <c r="Q34" s="28"/>
      <c r="R34" s="28"/>
    </row>
    <row r="35" spans="1:18" x14ac:dyDescent="0.35">
      <c r="A35" s="9">
        <v>12</v>
      </c>
      <c r="B35" s="8" t="s">
        <v>30</v>
      </c>
      <c r="C35" s="10" t="s">
        <v>23</v>
      </c>
      <c r="D35" s="16">
        <v>0.23954410000000001</v>
      </c>
      <c r="E35" s="16">
        <v>0.33876650000000003</v>
      </c>
      <c r="F35" s="16">
        <v>0.79096049999999996</v>
      </c>
      <c r="G35" s="16">
        <v>0.74237500000000001</v>
      </c>
      <c r="H35" s="16">
        <v>0.46890340000000003</v>
      </c>
      <c r="I35" s="16">
        <v>0.39759260000000002</v>
      </c>
      <c r="J35" s="16">
        <v>0.23213890000000001</v>
      </c>
      <c r="K35" s="16">
        <v>0.13097990000000001</v>
      </c>
      <c r="L35" s="16">
        <v>1.2055297</v>
      </c>
      <c r="M35" s="13">
        <v>0.85942859999999999</v>
      </c>
    </row>
    <row r="36" spans="1:18" x14ac:dyDescent="0.35">
      <c r="A36" s="9">
        <v>13</v>
      </c>
      <c r="B36" s="8" t="s">
        <v>31</v>
      </c>
      <c r="C36" s="10" t="s">
        <v>23</v>
      </c>
      <c r="D36" s="16">
        <v>4.1319074999999996</v>
      </c>
      <c r="E36" s="16">
        <v>2.6204844</v>
      </c>
      <c r="F36" s="16">
        <v>3.9163573999999999</v>
      </c>
      <c r="G36" s="16">
        <v>2.8763820999999998</v>
      </c>
      <c r="H36" s="16">
        <v>2.7364644999999999</v>
      </c>
      <c r="I36" s="16">
        <v>0.35706339999999998</v>
      </c>
      <c r="J36" s="16">
        <v>1.4814088999999999</v>
      </c>
      <c r="K36" s="16">
        <v>0.62639690000000003</v>
      </c>
      <c r="L36" s="16">
        <v>1.2412795999999999</v>
      </c>
      <c r="M36" s="13">
        <v>0.53054069999999998</v>
      </c>
    </row>
    <row r="37" spans="1:18" x14ac:dyDescent="0.35">
      <c r="A37" s="9">
        <v>14</v>
      </c>
      <c r="B37" s="8" t="s">
        <v>158</v>
      </c>
      <c r="C37" s="10" t="s">
        <v>23</v>
      </c>
      <c r="D37" s="16">
        <f>AVERAGE(NZ_Extra!D18:D19)</f>
        <v>0.32219335849999997</v>
      </c>
      <c r="E37" s="16">
        <f>SQRT((NZ_Extra!E18)^2+(NZ_Extra!E19)^2)/2</f>
        <v>0.4232218032006097</v>
      </c>
      <c r="F37" s="16">
        <f>AVERAGE(NZ_Extra!F18:F19)</f>
        <v>1.32958559E-2</v>
      </c>
      <c r="G37" s="16">
        <f>SQRT((NZ_Extra!G18)^2+(NZ_Extra!G19)^2)/2</f>
        <v>1.829686655516297E-2</v>
      </c>
      <c r="H37" s="16">
        <f>AVERAGE(NZ_Extra!H18:H19)</f>
        <v>3.5641924999999999E-4</v>
      </c>
      <c r="I37" s="16">
        <f>SQRT((NZ_Extra!I18)^2+(NZ_Extra!I19)^2)/2</f>
        <v>3.6584106629438144E-4</v>
      </c>
      <c r="J37" s="30">
        <v>4.62E-3</v>
      </c>
      <c r="K37" s="30"/>
      <c r="L37" s="30">
        <v>3.5641924999999999E-4</v>
      </c>
      <c r="M37" s="31"/>
    </row>
    <row r="38" spans="1:18" x14ac:dyDescent="0.35">
      <c r="A38" s="9">
        <v>15</v>
      </c>
      <c r="B38" s="8" t="s">
        <v>159</v>
      </c>
      <c r="C38" s="10" t="s">
        <v>23</v>
      </c>
      <c r="D38" s="16">
        <f>AVERAGE(NZ_Extra!D20:D21)</f>
        <v>3.5095109999999999E-2</v>
      </c>
      <c r="E38" s="16">
        <f>SQRT((NZ_Extra!E20)^2+(NZ_Extra!E21)^2)/2</f>
        <v>1.0511961476094745E-3</v>
      </c>
      <c r="F38" s="16">
        <f>AVERAGE(NZ_Extra!F20:F21)</f>
        <v>1.555684735</v>
      </c>
      <c r="G38" s="16">
        <f>SQRT((NZ_Extra!G20)^2+(NZ_Extra!G21)^2)/2</f>
        <v>1.7630898674473466E-2</v>
      </c>
      <c r="H38" s="16">
        <f>AVERAGE(NZ_Extra!H20:H21)</f>
        <v>2.43936121E-2</v>
      </c>
      <c r="I38" s="16">
        <f>SQRT((NZ_Extra!I20)^2+(NZ_Extra!I21)^2)/2</f>
        <v>1.1153616304202575E-3</v>
      </c>
      <c r="J38" s="30">
        <f>J39*0.1</f>
        <v>0.76321474840000003</v>
      </c>
      <c r="K38" s="30"/>
      <c r="L38" s="30">
        <v>2.43936121E-2</v>
      </c>
      <c r="M38" s="31"/>
    </row>
    <row r="39" spans="1:18" x14ac:dyDescent="0.35">
      <c r="A39" s="9">
        <v>16</v>
      </c>
      <c r="B39" s="8" t="s">
        <v>165</v>
      </c>
      <c r="C39" s="10" t="s">
        <v>23</v>
      </c>
      <c r="D39" s="8">
        <v>10.558088467999999</v>
      </c>
      <c r="E39" s="16">
        <v>8.4812444609999993</v>
      </c>
      <c r="F39" s="16">
        <v>3.5113963199999998</v>
      </c>
      <c r="G39" s="16">
        <v>3.2785495619999998</v>
      </c>
      <c r="H39" s="16">
        <v>7.5097617000000005E-2</v>
      </c>
      <c r="I39" s="16">
        <v>9.3705091000000004E-2</v>
      </c>
      <c r="J39" s="16">
        <v>7.6321474839999999</v>
      </c>
      <c r="K39" s="16">
        <v>8.6550229059999992</v>
      </c>
      <c r="L39" s="16">
        <v>1.770607E-3</v>
      </c>
      <c r="M39" s="13">
        <v>4.3370830000000003E-3</v>
      </c>
    </row>
    <row r="40" spans="1:18" x14ac:dyDescent="0.35">
      <c r="A40" s="9">
        <v>17</v>
      </c>
      <c r="B40" s="8" t="s">
        <v>166</v>
      </c>
      <c r="C40" s="10" t="s">
        <v>23</v>
      </c>
      <c r="D40" s="16">
        <v>18.989586814999999</v>
      </c>
      <c r="E40" s="16">
        <v>18.100777572999998</v>
      </c>
      <c r="F40" s="16">
        <v>12.853549478</v>
      </c>
      <c r="G40" s="16">
        <v>15.547954317</v>
      </c>
      <c r="H40" s="16">
        <v>0.120742196</v>
      </c>
      <c r="I40" s="16">
        <v>0.17997648599999999</v>
      </c>
      <c r="J40" s="16">
        <v>16.973081693000001</v>
      </c>
      <c r="K40" s="16">
        <v>11.787042123000001</v>
      </c>
      <c r="L40" s="16">
        <v>7.2586196000000006E-2</v>
      </c>
      <c r="M40" s="13">
        <v>0.15708614900000001</v>
      </c>
    </row>
    <row r="41" spans="1:18" x14ac:dyDescent="0.35">
      <c r="A41" s="9">
        <v>18</v>
      </c>
      <c r="B41" s="8" t="s">
        <v>32</v>
      </c>
      <c r="C41" s="10" t="s">
        <v>23</v>
      </c>
      <c r="D41" s="16">
        <v>1.5434566549514566</v>
      </c>
      <c r="E41" s="16"/>
      <c r="F41" s="16">
        <v>1.4416237537805825</v>
      </c>
      <c r="G41" s="16"/>
      <c r="H41" s="16">
        <v>1.3536079157970873</v>
      </c>
      <c r="I41" s="16"/>
      <c r="J41" s="16">
        <v>1.3335088099165049</v>
      </c>
      <c r="K41" s="16"/>
      <c r="L41" s="16">
        <v>0.44393055045728158</v>
      </c>
    </row>
    <row r="42" spans="1:18" x14ac:dyDescent="0.35">
      <c r="A42" s="9">
        <v>19</v>
      </c>
      <c r="B42" s="8" t="s">
        <v>33</v>
      </c>
      <c r="C42" s="10" t="s">
        <v>23</v>
      </c>
      <c r="D42" s="16">
        <v>0.65952629521302764</v>
      </c>
      <c r="E42" s="16"/>
      <c r="F42" s="16">
        <v>0.62000116087823431</v>
      </c>
      <c r="G42" s="16"/>
      <c r="H42" s="16">
        <v>0.48131483710068862</v>
      </c>
      <c r="I42" s="16"/>
      <c r="J42" s="16">
        <v>0.3573097434747799</v>
      </c>
      <c r="K42" s="16"/>
      <c r="L42" s="16">
        <v>0.27148468227792955</v>
      </c>
    </row>
    <row r="43" spans="1:18" x14ac:dyDescent="0.35">
      <c r="A43" s="9">
        <v>20</v>
      </c>
      <c r="B43" s="8" t="s">
        <v>34</v>
      </c>
      <c r="C43" s="10" t="s">
        <v>23</v>
      </c>
      <c r="D43" s="16">
        <v>10.780903037908873</v>
      </c>
      <c r="E43" s="16"/>
      <c r="F43" s="16">
        <v>7.0893787541436453</v>
      </c>
      <c r="G43" s="16"/>
      <c r="H43" s="16">
        <v>8.904424149799027E-2</v>
      </c>
      <c r="I43" s="16"/>
      <c r="J43" s="16">
        <v>9.5119237526901603</v>
      </c>
      <c r="K43" s="16"/>
      <c r="L43" s="16">
        <v>4.4824425879249799E-2</v>
      </c>
    </row>
    <row r="44" spans="1:18" x14ac:dyDescent="0.35">
      <c r="A44" s="9">
        <v>21</v>
      </c>
      <c r="B44" s="8" t="s">
        <v>207</v>
      </c>
      <c r="C44" s="10" t="s">
        <v>179</v>
      </c>
      <c r="D44" s="16">
        <v>8.8048871245769537E-3</v>
      </c>
      <c r="E44" s="16"/>
      <c r="F44" s="16">
        <v>4.6036221215149066E-3</v>
      </c>
      <c r="G44" s="16"/>
      <c r="H44" s="16">
        <v>1.3022700702014502E-2</v>
      </c>
      <c r="I44" s="16"/>
      <c r="J44" s="16">
        <v>6.3421106746172429E-3</v>
      </c>
      <c r="K44" s="16"/>
      <c r="L44" s="16">
        <v>1.127351389653505E-3</v>
      </c>
    </row>
    <row r="45" spans="1:18" x14ac:dyDescent="0.35">
      <c r="A45" s="9">
        <v>22</v>
      </c>
      <c r="B45" s="8" t="s">
        <v>203</v>
      </c>
      <c r="C45" s="10" t="s">
        <v>179</v>
      </c>
      <c r="D45">
        <v>3.5219548498307815E-2</v>
      </c>
      <c r="E45"/>
      <c r="F45">
        <v>1.8414488486059626E-2</v>
      </c>
      <c r="G45"/>
      <c r="H45">
        <v>5.2090802808058008E-2</v>
      </c>
      <c r="I45"/>
      <c r="J45">
        <v>2.5368442698468972E-2</v>
      </c>
      <c r="K45"/>
      <c r="L45">
        <v>4.5094055586140198E-3</v>
      </c>
      <c r="M45"/>
    </row>
    <row r="46" spans="1:18" x14ac:dyDescent="0.35">
      <c r="A46" s="9">
        <v>23</v>
      </c>
      <c r="B46" s="8" t="s">
        <v>208</v>
      </c>
      <c r="C46" s="10" t="s">
        <v>179</v>
      </c>
      <c r="D46" t="s">
        <v>230</v>
      </c>
      <c r="E46"/>
      <c r="F46">
        <v>1.5047298681708298E-2</v>
      </c>
      <c r="G46"/>
      <c r="H46">
        <v>1.5223554619822721E-2</v>
      </c>
      <c r="I46"/>
      <c r="J46">
        <v>4.5140908041901686E-3</v>
      </c>
      <c r="K46"/>
      <c r="L46">
        <v>9.8996067821434316E-3</v>
      </c>
      <c r="M46"/>
    </row>
    <row r="47" spans="1:18" x14ac:dyDescent="0.35">
      <c r="A47" s="9">
        <v>24</v>
      </c>
      <c r="B47" s="8" t="s">
        <v>204</v>
      </c>
      <c r="C47" s="10" t="s">
        <v>179</v>
      </c>
      <c r="D47" t="s">
        <v>230</v>
      </c>
      <c r="E47"/>
      <c r="F47">
        <v>6.0189194726833192E-2</v>
      </c>
      <c r="G47"/>
      <c r="H47">
        <v>6.0894218479290885E-2</v>
      </c>
      <c r="I47"/>
      <c r="J47">
        <v>1.8056363216760674E-2</v>
      </c>
      <c r="K47"/>
      <c r="L47">
        <v>3.9598427128573727E-2</v>
      </c>
      <c r="M47"/>
    </row>
    <row r="48" spans="1:18" x14ac:dyDescent="0.35">
      <c r="A48" s="9">
        <v>25</v>
      </c>
      <c r="B48" s="8" t="s">
        <v>211</v>
      </c>
      <c r="C48" s="10" t="s">
        <v>179</v>
      </c>
      <c r="D48">
        <v>6.7068113901900118E-4</v>
      </c>
      <c r="E48"/>
      <c r="F48">
        <v>2.2145495925762256E-3</v>
      </c>
      <c r="G48"/>
      <c r="H48">
        <v>1.312846638267786E-3</v>
      </c>
      <c r="I48"/>
      <c r="J48">
        <v>6.4994788793636756E-4</v>
      </c>
      <c r="K48"/>
      <c r="L48">
        <v>3.3752700747680065E-3</v>
      </c>
      <c r="M48"/>
    </row>
    <row r="49" spans="1:13" x14ac:dyDescent="0.35">
      <c r="A49" s="9">
        <v>26</v>
      </c>
      <c r="B49" s="8" t="s">
        <v>212</v>
      </c>
      <c r="C49" s="10" t="s">
        <v>179</v>
      </c>
      <c r="D49">
        <v>2.6827245560760047E-3</v>
      </c>
      <c r="E49"/>
      <c r="F49">
        <v>8.8581983703049025E-3</v>
      </c>
      <c r="G49"/>
      <c r="H49">
        <v>5.2513865530711438E-3</v>
      </c>
      <c r="I49"/>
      <c r="J49">
        <v>2.5997915517454702E-3</v>
      </c>
      <c r="K49"/>
      <c r="L49">
        <v>1.3501080299072026E-2</v>
      </c>
      <c r="M49"/>
    </row>
    <row r="50" spans="1:13" x14ac:dyDescent="0.35">
      <c r="A50" s="9">
        <v>27</v>
      </c>
      <c r="B50" s="8" t="s">
        <v>215</v>
      </c>
      <c r="C50" s="10" t="s">
        <v>179</v>
      </c>
      <c r="D50">
        <v>1.0897929519399024E-2</v>
      </c>
      <c r="E50"/>
      <c r="F50">
        <v>8.7505588857269105E-3</v>
      </c>
      <c r="G50"/>
      <c r="H50">
        <v>6.3487702737958446E-3</v>
      </c>
      <c r="I50"/>
      <c r="J50">
        <v>3.4977351833848863E-3</v>
      </c>
      <c r="K50"/>
      <c r="L50">
        <v>1.0009340097216052E-4</v>
      </c>
      <c r="M50"/>
    </row>
    <row r="51" spans="1:13" x14ac:dyDescent="0.35">
      <c r="A51" s="9">
        <v>28</v>
      </c>
      <c r="B51" s="8" t="s">
        <v>216</v>
      </c>
      <c r="C51" s="10" t="s">
        <v>179</v>
      </c>
      <c r="D51">
        <v>4.3591718077596098E-2</v>
      </c>
      <c r="E51"/>
      <c r="F51">
        <v>3.5002235542907642E-2</v>
      </c>
      <c r="G51"/>
      <c r="H51">
        <v>2.5395081095183378E-2</v>
      </c>
      <c r="I51"/>
      <c r="J51">
        <v>1.3990940733539545E-2</v>
      </c>
      <c r="K51"/>
      <c r="L51">
        <v>4.0037360388864209E-4</v>
      </c>
      <c r="M51"/>
    </row>
    <row r="52" spans="1:13" x14ac:dyDescent="0.35">
      <c r="A52" s="9">
        <v>29</v>
      </c>
      <c r="B52" s="8" t="s">
        <v>213</v>
      </c>
      <c r="C52" s="10" t="s">
        <v>179</v>
      </c>
      <c r="D52">
        <v>9.0208445402386185E-4</v>
      </c>
      <c r="E52"/>
      <c r="F52">
        <v>3.7226046390808654E-5</v>
      </c>
      <c r="G52"/>
      <c r="H52">
        <v>9.9791090057445854E-7</v>
      </c>
      <c r="I52"/>
      <c r="J52">
        <v>1.2935183384887315E-5</v>
      </c>
      <c r="K52"/>
      <c r="L52">
        <v>9.9791090057445854E-7</v>
      </c>
      <c r="M52"/>
    </row>
    <row r="53" spans="1:13" x14ac:dyDescent="0.35">
      <c r="A53" s="9">
        <v>30</v>
      </c>
      <c r="B53" s="8" t="s">
        <v>214</v>
      </c>
      <c r="C53" s="10" t="s">
        <v>179</v>
      </c>
      <c r="D53">
        <v>3.6083378160954474E-3</v>
      </c>
      <c r="E53"/>
      <c r="F53">
        <v>1.4890418556323461E-4</v>
      </c>
      <c r="G53"/>
      <c r="H53">
        <v>3.9916436022978342E-6</v>
      </c>
      <c r="I53"/>
      <c r="J53">
        <v>5.1740733539549262E-5</v>
      </c>
      <c r="K53"/>
      <c r="L53">
        <v>3.9916436022978342E-6</v>
      </c>
      <c r="M53"/>
    </row>
    <row r="54" spans="1:13" x14ac:dyDescent="0.35">
      <c r="A54" s="9">
        <v>31</v>
      </c>
      <c r="B54" s="8" t="s">
        <v>217</v>
      </c>
      <c r="C54" s="10" t="s">
        <v>179</v>
      </c>
      <c r="D54">
        <v>3.7009217172821907E-2</v>
      </c>
      <c r="E54"/>
      <c r="F54">
        <v>1.9473429398356161E-2</v>
      </c>
      <c r="G54"/>
      <c r="H54">
        <v>2.4753847649315066E-4</v>
      </c>
      <c r="I54"/>
      <c r="J54">
        <v>3.0310233611616437E-2</v>
      </c>
      <c r="K54"/>
      <c r="L54">
        <v>8.2263063890410955E-5</v>
      </c>
      <c r="M54"/>
    </row>
    <row r="55" spans="1:13" x14ac:dyDescent="0.35">
      <c r="A55" s="9">
        <v>32</v>
      </c>
      <c r="B55" s="8" t="s">
        <v>218</v>
      </c>
      <c r="C55" s="10" t="s">
        <v>179</v>
      </c>
      <c r="D55">
        <v>0.14803686869128763</v>
      </c>
      <c r="E55"/>
      <c r="F55">
        <v>7.7893717593424644E-2</v>
      </c>
      <c r="G55"/>
      <c r="H55">
        <v>9.9015390597260262E-4</v>
      </c>
      <c r="I55"/>
      <c r="J55">
        <v>0.12124093444646575</v>
      </c>
      <c r="K55"/>
      <c r="L55">
        <v>3.2905225556164382E-4</v>
      </c>
      <c r="M55"/>
    </row>
    <row r="56" spans="1:13" x14ac:dyDescent="0.35">
      <c r="A56" s="9">
        <v>33</v>
      </c>
      <c r="B56" s="8" t="s">
        <v>219</v>
      </c>
      <c r="C56" s="10" t="s">
        <v>179</v>
      </c>
      <c r="D56">
        <v>9.2304946849315047E-5</v>
      </c>
      <c r="E56"/>
      <c r="F56">
        <v>4.0916639605479447E-3</v>
      </c>
      <c r="G56"/>
      <c r="H56">
        <v>6.4158541413698628E-5</v>
      </c>
      <c r="I56"/>
      <c r="J56">
        <v>2.0073593382575342E-3</v>
      </c>
      <c r="K56"/>
      <c r="L56">
        <v>6.4158541413698628E-5</v>
      </c>
      <c r="M56"/>
    </row>
    <row r="57" spans="1:13" x14ac:dyDescent="0.35">
      <c r="A57" s="9">
        <v>34</v>
      </c>
      <c r="B57" s="8" t="s">
        <v>220</v>
      </c>
      <c r="C57" s="10" t="s">
        <v>179</v>
      </c>
      <c r="D57">
        <v>3.6921978739726019E-4</v>
      </c>
      <c r="E57"/>
      <c r="F57">
        <v>1.6366655842191779E-2</v>
      </c>
      <c r="G57"/>
      <c r="H57">
        <v>2.5663416565479451E-4</v>
      </c>
      <c r="I57"/>
      <c r="J57">
        <v>8.0294373530301368E-3</v>
      </c>
      <c r="K57"/>
      <c r="L57">
        <v>2.5663416565479451E-4</v>
      </c>
      <c r="M57"/>
    </row>
    <row r="58" spans="1:13" x14ac:dyDescent="0.35">
      <c r="A58" s="9">
        <v>35</v>
      </c>
      <c r="B58" s="8" t="s">
        <v>221</v>
      </c>
      <c r="C58" s="10" t="s">
        <v>179</v>
      </c>
      <c r="D58">
        <v>1.5984290837579467E-3</v>
      </c>
      <c r="E58"/>
      <c r="F58">
        <v>1.492969257339891E-3</v>
      </c>
      <c r="G58"/>
      <c r="H58">
        <v>1.4018186086884904E-3</v>
      </c>
      <c r="I58"/>
      <c r="J58">
        <v>1.3810036442422982E-3</v>
      </c>
      <c r="K58"/>
      <c r="L58">
        <v>4.5974177554206145E-4</v>
      </c>
      <c r="M58"/>
    </row>
    <row r="59" spans="1:13" x14ac:dyDescent="0.35">
      <c r="A59" s="9">
        <v>36</v>
      </c>
      <c r="B59" s="8" t="s">
        <v>222</v>
      </c>
      <c r="C59" s="10" t="s">
        <v>179</v>
      </c>
      <c r="D59">
        <v>6.3937163350317868E-3</v>
      </c>
      <c r="E59"/>
      <c r="F59">
        <v>5.9718770293595638E-3</v>
      </c>
      <c r="G59"/>
      <c r="H59">
        <v>5.6072744347539618E-3</v>
      </c>
      <c r="I59"/>
      <c r="J59">
        <v>5.5240145769691927E-3</v>
      </c>
      <c r="K59"/>
      <c r="L59">
        <v>1.8389671021682458E-3</v>
      </c>
      <c r="M59"/>
    </row>
    <row r="60" spans="1:13" x14ac:dyDescent="0.35">
      <c r="A60" s="9">
        <v>37</v>
      </c>
      <c r="B60" s="8" t="s">
        <v>209</v>
      </c>
      <c r="C60" s="10" t="s">
        <v>179</v>
      </c>
      <c r="D60">
        <v>6.4019563269995572E-5</v>
      </c>
      <c r="E60"/>
      <c r="F60">
        <v>2.1138882474591245E-4</v>
      </c>
      <c r="G60"/>
      <c r="H60">
        <v>1.2531717910737957E-4</v>
      </c>
      <c r="I60"/>
      <c r="J60">
        <v>6.2040480212107813E-5</v>
      </c>
      <c r="K60"/>
      <c r="L60">
        <v>3.2218487077330973E-4</v>
      </c>
      <c r="M60"/>
    </row>
    <row r="61" spans="1:13" x14ac:dyDescent="0.35">
      <c r="A61" s="9">
        <v>38</v>
      </c>
      <c r="B61" s="8" t="s">
        <v>205</v>
      </c>
      <c r="C61" s="10" t="s">
        <v>179</v>
      </c>
      <c r="D61">
        <v>2.5607825307998229E-4</v>
      </c>
      <c r="E61"/>
      <c r="F61">
        <v>8.455552989836498E-4</v>
      </c>
      <c r="G61"/>
      <c r="H61">
        <v>5.0126871642951828E-4</v>
      </c>
      <c r="I61"/>
      <c r="J61">
        <v>2.4816192084843125E-4</v>
      </c>
      <c r="K61"/>
      <c r="L61">
        <v>1.2887394830932389E-3</v>
      </c>
      <c r="M61"/>
    </row>
    <row r="62" spans="1:13" x14ac:dyDescent="0.35">
      <c r="A62" s="9">
        <v>39</v>
      </c>
      <c r="B62" s="8" t="s">
        <v>210</v>
      </c>
      <c r="C62" s="10" t="s">
        <v>179</v>
      </c>
      <c r="D62">
        <v>1.0402569086699069E-3</v>
      </c>
      <c r="E62"/>
      <c r="F62">
        <v>8.3528062091029593E-4</v>
      </c>
      <c r="G62"/>
      <c r="H62">
        <v>6.0601898068051254E-4</v>
      </c>
      <c r="I62"/>
      <c r="J62">
        <v>3.338747220503755E-4</v>
      </c>
      <c r="K62"/>
      <c r="L62">
        <v>9.5543700927971409E-6</v>
      </c>
      <c r="M62"/>
    </row>
    <row r="63" spans="1:13" x14ac:dyDescent="0.35">
      <c r="A63" s="9">
        <v>40</v>
      </c>
      <c r="B63" s="8" t="s">
        <v>206</v>
      </c>
      <c r="C63" s="10" t="s">
        <v>179</v>
      </c>
      <c r="D63">
        <v>4.1610276346796277E-3</v>
      </c>
      <c r="F63">
        <v>3.3411224836411837E-3</v>
      </c>
      <c r="G63"/>
      <c r="H63">
        <v>2.4240759227220502E-3</v>
      </c>
      <c r="I63"/>
      <c r="J63">
        <v>1.335498888201502E-3</v>
      </c>
      <c r="K63"/>
      <c r="L63">
        <v>3.8217480371188564E-5</v>
      </c>
      <c r="M63"/>
    </row>
    <row r="64" spans="1:13" x14ac:dyDescent="0.35">
      <c r="A64" s="9">
        <v>41</v>
      </c>
      <c r="B64" s="8" t="s">
        <v>227</v>
      </c>
      <c r="C64" s="10" t="s">
        <v>179</v>
      </c>
      <c r="D64">
        <v>8.610806152045954E-5</v>
      </c>
      <c r="E64"/>
      <c r="F64">
        <v>3.5533953373044627E-6</v>
      </c>
      <c r="G64"/>
      <c r="H64">
        <v>9.5255131418471043E-8</v>
      </c>
      <c r="I64"/>
      <c r="J64">
        <v>1.2347220503756074E-6</v>
      </c>
      <c r="K64"/>
      <c r="L64">
        <v>9.5255131418471043E-8</v>
      </c>
      <c r="M64"/>
    </row>
    <row r="65" spans="1:13" x14ac:dyDescent="0.35">
      <c r="A65" s="9">
        <v>42</v>
      </c>
      <c r="B65" s="8" t="s">
        <v>228</v>
      </c>
      <c r="C65" s="10" t="s">
        <v>179</v>
      </c>
      <c r="D65">
        <v>3.4443224608183816E-4</v>
      </c>
      <c r="E65"/>
      <c r="F65">
        <v>1.4213581349217851E-5</v>
      </c>
      <c r="G65"/>
      <c r="H65">
        <v>3.8102052567388417E-7</v>
      </c>
      <c r="I65"/>
      <c r="J65">
        <v>4.9388882015024296E-6</v>
      </c>
      <c r="K65"/>
      <c r="L65">
        <v>3.8102052567388417E-7</v>
      </c>
      <c r="M65"/>
    </row>
    <row r="66" spans="1:13" x14ac:dyDescent="0.35">
      <c r="A66" s="9">
        <v>43</v>
      </c>
      <c r="B66" s="8" t="s">
        <v>225</v>
      </c>
      <c r="C66" s="10" t="s">
        <v>179</v>
      </c>
      <c r="D66">
        <v>1.1057197553202541E-2</v>
      </c>
      <c r="E66"/>
      <c r="F66">
        <v>5.8180521595601253E-3</v>
      </c>
      <c r="G66"/>
      <c r="H66">
        <v>7.3956761198763033E-5</v>
      </c>
      <c r="I66"/>
      <c r="J66">
        <v>9.0557506083506316E-3</v>
      </c>
      <c r="K66"/>
      <c r="L66">
        <v>2.4577632769708229E-5</v>
      </c>
      <c r="M66"/>
    </row>
    <row r="67" spans="1:13" x14ac:dyDescent="0.35">
      <c r="A67" s="9">
        <v>44</v>
      </c>
      <c r="B67" s="8" t="s">
        <v>226</v>
      </c>
      <c r="C67" s="10" t="s">
        <v>179</v>
      </c>
      <c r="D67">
        <v>4.4228790212810162E-2</v>
      </c>
      <c r="E67"/>
      <c r="F67">
        <v>2.3272208638240501E-2</v>
      </c>
      <c r="G67"/>
      <c r="H67">
        <v>2.9582704479505213E-4</v>
      </c>
      <c r="I67"/>
      <c r="J67">
        <v>3.6223002433402526E-2</v>
      </c>
      <c r="K67"/>
      <c r="L67">
        <v>9.8310531078832914E-5</v>
      </c>
      <c r="M67"/>
    </row>
    <row r="68" spans="1:13" x14ac:dyDescent="0.35">
      <c r="A68" s="9">
        <v>45</v>
      </c>
      <c r="B68" s="8" t="s">
        <v>223</v>
      </c>
      <c r="C68" s="10" t="s">
        <v>179</v>
      </c>
      <c r="D68">
        <v>2.757783358898631E-5</v>
      </c>
      <c r="E68"/>
      <c r="F68">
        <v>1.2224613269129594E-3</v>
      </c>
      <c r="G68"/>
      <c r="H68">
        <v>1.916856721999398E-5</v>
      </c>
      <c r="I68"/>
      <c r="J68">
        <v>5.9973624029203087E-4</v>
      </c>
      <c r="K68"/>
      <c r="L68">
        <v>1.916856721999398E-5</v>
      </c>
      <c r="M68"/>
    </row>
    <row r="69" spans="1:13" x14ac:dyDescent="0.35">
      <c r="A69" s="9">
        <v>46</v>
      </c>
      <c r="B69" s="8" t="s">
        <v>224</v>
      </c>
      <c r="C69" s="10" t="s">
        <v>179</v>
      </c>
      <c r="D69">
        <v>1.1031133435594524E-4</v>
      </c>
      <c r="E69"/>
      <c r="F69">
        <v>4.8898453076518375E-3</v>
      </c>
      <c r="G69"/>
      <c r="H69">
        <v>7.667426887997592E-5</v>
      </c>
      <c r="I69"/>
      <c r="J69">
        <v>2.3989449611681235E-3</v>
      </c>
      <c r="K69"/>
      <c r="L69">
        <v>7.667426887997592E-5</v>
      </c>
      <c r="M69"/>
    </row>
    <row r="70" spans="1:13" x14ac:dyDescent="0.35">
      <c r="A70" s="9">
        <v>47</v>
      </c>
      <c r="B70" s="8" t="s">
        <v>154</v>
      </c>
      <c r="C70" s="10" t="s">
        <v>155</v>
      </c>
      <c r="D70" s="16">
        <v>555.38994216228696</v>
      </c>
      <c r="E70" s="16"/>
      <c r="F70" s="16">
        <v>384.66280015304699</v>
      </c>
      <c r="G70" s="16"/>
      <c r="H70" s="16">
        <v>317.083903009398</v>
      </c>
      <c r="I70" s="16"/>
      <c r="J70" s="16">
        <v>235.54478217396701</v>
      </c>
      <c r="K70" s="16"/>
      <c r="L70" s="16">
        <v>354.50234195540702</v>
      </c>
    </row>
    <row r="71" spans="1:13" x14ac:dyDescent="0.35">
      <c r="A71" s="9">
        <v>48</v>
      </c>
      <c r="B71" s="8" t="s">
        <v>156</v>
      </c>
      <c r="C71" s="10" t="s">
        <v>155</v>
      </c>
      <c r="D71" s="16">
        <v>1679.9187908255799</v>
      </c>
      <c r="E71" s="16"/>
      <c r="F71" s="16">
        <v>524.29391895270601</v>
      </c>
      <c r="G71" s="16"/>
      <c r="H71" s="16">
        <v>436.082019537897</v>
      </c>
      <c r="I71" s="16"/>
      <c r="J71" s="16">
        <v>308.87667068271998</v>
      </c>
      <c r="K71" s="16"/>
      <c r="L71" s="16">
        <v>627.79010109917101</v>
      </c>
    </row>
    <row r="72" spans="1:13" x14ac:dyDescent="0.35">
      <c r="A72" s="9">
        <v>49</v>
      </c>
      <c r="B72" s="8" t="s">
        <v>157</v>
      </c>
      <c r="C72" s="10" t="s">
        <v>155</v>
      </c>
      <c r="D72" s="16">
        <v>11749.864845948199</v>
      </c>
      <c r="E72" s="16"/>
      <c r="F72" s="16">
        <v>8239.8320490517999</v>
      </c>
      <c r="G72" s="16"/>
      <c r="H72" s="16">
        <v>10570.128463663599</v>
      </c>
      <c r="I72" s="16"/>
      <c r="J72" s="16">
        <v>23363.7795992069</v>
      </c>
      <c r="K72" s="16"/>
      <c r="L72" s="16">
        <v>11056.7363182476</v>
      </c>
    </row>
    <row r="73" spans="1:13" x14ac:dyDescent="0.35">
      <c r="A73" s="9">
        <v>50</v>
      </c>
      <c r="B73" s="8" t="s">
        <v>36</v>
      </c>
      <c r="C73" s="10" t="s">
        <v>37</v>
      </c>
      <c r="D73" s="13">
        <v>7.5640000000000004E-3</v>
      </c>
      <c r="E73" s="16"/>
      <c r="F73" s="13">
        <v>7.5640000000000004E-3</v>
      </c>
      <c r="G73" s="16"/>
      <c r="H73" s="13">
        <v>7.5640000000000004E-3</v>
      </c>
      <c r="I73" s="16"/>
      <c r="J73" s="13">
        <v>7.5640000000000004E-3</v>
      </c>
      <c r="K73" s="16"/>
      <c r="L73" s="13">
        <v>7.5640000000000004E-3</v>
      </c>
    </row>
    <row r="74" spans="1:13" x14ac:dyDescent="0.35">
      <c r="A74" s="9">
        <v>51</v>
      </c>
      <c r="B74" s="8" t="s">
        <v>38</v>
      </c>
      <c r="C74" s="10" t="s">
        <v>37</v>
      </c>
      <c r="D74" s="16">
        <v>0.46887499999999999</v>
      </c>
      <c r="E74" s="16"/>
      <c r="F74" s="16">
        <v>0.46887499999999999</v>
      </c>
      <c r="G74" s="16"/>
      <c r="H74" s="16">
        <v>0.46887499999999999</v>
      </c>
      <c r="I74" s="16"/>
      <c r="J74" s="16">
        <v>0.46887499999999999</v>
      </c>
      <c r="K74" s="16"/>
      <c r="L74" s="16">
        <v>0.46887499999999999</v>
      </c>
    </row>
    <row r="75" spans="1:13" x14ac:dyDescent="0.35">
      <c r="A75" s="9">
        <v>52</v>
      </c>
      <c r="B75" s="8" t="s">
        <v>150</v>
      </c>
      <c r="C75" s="10" t="s">
        <v>37</v>
      </c>
      <c r="D75" s="16">
        <v>0.96186859999999996</v>
      </c>
      <c r="E75" s="18"/>
      <c r="F75" s="16">
        <v>0.54815100000000005</v>
      </c>
      <c r="G75" s="16"/>
      <c r="H75" s="16">
        <v>2.8122100000000001E-2</v>
      </c>
      <c r="I75" s="16"/>
      <c r="J75" s="30">
        <v>7.6366180000000006E-2</v>
      </c>
      <c r="K75" s="30"/>
      <c r="L75" s="30">
        <v>6.09</v>
      </c>
    </row>
    <row r="76" spans="1:13" x14ac:dyDescent="0.35">
      <c r="A76" s="9">
        <v>53</v>
      </c>
      <c r="B76" s="8" t="s">
        <v>151</v>
      </c>
      <c r="C76" s="10" t="s">
        <v>37</v>
      </c>
      <c r="D76" s="16">
        <v>1.169837E-2</v>
      </c>
      <c r="E76" s="18"/>
      <c r="F76" s="16">
        <v>0.51856159999999996</v>
      </c>
      <c r="G76" s="16"/>
      <c r="H76" s="16">
        <v>8.1312050000000007E-3</v>
      </c>
      <c r="I76" s="16"/>
      <c r="J76" s="30">
        <v>1.084633E-3</v>
      </c>
      <c r="K76" s="30"/>
      <c r="L76" s="30">
        <v>3.0809380000000001E-2</v>
      </c>
    </row>
    <row r="77" spans="1:13" x14ac:dyDescent="0.35">
      <c r="A77" s="9">
        <v>54</v>
      </c>
      <c r="B77" s="8" t="s">
        <v>39</v>
      </c>
      <c r="C77" s="10" t="s">
        <v>40</v>
      </c>
      <c r="D77" s="16">
        <f>1.3*1000</f>
        <v>1300</v>
      </c>
      <c r="E77" s="18"/>
      <c r="F77" s="16">
        <f>1.3*1000</f>
        <v>1300</v>
      </c>
      <c r="G77" s="16"/>
      <c r="H77" s="16">
        <f>1.3*1000</f>
        <v>1300</v>
      </c>
      <c r="I77" s="16"/>
      <c r="J77" s="16">
        <f>1.3*1000</f>
        <v>1300</v>
      </c>
      <c r="K77" s="16"/>
      <c r="L77" s="16">
        <f>1.3*1000</f>
        <v>1300</v>
      </c>
    </row>
    <row r="78" spans="1:13" x14ac:dyDescent="0.35">
      <c r="A78" s="9">
        <v>55</v>
      </c>
      <c r="B78" s="8" t="s">
        <v>41</v>
      </c>
      <c r="C78" s="10" t="s">
        <v>40</v>
      </c>
      <c r="D78" s="16">
        <f>892*1000</f>
        <v>892000</v>
      </c>
      <c r="E78" s="18"/>
      <c r="F78" s="16">
        <f>892*1000</f>
        <v>892000</v>
      </c>
      <c r="G78" s="16"/>
      <c r="H78" s="16">
        <f>892*1000</f>
        <v>892000</v>
      </c>
      <c r="I78" s="16"/>
      <c r="J78" s="16">
        <f>892*1000</f>
        <v>892000</v>
      </c>
      <c r="K78" s="16"/>
      <c r="L78" s="16">
        <f>892*1000</f>
        <v>892000</v>
      </c>
    </row>
    <row r="79" spans="1:13" x14ac:dyDescent="0.35">
      <c r="A79" s="9">
        <v>56</v>
      </c>
      <c r="B79" s="8" t="s">
        <v>42</v>
      </c>
      <c r="C79" s="10" t="s">
        <v>40</v>
      </c>
      <c r="D79" s="16">
        <f>1257.66*1000</f>
        <v>1257660</v>
      </c>
      <c r="E79" s="18"/>
      <c r="F79" s="16">
        <f>1257.66*1000</f>
        <v>1257660</v>
      </c>
      <c r="G79" s="16"/>
      <c r="H79" s="16">
        <f>1257.66*1000</f>
        <v>1257660</v>
      </c>
      <c r="I79" s="16"/>
      <c r="J79" s="16">
        <f>1257.66*1000</f>
        <v>1257660</v>
      </c>
      <c r="K79" s="16"/>
      <c r="L79" s="16">
        <f>1257.66*1000</f>
        <v>1257660</v>
      </c>
    </row>
    <row r="80" spans="1:13" x14ac:dyDescent="0.35">
      <c r="A80" s="9">
        <v>57</v>
      </c>
      <c r="B80" s="8" t="s">
        <v>181</v>
      </c>
      <c r="C80" s="10" t="s">
        <v>35</v>
      </c>
      <c r="D80" s="17">
        <v>2.9054885489814511E-2</v>
      </c>
      <c r="E80" s="17"/>
      <c r="F80" s="17">
        <v>1.2487660643774923E-2</v>
      </c>
      <c r="G80" s="17"/>
      <c r="H80" s="17">
        <f>0.0001130895+0.00005767955</f>
        <v>1.7076904999999999E-4</v>
      </c>
      <c r="I80" s="17"/>
      <c r="J80" s="17">
        <v>2.3186058601375289E-2</v>
      </c>
      <c r="K80" s="17"/>
      <c r="L80" s="17">
        <v>1.258873E-4</v>
      </c>
      <c r="M80" s="15"/>
    </row>
    <row r="82" spans="1:13" ht="30" x14ac:dyDescent="0.6">
      <c r="A82" s="19" t="s">
        <v>43</v>
      </c>
      <c r="B82" s="20"/>
      <c r="C82" s="20"/>
      <c r="D82" s="21"/>
      <c r="E82" s="21"/>
      <c r="F82" s="21"/>
      <c r="G82" s="21"/>
      <c r="H82" s="21"/>
      <c r="I82" s="21"/>
      <c r="J82" s="21"/>
      <c r="K82" s="21"/>
      <c r="L82" s="21"/>
      <c r="M82" s="21"/>
    </row>
    <row r="83" spans="1:13" x14ac:dyDescent="0.35">
      <c r="A83" s="22">
        <v>1</v>
      </c>
      <c r="B83" s="22" t="s">
        <v>44</v>
      </c>
      <c r="C83" s="23" t="s">
        <v>45</v>
      </c>
      <c r="D83" s="24">
        <v>3.5960812008899148</v>
      </c>
      <c r="E83" s="24">
        <v>0.3805068304740048</v>
      </c>
      <c r="F83" s="24">
        <v>0.57160202258733517</v>
      </c>
      <c r="G83" s="24">
        <v>0.23901983245509709</v>
      </c>
      <c r="H83" s="24">
        <v>6.9638937860270778</v>
      </c>
      <c r="I83" s="24">
        <v>0.14862612609552778</v>
      </c>
      <c r="J83" s="24">
        <v>6.9932793679930461</v>
      </c>
      <c r="K83" s="24">
        <v>0.36404256906910959</v>
      </c>
      <c r="L83" s="24">
        <v>3.9811394148482839</v>
      </c>
      <c r="M83" s="24">
        <v>2.1858299757541513</v>
      </c>
    </row>
    <row r="84" spans="1:13" x14ac:dyDescent="0.35">
      <c r="A84" s="22">
        <v>2</v>
      </c>
      <c r="B84" s="22" t="s">
        <v>46</v>
      </c>
      <c r="C84" s="23" t="s">
        <v>45</v>
      </c>
      <c r="D84" s="24"/>
      <c r="E84" s="24"/>
      <c r="F84" s="24"/>
      <c r="G84" s="24"/>
      <c r="H84" s="24"/>
      <c r="I84" s="24"/>
      <c r="J84" s="24"/>
      <c r="K84" s="24"/>
      <c r="L84" s="24"/>
      <c r="M84" s="21"/>
    </row>
    <row r="85" spans="1:13" x14ac:dyDescent="0.35">
      <c r="A85" s="22">
        <v>3</v>
      </c>
      <c r="B85" s="22" t="s">
        <v>47</v>
      </c>
      <c r="C85" s="23" t="s">
        <v>45</v>
      </c>
      <c r="D85" s="24">
        <v>6.5344519999999999</v>
      </c>
      <c r="E85" s="24">
        <v>0.75064960000000003</v>
      </c>
      <c r="F85" s="21">
        <v>4.0130990000000004</v>
      </c>
      <c r="G85" s="21">
        <v>0.6753015</v>
      </c>
      <c r="H85" s="11">
        <v>9.1313420000000001</v>
      </c>
      <c r="I85" s="11">
        <v>0.45024690000000001</v>
      </c>
      <c r="J85" s="21">
        <v>9.7313410000000005</v>
      </c>
      <c r="K85" s="21">
        <v>0.35580620000000002</v>
      </c>
      <c r="L85" s="24">
        <v>4.5152340000000004</v>
      </c>
      <c r="M85" s="24">
        <v>0.33743719999999999</v>
      </c>
    </row>
    <row r="86" spans="1:13" x14ac:dyDescent="0.35">
      <c r="A86" s="22">
        <v>4</v>
      </c>
      <c r="B86" s="22" t="s">
        <v>48</v>
      </c>
      <c r="C86" s="23" t="s">
        <v>45</v>
      </c>
      <c r="D86" s="24">
        <v>6.0951810000000002</v>
      </c>
      <c r="E86" s="24">
        <v>1.4836384</v>
      </c>
      <c r="F86" s="21">
        <v>4.4330930000000004</v>
      </c>
      <c r="G86" s="21">
        <v>0.7529901</v>
      </c>
      <c r="H86" s="21">
        <v>8.9932130000000008</v>
      </c>
      <c r="I86" s="21">
        <v>0.57430250000000005</v>
      </c>
      <c r="J86" s="21">
        <v>10.505179</v>
      </c>
      <c r="K86" s="21">
        <v>0.38461450000000003</v>
      </c>
      <c r="L86" s="24">
        <v>6.5810570000000004</v>
      </c>
      <c r="M86" s="24">
        <v>1.1969808</v>
      </c>
    </row>
    <row r="87" spans="1:13" x14ac:dyDescent="0.35">
      <c r="A87" s="22">
        <v>5</v>
      </c>
      <c r="B87" s="22" t="s">
        <v>49</v>
      </c>
      <c r="C87" s="23" t="s">
        <v>45</v>
      </c>
      <c r="D87" s="24">
        <v>2.78</v>
      </c>
      <c r="E87" s="24">
        <v>1.33</v>
      </c>
      <c r="F87" s="21">
        <v>1.1299999999999999</v>
      </c>
      <c r="G87" s="21">
        <v>0.55000000000000004</v>
      </c>
      <c r="H87" s="21" t="s">
        <v>71</v>
      </c>
      <c r="I87" s="21" t="s">
        <v>71</v>
      </c>
      <c r="J87" s="21">
        <v>7.75</v>
      </c>
      <c r="K87" s="21">
        <v>0.47</v>
      </c>
      <c r="L87" s="24" t="s">
        <v>71</v>
      </c>
      <c r="M87" s="24" t="s">
        <v>71</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517A-889A-4E8D-B3FE-1AF1BA3EEC26}">
  <dimension ref="A1:M21"/>
  <sheetViews>
    <sheetView workbookViewId="0">
      <selection activeCell="D2" sqref="D2"/>
    </sheetView>
  </sheetViews>
  <sheetFormatPr defaultRowHeight="14.5" x14ac:dyDescent="0.35"/>
  <cols>
    <col min="2" max="2" width="22.7265625" bestFit="1" customWidth="1"/>
  </cols>
  <sheetData>
    <row r="1" spans="1:13" x14ac:dyDescent="0.35">
      <c r="C1" s="3" t="s">
        <v>1</v>
      </c>
      <c r="D1" s="3" t="s">
        <v>2</v>
      </c>
      <c r="E1" s="4" t="s">
        <v>3</v>
      </c>
      <c r="F1" s="3" t="s">
        <v>4</v>
      </c>
      <c r="G1" s="4" t="s">
        <v>3</v>
      </c>
      <c r="H1" s="3" t="s">
        <v>5</v>
      </c>
      <c r="I1" s="4" t="s">
        <v>3</v>
      </c>
      <c r="J1" s="3" t="s">
        <v>6</v>
      </c>
      <c r="K1" s="4" t="s">
        <v>3</v>
      </c>
      <c r="L1" s="3" t="s">
        <v>7</v>
      </c>
      <c r="M1" s="4" t="s">
        <v>3</v>
      </c>
    </row>
    <row r="2" spans="1:13" x14ac:dyDescent="0.35">
      <c r="A2" s="5"/>
      <c r="B2" s="5" t="s">
        <v>174</v>
      </c>
      <c r="C2" s="6" t="s">
        <v>8</v>
      </c>
      <c r="D2" s="15">
        <v>1.7962237700298131</v>
      </c>
      <c r="E2" s="15">
        <v>1.0500832947415339</v>
      </c>
      <c r="F2" s="15">
        <v>1.9411329585419772</v>
      </c>
      <c r="G2" s="15">
        <v>0.25928627909075069</v>
      </c>
      <c r="H2" s="15">
        <v>2.8889079490686491</v>
      </c>
      <c r="I2" s="15">
        <v>1.1663680163316625</v>
      </c>
      <c r="J2" s="15">
        <v>1.4407556885847825</v>
      </c>
      <c r="K2" s="15">
        <v>0.64308168711583713</v>
      </c>
      <c r="L2" s="15">
        <v>1.578713561764105</v>
      </c>
      <c r="M2" s="15">
        <v>0.93205887711323643</v>
      </c>
    </row>
    <row r="3" spans="1:13" x14ac:dyDescent="0.35">
      <c r="A3" s="5"/>
      <c r="B3" s="5" t="s">
        <v>175</v>
      </c>
      <c r="C3" s="6" t="s">
        <v>8</v>
      </c>
      <c r="D3" s="15">
        <v>1.3950297920209684</v>
      </c>
      <c r="E3" s="15">
        <v>0.3948414338279968</v>
      </c>
      <c r="F3" s="15">
        <v>0.21738205087269694</v>
      </c>
      <c r="G3" s="15">
        <v>0.30950426163560146</v>
      </c>
      <c r="H3" s="15">
        <v>1.2095219248052922</v>
      </c>
      <c r="I3" s="15">
        <v>1.2899133207846496</v>
      </c>
      <c r="J3" s="15">
        <v>0.82721749746743256</v>
      </c>
      <c r="K3" s="15">
        <v>0.72680912459169078</v>
      </c>
      <c r="L3" s="15">
        <v>9.0416853947339629E-2</v>
      </c>
      <c r="M3" s="15">
        <v>1.8964931652927046</v>
      </c>
    </row>
    <row r="4" spans="1:13" x14ac:dyDescent="0.35">
      <c r="A4" s="5"/>
      <c r="B4" s="5" t="s">
        <v>176</v>
      </c>
      <c r="C4" s="6" t="s">
        <v>8</v>
      </c>
      <c r="D4" s="15">
        <v>2.7027518933880659</v>
      </c>
      <c r="E4" s="15">
        <v>1.2972389875023116</v>
      </c>
      <c r="F4">
        <v>0.38416625898562273</v>
      </c>
      <c r="G4" s="15">
        <v>0.22715137098233198</v>
      </c>
      <c r="H4" s="15">
        <v>0.27498051645595195</v>
      </c>
      <c r="I4" s="15">
        <v>0.18507877493185934</v>
      </c>
      <c r="J4" s="15">
        <v>0.10310345023057137</v>
      </c>
      <c r="K4" s="15">
        <v>4.2943839223272474E-2</v>
      </c>
      <c r="L4" s="15">
        <v>9.1402288733881454E-2</v>
      </c>
      <c r="M4" s="15">
        <v>4.6373484822439213E-2</v>
      </c>
    </row>
    <row r="5" spans="1:13" x14ac:dyDescent="0.35">
      <c r="A5" s="5"/>
      <c r="B5" s="5" t="s">
        <v>177</v>
      </c>
      <c r="C5" s="6" t="s">
        <v>8</v>
      </c>
      <c r="D5" s="15">
        <f>SUM(D2:D4)</f>
        <v>5.8940054554388475</v>
      </c>
      <c r="E5" s="15">
        <f>SQRT((E2)^2+(E3)^2+(E4)^2)</f>
        <v>1.7150520908877978</v>
      </c>
      <c r="F5" s="15">
        <f>SUM(F2:F4)</f>
        <v>2.5426812684002971</v>
      </c>
      <c r="G5" s="15">
        <f>SQRT((G2)^2+(G3)^2+(G4)^2)</f>
        <v>0.46327098747329137</v>
      </c>
      <c r="H5" s="15">
        <f>SUM(H2:H4)</f>
        <v>4.3734103903298935</v>
      </c>
      <c r="I5" s="15">
        <f>SQRT((I2)^2+(I3)^2+(I4)^2)</f>
        <v>1.7488695999386052</v>
      </c>
      <c r="J5" s="15">
        <f>SUM(J2:J4)</f>
        <v>2.3710766362827864</v>
      </c>
      <c r="K5" s="15">
        <f>SQRT((K2)^2+(K3)^2+(K4)^2)</f>
        <v>0.9714163542069516</v>
      </c>
      <c r="L5" s="15">
        <f>SUM(L2:L4)</f>
        <v>1.7605327044453261</v>
      </c>
      <c r="M5" s="15">
        <f>SQRT((M2)^2+(M3)^2+(M4)^2)</f>
        <v>2.1136628341583021</v>
      </c>
    </row>
    <row r="6" spans="1:13" x14ac:dyDescent="0.35">
      <c r="A6" s="5"/>
      <c r="B6" s="5" t="s">
        <v>171</v>
      </c>
      <c r="C6" s="6"/>
      <c r="D6" s="15">
        <f>D2/D5</f>
        <v>0.30475434466595219</v>
      </c>
      <c r="E6" s="29">
        <f>D6*SQRT((E2/D2)^2+(E5/D5)^2)</f>
        <v>0.1990106591603486</v>
      </c>
      <c r="F6" s="15">
        <f>F2/F5</f>
        <v>0.76341969505411977</v>
      </c>
      <c r="G6" s="29">
        <f>F6*SQRT((G2/F2)^2+(G5/F5)^2)</f>
        <v>0.17246908062665067</v>
      </c>
      <c r="H6" s="15">
        <f>H2/H5</f>
        <v>0.66056182503621252</v>
      </c>
      <c r="I6" s="29">
        <f>H6*SQRT((I2/H2)^2+(I5/H5)^2)</f>
        <v>0.37536865204011444</v>
      </c>
      <c r="J6" s="15">
        <f>J2/J5</f>
        <v>0.60763775684766641</v>
      </c>
      <c r="K6" s="29">
        <f>J6*SQRT((K2/J2)^2+(K5/J5)^2)</f>
        <v>0.36814920940236884</v>
      </c>
      <c r="L6" s="15">
        <f>L2/L5</f>
        <v>0.89672492750510702</v>
      </c>
      <c r="M6" s="29">
        <f>L6*SQRT((M2/L2)^2+(M5/L5)^2)</f>
        <v>1.199722010081627</v>
      </c>
    </row>
    <row r="7" spans="1:13" x14ac:dyDescent="0.35">
      <c r="A7" s="5"/>
      <c r="B7" s="5" t="s">
        <v>172</v>
      </c>
      <c r="C7" s="6"/>
      <c r="D7" s="15">
        <f>D3/D5</f>
        <v>0.23668620644618987</v>
      </c>
      <c r="E7" s="15">
        <f>D7*SQRT((E3/D3)^2+(E5/D5)^2)</f>
        <v>9.6078058843497696E-2</v>
      </c>
      <c r="F7" s="15">
        <f>F3/F5</f>
        <v>8.5493236440704473E-2</v>
      </c>
      <c r="G7" s="15">
        <f>F7*SQRT((G3/F3)^2+(G5/F5)^2)</f>
        <v>0.12271618653900519</v>
      </c>
      <c r="H7" s="15">
        <f>H3/H5</f>
        <v>0.27656264033205813</v>
      </c>
      <c r="I7" s="15">
        <f>H7*SQRT((I3/H3)^2+(I5/H5)^2)</f>
        <v>0.31499720622566907</v>
      </c>
      <c r="J7" s="15">
        <f>J3/J5</f>
        <v>0.34887843134597629</v>
      </c>
      <c r="K7" s="15">
        <f>J7*SQRT((K3/J3)^2+(K5/J5)^2)</f>
        <v>0.33821796903446094</v>
      </c>
      <c r="L7" s="15">
        <f>L3/L5</f>
        <v>5.135766789167736E-2</v>
      </c>
      <c r="M7" s="15">
        <f>L7*SQRT((M3/L3)^2+(M5/L5)^2)</f>
        <v>1.0789900864565196</v>
      </c>
    </row>
    <row r="8" spans="1:13" x14ac:dyDescent="0.35">
      <c r="A8" s="5"/>
      <c r="B8" s="5" t="s">
        <v>173</v>
      </c>
      <c r="C8" s="6"/>
      <c r="D8" s="15">
        <f>D4/D5</f>
        <v>0.45855944888785793</v>
      </c>
      <c r="E8" s="15">
        <f>D8*SQRT((E4/D4)^2+(E5/D5)^2)</f>
        <v>0.25738288028172063</v>
      </c>
      <c r="F8" s="15">
        <f>G4/F5</f>
        <v>8.9335369637281378E-2</v>
      </c>
      <c r="G8" s="15">
        <f>F8*SQRT((G4/F4)^2+(G5/F5)^2)</f>
        <v>5.5273464619526667E-2</v>
      </c>
      <c r="H8" s="15">
        <f>H4/H5</f>
        <v>6.2875534631729291E-2</v>
      </c>
      <c r="I8" s="15">
        <f>H8*SQRT((I4/H4)^2+(I5/H5)^2)</f>
        <v>4.9224806413508682E-2</v>
      </c>
      <c r="J8" s="15">
        <f>J4/J5</f>
        <v>4.3483811806357291E-2</v>
      </c>
      <c r="K8" s="15">
        <f>J8*SQRT((K4/J4)^2+(K5/J5)^2)</f>
        <v>2.5404808415840006E-2</v>
      </c>
      <c r="L8" s="15">
        <f>L4/L5</f>
        <v>5.1917404603215644E-2</v>
      </c>
      <c r="M8" s="15">
        <f>L8*SQRT((M4/L4)^2+(M5/L5)^2)</f>
        <v>6.7668231107861881E-2</v>
      </c>
    </row>
    <row r="10" spans="1:13" x14ac:dyDescent="0.35">
      <c r="B10" s="5" t="s">
        <v>184</v>
      </c>
      <c r="C10" s="6" t="s">
        <v>8</v>
      </c>
      <c r="D10" s="15">
        <v>1.1064975664243539</v>
      </c>
      <c r="E10" s="15">
        <v>0.66792432120499978</v>
      </c>
      <c r="F10" s="15">
        <v>1.6410396410800587</v>
      </c>
      <c r="G10" s="15">
        <v>0.33256631850815027</v>
      </c>
      <c r="H10" s="15">
        <v>2.1673371140740763</v>
      </c>
      <c r="I10" s="15">
        <v>0.66886728442158405</v>
      </c>
      <c r="J10" s="15">
        <v>0.89024824812566605</v>
      </c>
      <c r="K10" s="15">
        <v>0.27890119679638797</v>
      </c>
      <c r="L10" s="15">
        <v>0.72705109862489981</v>
      </c>
      <c r="M10" s="15">
        <v>4.0511996781932326E-2</v>
      </c>
    </row>
    <row r="11" spans="1:13" x14ac:dyDescent="0.35">
      <c r="B11" s="5" t="s">
        <v>185</v>
      </c>
      <c r="C11" s="6" t="s">
        <v>8</v>
      </c>
      <c r="D11" s="15">
        <v>1.0642510738182931</v>
      </c>
      <c r="E11" s="15">
        <v>1.0655907990758369</v>
      </c>
      <c r="F11" s="15">
        <v>0.42058818851854973</v>
      </c>
      <c r="G11" s="15">
        <v>0.44320636337517283</v>
      </c>
      <c r="H11" s="15">
        <v>0.97553008316818701</v>
      </c>
      <c r="I11" s="15">
        <v>0.90753129565359059</v>
      </c>
      <c r="J11" s="15">
        <v>0.96425383040747514</v>
      </c>
      <c r="K11" s="15">
        <v>0.33148355895436821</v>
      </c>
      <c r="L11" s="15">
        <v>0.92636085003093882</v>
      </c>
      <c r="M11" s="15">
        <v>1.1905550054920626</v>
      </c>
    </row>
    <row r="12" spans="1:13" x14ac:dyDescent="0.35">
      <c r="B12" s="5" t="s">
        <v>186</v>
      </c>
      <c r="C12" s="6" t="s">
        <v>8</v>
      </c>
      <c r="D12" s="15">
        <v>1.840319640715254</v>
      </c>
      <c r="E12" s="15">
        <v>0.87628940007182943</v>
      </c>
      <c r="F12">
        <v>0.27736292299485826</v>
      </c>
      <c r="G12" s="15">
        <v>7.2192936457576157E-2</v>
      </c>
      <c r="H12" s="15">
        <v>0.18777832543071502</v>
      </c>
      <c r="I12" s="15">
        <v>0.11184921987473025</v>
      </c>
      <c r="J12" s="15">
        <v>7.8765655449163655E-2</v>
      </c>
      <c r="K12" s="15">
        <v>2.9703349841141764E-2</v>
      </c>
      <c r="L12" s="15">
        <v>7.9076927242800812E-2</v>
      </c>
      <c r="M12" s="15">
        <v>5.1489207430255639E-2</v>
      </c>
    </row>
    <row r="13" spans="1:13" x14ac:dyDescent="0.35">
      <c r="B13" s="5" t="s">
        <v>187</v>
      </c>
      <c r="C13" s="6" t="s">
        <v>8</v>
      </c>
      <c r="D13" s="15">
        <f>SUM(D10:D12)</f>
        <v>4.0110682809579012</v>
      </c>
      <c r="E13" s="15">
        <f>SQRT((E10)^2+(E11)^2+(E12)^2)</f>
        <v>1.5328045415546259</v>
      </c>
      <c r="F13" s="15">
        <f>SUM(F10:F12)</f>
        <v>2.338990752593467</v>
      </c>
      <c r="G13" s="15">
        <f>SQRT((G10)^2+(G11)^2+(G12)^2)</f>
        <v>0.55878802494029678</v>
      </c>
      <c r="H13" s="15">
        <f>SUM(H10:H12)</f>
        <v>3.3306455226729783</v>
      </c>
      <c r="I13" s="15">
        <f>SQRT((I10)^2+(I11)^2+(I12)^2)</f>
        <v>1.1329195667596066</v>
      </c>
      <c r="J13" s="15">
        <f>SUM(J10:J12)</f>
        <v>1.9332677339823048</v>
      </c>
      <c r="K13" s="15">
        <f>SQRT((K10)^2+(K11)^2+(K12)^2)</f>
        <v>0.43422288795421282</v>
      </c>
      <c r="L13" s="15">
        <f>SUM(L10:L12)</f>
        <v>1.7324888758986394</v>
      </c>
      <c r="M13" s="15">
        <f>SQRT((M10)^2+(M11)^2+(M12)^2)</f>
        <v>1.1923563148099903</v>
      </c>
    </row>
    <row r="14" spans="1:13" x14ac:dyDescent="0.35">
      <c r="B14" s="5" t="s">
        <v>171</v>
      </c>
      <c r="C14" s="6"/>
      <c r="D14" s="15">
        <f>D10/D13</f>
        <v>0.2758610646638272</v>
      </c>
      <c r="E14" s="29">
        <f>D14*SQRT((E10/D10)^2+(E13/D13)^2)</f>
        <v>0.19708396196295663</v>
      </c>
      <c r="F14" s="15">
        <f>F10/F13</f>
        <v>0.70160159430321734</v>
      </c>
      <c r="G14" s="29">
        <f>F14*SQRT((G10/F10)^2+(G13/F13)^2)</f>
        <v>0.21979650906014239</v>
      </c>
      <c r="H14" s="15">
        <f>H10/H13</f>
        <v>0.65072584257921873</v>
      </c>
      <c r="I14" s="29">
        <f>H14*SQRT((I10/H10)^2+(I13/H13)^2)</f>
        <v>0.29886938042028927</v>
      </c>
      <c r="J14" s="15">
        <f>J10/J13</f>
        <v>0.46048885649783183</v>
      </c>
      <c r="K14" s="29">
        <f>J14*SQRT((K10/J10)^2+(K13/J13)^2)</f>
        <v>0.17750936832022984</v>
      </c>
      <c r="L14" s="15">
        <f>L10/L13</f>
        <v>0.41965700833015707</v>
      </c>
      <c r="M14" s="29">
        <f>L14*SQRT((M10/L10)^2+(M13/L13)^2)</f>
        <v>0.28976692750342525</v>
      </c>
    </row>
    <row r="15" spans="1:13" x14ac:dyDescent="0.35">
      <c r="B15" s="5" t="s">
        <v>172</v>
      </c>
      <c r="C15" s="6"/>
      <c r="D15" s="15">
        <f>D11/D13</f>
        <v>0.2653285856216176</v>
      </c>
      <c r="E15" s="15">
        <f>D15*SQRT((E11/D11)^2+(E13/D13)^2)</f>
        <v>0.28435415561332167</v>
      </c>
      <c r="F15" s="15">
        <f>F11/F13</f>
        <v>0.179816097200129</v>
      </c>
      <c r="G15" s="15">
        <f>F15*SQRT((G11/F11)^2+(G13/F13)^2)</f>
        <v>0.1942946702604931</v>
      </c>
      <c r="H15" s="15">
        <f>H11/H13</f>
        <v>0.29289519900192934</v>
      </c>
      <c r="I15" s="15">
        <f>H15*SQRT((I11/H11)^2+(I13/H13)^2)</f>
        <v>0.29012181460276504</v>
      </c>
      <c r="J15" s="15">
        <f>J11/J13</f>
        <v>0.49876890482273001</v>
      </c>
      <c r="K15" s="15">
        <f>J15*SQRT((K11/J11)^2+(K13/J13)^2)</f>
        <v>0.20481552514547893</v>
      </c>
      <c r="L15" s="15">
        <f>L11/L13</f>
        <v>0.53469945055227952</v>
      </c>
      <c r="M15" s="15">
        <f>L15*SQRT((M11/L11)^2+(M13/L13)^2)</f>
        <v>0.77952375822419584</v>
      </c>
    </row>
    <row r="16" spans="1:13" x14ac:dyDescent="0.35">
      <c r="B16" s="5" t="s">
        <v>173</v>
      </c>
      <c r="C16" s="6"/>
      <c r="D16" s="15">
        <f>D12/D13</f>
        <v>0.45881034971455509</v>
      </c>
      <c r="E16" s="15">
        <f>D16*SQRT((E12/D12)^2+(E13/D13)^2)</f>
        <v>0.28012377048557752</v>
      </c>
      <c r="F16" s="15">
        <f>G12/F13</f>
        <v>3.0864994390221001E-2</v>
      </c>
      <c r="G16" s="15">
        <f>F16*SQRT((G12/F12)^2+(G13/F13)^2)</f>
        <v>1.0904618054135E-2</v>
      </c>
      <c r="H16" s="15">
        <f>H12/H13</f>
        <v>5.6378958418851877E-2</v>
      </c>
      <c r="I16" s="15">
        <f>H16*SQRT((I12/H12)^2+(I13/H13)^2)</f>
        <v>3.8671818364365208E-2</v>
      </c>
      <c r="J16" s="15">
        <f>J12/J13</f>
        <v>4.0742238679438179E-2</v>
      </c>
      <c r="K16" s="15">
        <f>J16*SQRT((K12/J12)^2+(K13/J13)^2)</f>
        <v>1.7883010945135652E-2</v>
      </c>
      <c r="L16" s="15">
        <f>L12/L13</f>
        <v>4.5643541117563441E-2</v>
      </c>
      <c r="M16" s="15">
        <f>L16*SQRT((M12/L12)^2+(M13/L13)^2)</f>
        <v>4.3244278512202125E-2</v>
      </c>
    </row>
    <row r="18" spans="2:11" x14ac:dyDescent="0.35">
      <c r="B18" t="s">
        <v>231</v>
      </c>
      <c r="C18" t="s">
        <v>188</v>
      </c>
      <c r="D18">
        <v>3.0641169999999999E-3</v>
      </c>
      <c r="E18">
        <v>3.7044780000000002E-3</v>
      </c>
      <c r="F18">
        <v>2.6426080000000001E-2</v>
      </c>
      <c r="G18">
        <v>3.6593269999999997E-2</v>
      </c>
      <c r="H18">
        <v>4.389118E-4</v>
      </c>
      <c r="I18">
        <v>6.2071499999999998E-4</v>
      </c>
      <c r="J18">
        <v>4.6197340000000003E-3</v>
      </c>
      <c r="K18">
        <v>8.0016129999999994E-3</v>
      </c>
    </row>
    <row r="19" spans="2:11" x14ac:dyDescent="0.35">
      <c r="B19" t="s">
        <v>232</v>
      </c>
      <c r="C19" t="s">
        <v>188</v>
      </c>
      <c r="D19">
        <v>0.64132259999999996</v>
      </c>
      <c r="E19">
        <v>0.84643550000000001</v>
      </c>
      <c r="F19">
        <v>1.6563179999999999E-4</v>
      </c>
      <c r="G19">
        <v>1.841023E-4</v>
      </c>
      <c r="H19">
        <v>2.7392669999999999E-4</v>
      </c>
      <c r="I19">
        <v>3.8739079999999999E-4</v>
      </c>
    </row>
    <row r="20" spans="2:11" x14ac:dyDescent="0.35">
      <c r="B20" t="s">
        <v>233</v>
      </c>
      <c r="C20" t="s">
        <v>188</v>
      </c>
      <c r="D20">
        <v>3.2198289999999997E-2</v>
      </c>
      <c r="E20">
        <v>1.468186E-3</v>
      </c>
      <c r="F20">
        <v>6.2555470000000002E-2</v>
      </c>
      <c r="G20">
        <v>1.9903490000000002E-3</v>
      </c>
      <c r="H20">
        <v>4.8649339999999999E-2</v>
      </c>
      <c r="I20">
        <v>2.2307210000000002E-3</v>
      </c>
      <c r="J20">
        <v>1.9523390000000002E-2</v>
      </c>
    </row>
    <row r="21" spans="2:11" x14ac:dyDescent="0.35">
      <c r="B21" t="s">
        <v>234</v>
      </c>
      <c r="C21" t="s">
        <v>188</v>
      </c>
      <c r="D21">
        <v>3.799193E-2</v>
      </c>
      <c r="E21">
        <v>1.50482E-3</v>
      </c>
      <c r="F21">
        <v>3.0488140000000001</v>
      </c>
      <c r="G21">
        <v>3.520558E-2</v>
      </c>
      <c r="H21">
        <v>1.378842E-4</v>
      </c>
      <c r="I21">
        <v>3.1759430000000001E-6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C0D3-B65B-427B-91CB-5E60777CB3F4}">
  <dimension ref="A1:R7"/>
  <sheetViews>
    <sheetView workbookViewId="0">
      <selection activeCell="A9" sqref="A9"/>
    </sheetView>
  </sheetViews>
  <sheetFormatPr defaultRowHeight="14.5" x14ac:dyDescent="0.35"/>
  <cols>
    <col min="1" max="1" width="22.81640625" bestFit="1" customWidth="1"/>
    <col min="3" max="3" width="11.81640625" bestFit="1" customWidth="1"/>
    <col min="4" max="4" width="11.1796875" bestFit="1" customWidth="1"/>
    <col min="5" max="5" width="10.81640625" bestFit="1" customWidth="1"/>
    <col min="6" max="6" width="11.1796875" bestFit="1" customWidth="1"/>
    <col min="7" max="7" width="10.81640625" bestFit="1" customWidth="1"/>
    <col min="8" max="8" width="11.1796875" bestFit="1" customWidth="1"/>
    <col min="9" max="9" width="10.81640625" bestFit="1" customWidth="1"/>
    <col min="10" max="10" width="11.1796875" bestFit="1" customWidth="1"/>
    <col min="11" max="11" width="10.81640625" bestFit="1" customWidth="1"/>
    <col min="12" max="12" width="11.81640625" bestFit="1" customWidth="1"/>
  </cols>
  <sheetData>
    <row r="1" spans="1:18" x14ac:dyDescent="0.35">
      <c r="A1" s="2"/>
      <c r="B1" s="3" t="s">
        <v>1</v>
      </c>
      <c r="C1" s="3" t="s">
        <v>189</v>
      </c>
      <c r="D1" s="4" t="s">
        <v>190</v>
      </c>
      <c r="E1" s="3" t="s">
        <v>191</v>
      </c>
      <c r="F1" s="4" t="s">
        <v>192</v>
      </c>
      <c r="G1" s="3" t="s">
        <v>193</v>
      </c>
      <c r="H1" s="4" t="s">
        <v>194</v>
      </c>
      <c r="I1" s="3" t="s">
        <v>195</v>
      </c>
      <c r="J1" s="4" t="s">
        <v>196</v>
      </c>
      <c r="K1" s="3" t="s">
        <v>197</v>
      </c>
      <c r="L1" s="4" t="s">
        <v>198</v>
      </c>
    </row>
    <row r="2" spans="1:18" x14ac:dyDescent="0.35">
      <c r="A2" s="8" t="s">
        <v>28</v>
      </c>
      <c r="B2" s="10" t="s">
        <v>188</v>
      </c>
      <c r="C2" s="16">
        <f>'InputsNZ Old'!D34-('InputsNZ Old'!E34*2)</f>
        <v>6.6329060000000002</v>
      </c>
      <c r="D2" s="16">
        <f>'InputsNZ Old'!D34+('InputsNZ Old'!E34*2)</f>
        <v>11.725402000000001</v>
      </c>
      <c r="E2" s="30">
        <f>'InputsNZ Old'!F34-('InputsNZ Old'!G34*2)</f>
        <v>4.781046688</v>
      </c>
      <c r="F2" s="30">
        <f>'InputsNZ Old'!F34+('InputsNZ Old'!G34*2)</f>
        <v>4.8175673119999995</v>
      </c>
      <c r="G2" s="16">
        <f>'InputsNZ Old'!H34-('InputsNZ Old'!I34*2)</f>
        <v>-0.93812596200000087</v>
      </c>
      <c r="H2" s="16">
        <f>'InputsNZ Old'!H34+('InputsNZ Old'!I34*2)</f>
        <v>28.090631962</v>
      </c>
      <c r="I2" s="16">
        <f>'InputsNZ Old'!J34-('InputsNZ Old'!K34*2)</f>
        <v>2.7744654419999999</v>
      </c>
      <c r="J2" s="16">
        <f>'InputsNZ Old'!J34+('InputsNZ Old'!K34*2)</f>
        <v>10.448920557999999</v>
      </c>
      <c r="K2" s="30">
        <f>'InputsNZ Old'!L34-('InputsNZ Old'!M34*2)</f>
        <v>-8.7676792000000114E-2</v>
      </c>
      <c r="L2" s="30">
        <f>'InputsNZ Old'!L34+('InputsNZ Old'!M34*2)</f>
        <v>2.4382195920000003</v>
      </c>
      <c r="Q2" s="28"/>
      <c r="R2" s="28"/>
    </row>
    <row r="3" spans="1:18" x14ac:dyDescent="0.35">
      <c r="A3" s="8" t="s">
        <v>29</v>
      </c>
      <c r="B3" s="10" t="s">
        <v>188</v>
      </c>
      <c r="C3" s="16" t="e">
        <f>'InputsNZ Old'!#REF!-('InputsNZ Old'!#REF!*2)</f>
        <v>#REF!</v>
      </c>
      <c r="D3" s="16" t="e">
        <f>'InputsNZ Old'!#REF!+('InputsNZ Old'!#REF!*2)</f>
        <v>#REF!</v>
      </c>
      <c r="E3" s="30" t="e">
        <f>'InputsNZ Old'!#REF!-('InputsNZ Old'!#REF!*2)</f>
        <v>#REF!</v>
      </c>
      <c r="F3" s="30" t="e">
        <f>'InputsNZ Old'!#REF!+('InputsNZ Old'!#REF!*2)</f>
        <v>#REF!</v>
      </c>
      <c r="G3" s="16" t="e">
        <f>'InputsNZ Old'!#REF!-('InputsNZ Old'!#REF!*2)</f>
        <v>#REF!</v>
      </c>
      <c r="H3" s="16" t="e">
        <f>'InputsNZ Old'!#REF!+('InputsNZ Old'!#REF!*2)</f>
        <v>#REF!</v>
      </c>
      <c r="I3" s="16" t="e">
        <f>'InputsNZ Old'!#REF!-('InputsNZ Old'!#REF!*2)</f>
        <v>#REF!</v>
      </c>
      <c r="J3" s="16" t="e">
        <f>'InputsNZ Old'!#REF!+('InputsNZ Old'!#REF!*2)</f>
        <v>#REF!</v>
      </c>
      <c r="K3" s="30" t="e">
        <f>'InputsNZ Old'!#REF!-('InputsNZ Old'!#REF!*2)</f>
        <v>#REF!</v>
      </c>
      <c r="L3" s="30" t="e">
        <f>'InputsNZ Old'!#REF!+('InputsNZ Old'!#REF!*2)</f>
        <v>#REF!</v>
      </c>
      <c r="Q3" s="28"/>
      <c r="R3" s="28"/>
    </row>
    <row r="4" spans="1:18" x14ac:dyDescent="0.35">
      <c r="A4" s="8" t="s">
        <v>30</v>
      </c>
      <c r="B4" s="10" t="s">
        <v>188</v>
      </c>
      <c r="C4" s="16">
        <f>'InputsNZ Old'!D35-('InputsNZ Old'!E35*2)</f>
        <v>-0.43798890000000001</v>
      </c>
      <c r="D4" s="16">
        <f>'InputsNZ Old'!D35+('InputsNZ Old'!E35*2)</f>
        <v>0.91707710000000009</v>
      </c>
      <c r="E4" s="16">
        <f>'InputsNZ Old'!F35-('InputsNZ Old'!G35*2)</f>
        <v>-0.69378950000000006</v>
      </c>
      <c r="F4" s="16">
        <f>'InputsNZ Old'!F35+('InputsNZ Old'!G35*2)</f>
        <v>2.2757104999999997</v>
      </c>
      <c r="G4" s="30">
        <f>'InputsNZ Old'!H35-('InputsNZ Old'!I35*2)</f>
        <v>-0.32628180000000001</v>
      </c>
      <c r="H4" s="30">
        <f>'InputsNZ Old'!H35+('InputsNZ Old'!I35*2)</f>
        <v>1.2640886</v>
      </c>
      <c r="I4" s="16">
        <f>'InputsNZ Old'!J35-('InputsNZ Old'!K35*2)</f>
        <v>-2.9820900000000011E-2</v>
      </c>
      <c r="J4" s="16">
        <f>'InputsNZ Old'!J35+('InputsNZ Old'!K35*2)</f>
        <v>0.4940987</v>
      </c>
      <c r="K4" s="16">
        <f>'InputsNZ Old'!L35-('InputsNZ Old'!M35*2)</f>
        <v>-0.51332749999999994</v>
      </c>
      <c r="L4" s="16">
        <f>'InputsNZ Old'!L35+('InputsNZ Old'!M35*2)</f>
        <v>2.9243869</v>
      </c>
      <c r="N4" s="33"/>
      <c r="O4" s="34" t="s">
        <v>199</v>
      </c>
    </row>
    <row r="5" spans="1:18" x14ac:dyDescent="0.35">
      <c r="A5" s="8" t="s">
        <v>31</v>
      </c>
      <c r="B5" s="10" t="s">
        <v>188</v>
      </c>
      <c r="C5" s="16">
        <f>'InputsNZ Old'!D36-('InputsNZ Old'!E36*2)</f>
        <v>-1.1090613000000005</v>
      </c>
      <c r="D5" s="16">
        <f>'InputsNZ Old'!D36+('InputsNZ Old'!E36*2)</f>
        <v>9.3728762999999997</v>
      </c>
      <c r="E5" s="16">
        <f>'InputsNZ Old'!F36-('InputsNZ Old'!G36*2)</f>
        <v>-1.8364067999999998</v>
      </c>
      <c r="F5" s="16">
        <f>'InputsNZ Old'!F36+('InputsNZ Old'!G36*2)</f>
        <v>9.6691216000000004</v>
      </c>
      <c r="G5" s="30">
        <f>'InputsNZ Old'!H36-('InputsNZ Old'!I36*2)</f>
        <v>2.0223377</v>
      </c>
      <c r="H5" s="30">
        <f>'InputsNZ Old'!H36+('InputsNZ Old'!I36*2)</f>
        <v>3.4505912999999997</v>
      </c>
      <c r="I5" s="16">
        <f>'InputsNZ Old'!J36-('InputsNZ Old'!K36*2)</f>
        <v>0.22861509999999985</v>
      </c>
      <c r="J5" s="16">
        <f>'InputsNZ Old'!J36+('InputsNZ Old'!K36*2)</f>
        <v>2.7342027</v>
      </c>
      <c r="K5" s="16">
        <f>'InputsNZ Old'!L36-('InputsNZ Old'!M36*2)</f>
        <v>0.18019819999999998</v>
      </c>
      <c r="L5" s="16">
        <f>'InputsNZ Old'!L36+('InputsNZ Old'!M36*2)</f>
        <v>2.3023609999999999</v>
      </c>
    </row>
    <row r="6" spans="1:18" x14ac:dyDescent="0.35">
      <c r="A6" s="8" t="s">
        <v>165</v>
      </c>
      <c r="B6" s="10" t="s">
        <v>23</v>
      </c>
      <c r="C6" s="16">
        <f>'InputsNZ Old'!D39-('InputsNZ Old'!E39*2)</f>
        <v>-6.4044004539999992</v>
      </c>
      <c r="D6" s="16">
        <f>'InputsNZ Old'!D39+('InputsNZ Old'!E39*2)</f>
        <v>27.52057739</v>
      </c>
      <c r="E6" s="16">
        <f>'InputsNZ Old'!F39-('InputsNZ Old'!G39*2)</f>
        <v>-3.0457028039999998</v>
      </c>
      <c r="F6" s="16">
        <f>'InputsNZ Old'!F39+('InputsNZ Old'!G39*2)</f>
        <v>10.068495444</v>
      </c>
      <c r="G6" s="16">
        <f>'InputsNZ Old'!H39-('InputsNZ Old'!I39*2)</f>
        <v>-0.112312565</v>
      </c>
      <c r="H6" s="16">
        <f>'InputsNZ Old'!H39+('InputsNZ Old'!I39*2)</f>
        <v>0.26250779899999999</v>
      </c>
      <c r="I6" s="16">
        <f>'InputsNZ Old'!J39-('InputsNZ Old'!K39*2)</f>
        <v>-9.6778983279999977</v>
      </c>
      <c r="J6" s="16">
        <f>'InputsNZ Old'!J39+('InputsNZ Old'!K39*2)</f>
        <v>24.942193295999999</v>
      </c>
      <c r="K6" s="16">
        <f>'InputsNZ Old'!L39-('InputsNZ Old'!M39*2)</f>
        <v>-6.9035590000000001E-3</v>
      </c>
      <c r="L6" s="16">
        <f>'InputsNZ Old'!L39+('InputsNZ Old'!M39*2)</f>
        <v>1.0444773000000001E-2</v>
      </c>
    </row>
    <row r="7" spans="1:18" x14ac:dyDescent="0.35">
      <c r="A7" s="8" t="s">
        <v>166</v>
      </c>
      <c r="B7" s="10" t="s">
        <v>23</v>
      </c>
      <c r="C7" s="16">
        <f>'InputsNZ Old'!D40-('InputsNZ Old'!E40*2)</f>
        <v>-17.211968330999998</v>
      </c>
      <c r="D7" s="16">
        <f>'InputsNZ Old'!D40+('InputsNZ Old'!E40*2)</f>
        <v>55.191141961</v>
      </c>
      <c r="E7" s="16">
        <f>'InputsNZ Old'!F40-('InputsNZ Old'!G40*2)</f>
        <v>-18.242359155999999</v>
      </c>
      <c r="F7" s="16">
        <f>'InputsNZ Old'!F40+('InputsNZ Old'!G40*2)</f>
        <v>43.949458112000002</v>
      </c>
      <c r="G7" s="16">
        <f>'InputsNZ Old'!H40-('InputsNZ Old'!I40*2)</f>
        <v>-0.23921077599999999</v>
      </c>
      <c r="H7" s="16">
        <f>'InputsNZ Old'!H40+('InputsNZ Old'!I40*2)</f>
        <v>0.48069516800000001</v>
      </c>
      <c r="I7" s="16">
        <f>'InputsNZ Old'!J40-('InputsNZ Old'!K40*2)</f>
        <v>-6.6010025530000007</v>
      </c>
      <c r="J7" s="16">
        <f>'InputsNZ Old'!J40+('InputsNZ Old'!K40*2)</f>
        <v>40.547165939000003</v>
      </c>
      <c r="K7" s="16">
        <f>'InputsNZ Old'!L40-('InputsNZ Old'!M40*2)</f>
        <v>-0.24158610200000002</v>
      </c>
      <c r="L7" s="16">
        <f>'InputsNZ Old'!L40+('InputsNZ Old'!M40*2)</f>
        <v>0.38675849400000001</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8"/>
  <sheetViews>
    <sheetView topLeftCell="A21" workbookViewId="0">
      <selection activeCell="P19" sqref="P19"/>
    </sheetView>
  </sheetViews>
  <sheetFormatPr defaultRowHeight="14.5" x14ac:dyDescent="0.35"/>
  <cols>
    <col min="1" max="1" width="2.81640625" bestFit="1" customWidth="1"/>
    <col min="2" max="2" width="38.81640625" bestFit="1" customWidth="1"/>
    <col min="3" max="3" width="11.453125" bestFit="1" customWidth="1"/>
    <col min="4" max="5" width="12" bestFit="1" customWidth="1"/>
    <col min="6" max="6" width="9.26953125" bestFit="1" customWidth="1"/>
    <col min="7" max="7" width="7.54296875" bestFit="1" customWidth="1"/>
    <col min="8" max="8" width="9.26953125" bestFit="1" customWidth="1"/>
    <col min="9" max="9" width="7.54296875" bestFit="1" customWidth="1"/>
    <col min="10" max="10" width="9.54296875" bestFit="1" customWidth="1"/>
    <col min="11" max="11" width="7.54296875" bestFit="1" customWidth="1"/>
    <col min="12" max="13" width="12" bestFit="1" customWidth="1"/>
  </cols>
  <sheetData>
    <row r="1" spans="1:13" ht="26" x14ac:dyDescent="0.6">
      <c r="A1" s="1" t="s">
        <v>0</v>
      </c>
      <c r="B1" s="2"/>
      <c r="C1" s="2"/>
      <c r="D1" s="12"/>
      <c r="E1" s="12"/>
      <c r="F1" s="12"/>
      <c r="G1" s="12"/>
      <c r="H1" s="12"/>
      <c r="I1" s="12"/>
      <c r="J1" s="12"/>
      <c r="K1" s="12"/>
      <c r="L1" s="12"/>
      <c r="M1" s="12"/>
    </row>
    <row r="2" spans="1:13" x14ac:dyDescent="0.35">
      <c r="A2" s="2"/>
      <c r="B2" s="2"/>
      <c r="C2" s="3" t="s">
        <v>1</v>
      </c>
      <c r="D2" s="3" t="s">
        <v>2</v>
      </c>
      <c r="E2" s="4" t="s">
        <v>3</v>
      </c>
      <c r="F2" s="3" t="s">
        <v>4</v>
      </c>
      <c r="G2" s="4" t="s">
        <v>3</v>
      </c>
      <c r="H2" s="3" t="s">
        <v>5</v>
      </c>
      <c r="I2" s="4" t="s">
        <v>3</v>
      </c>
      <c r="J2" s="3" t="s">
        <v>6</v>
      </c>
      <c r="K2" s="4" t="s">
        <v>3</v>
      </c>
      <c r="L2" s="3" t="s">
        <v>7</v>
      </c>
      <c r="M2" s="4" t="s">
        <v>3</v>
      </c>
    </row>
    <row r="3" spans="1:13" x14ac:dyDescent="0.35">
      <c r="A3" s="5">
        <v>1</v>
      </c>
      <c r="B3" s="5" t="s">
        <v>50</v>
      </c>
      <c r="C3" s="6" t="s">
        <v>8</v>
      </c>
      <c r="D3" s="15">
        <v>2.2329247737615283</v>
      </c>
      <c r="E3" s="15">
        <v>0.13172254372293579</v>
      </c>
      <c r="F3" s="15">
        <v>1.9283162131811777</v>
      </c>
      <c r="G3" s="15">
        <v>0.14673387146277467</v>
      </c>
      <c r="H3" s="15">
        <v>2.4606588507433109</v>
      </c>
      <c r="I3" s="15">
        <v>0.25933510879766969</v>
      </c>
      <c r="J3" s="15">
        <v>2.3995214753173819</v>
      </c>
      <c r="K3" s="15">
        <v>0.11430695804473337</v>
      </c>
      <c r="L3" s="15">
        <v>3.0786663750401408</v>
      </c>
      <c r="M3" s="15">
        <v>0.1443573881529254</v>
      </c>
    </row>
    <row r="4" spans="1:13" x14ac:dyDescent="0.35">
      <c r="A4" s="5">
        <v>2</v>
      </c>
      <c r="B4" s="5" t="s">
        <v>51</v>
      </c>
      <c r="C4" s="6" t="s">
        <v>8</v>
      </c>
      <c r="D4" s="15">
        <v>1.6382197544835757</v>
      </c>
      <c r="E4" s="15">
        <v>6.9593665720110817E-2</v>
      </c>
      <c r="F4" s="15">
        <v>1.7470765811994102</v>
      </c>
      <c r="G4" s="15">
        <v>8.0316617568275572E-2</v>
      </c>
      <c r="H4" s="15">
        <v>1.3029278508196087</v>
      </c>
      <c r="I4" s="15">
        <v>7.9118248733090618E-2</v>
      </c>
      <c r="J4" s="15">
        <v>1.9238949102527667</v>
      </c>
      <c r="K4" s="15">
        <v>5.3269011577982368E-2</v>
      </c>
      <c r="L4" s="15">
        <v>1.3401134619948027</v>
      </c>
      <c r="M4" s="15">
        <v>4.9844448813038365E-2</v>
      </c>
    </row>
    <row r="5" spans="1:13" x14ac:dyDescent="0.35">
      <c r="A5" s="5">
        <v>3</v>
      </c>
      <c r="B5" s="5" t="s">
        <v>52</v>
      </c>
      <c r="C5" s="6" t="s">
        <v>8</v>
      </c>
      <c r="D5" s="15">
        <v>6.2294146108707343E-2</v>
      </c>
      <c r="E5" s="15">
        <v>4.1992261048101082E-2</v>
      </c>
      <c r="F5" s="15">
        <v>1.219571016729336E-2</v>
      </c>
      <c r="G5" s="15">
        <v>4.4924266339863147E-3</v>
      </c>
      <c r="H5" s="15">
        <v>3.8778994773887465E-2</v>
      </c>
      <c r="I5" s="15">
        <v>3.8778994773887465E-2</v>
      </c>
      <c r="J5" s="15">
        <v>5.5621528343023856E-2</v>
      </c>
      <c r="K5" s="15">
        <v>1.7305130194955737E-2</v>
      </c>
      <c r="L5" s="15">
        <v>0.13742101233169585</v>
      </c>
      <c r="M5" s="15">
        <v>3.6897240471500954E-2</v>
      </c>
    </row>
    <row r="6" spans="1:13" x14ac:dyDescent="0.35">
      <c r="A6" s="5">
        <v>4</v>
      </c>
      <c r="B6" s="5" t="s">
        <v>53</v>
      </c>
      <c r="C6" s="6" t="s">
        <v>8</v>
      </c>
      <c r="D6" s="15">
        <v>0.43983739219277729</v>
      </c>
      <c r="E6" s="15">
        <v>0.2964928126544053</v>
      </c>
      <c r="F6" s="15">
        <v>2.6383356801257505E-2</v>
      </c>
      <c r="G6" s="15">
        <v>9.7186054081373745E-3</v>
      </c>
      <c r="H6" s="15">
        <v>7.2350571538432967E-2</v>
      </c>
      <c r="I6" s="15">
        <v>7.2350571538432967E-2</v>
      </c>
      <c r="J6" s="15">
        <v>6.771492192276006E-2</v>
      </c>
      <c r="K6" s="15">
        <v>2.1067661657693314E-2</v>
      </c>
      <c r="L6" s="15">
        <v>8.7939730118583873E-2</v>
      </c>
      <c r="M6" s="15">
        <v>2.3611624700831099E-2</v>
      </c>
    </row>
    <row r="7" spans="1:13" x14ac:dyDescent="0.35">
      <c r="A7" s="5">
        <v>5</v>
      </c>
      <c r="B7" s="5" t="s">
        <v>54</v>
      </c>
      <c r="C7" s="6" t="s">
        <v>8</v>
      </c>
      <c r="D7" s="15">
        <v>1.7230720357119709</v>
      </c>
      <c r="E7" s="15">
        <v>0.601882758631065</v>
      </c>
      <c r="F7" s="15">
        <v>1.8606081128131473</v>
      </c>
      <c r="G7" s="15">
        <v>0.91678692127341099</v>
      </c>
      <c r="H7" s="15">
        <v>1.98436538469972</v>
      </c>
      <c r="I7" s="15">
        <v>0.53716302683577755</v>
      </c>
      <c r="J7" s="15">
        <v>1.7533189517951797</v>
      </c>
      <c r="K7" s="15">
        <v>0.36945194957533273</v>
      </c>
      <c r="L7" s="15">
        <v>2.5784523532181387</v>
      </c>
      <c r="M7" s="15">
        <v>0.14195562807020892</v>
      </c>
    </row>
    <row r="8" spans="1:13" x14ac:dyDescent="0.35">
      <c r="A8" s="5">
        <v>6</v>
      </c>
      <c r="B8" s="5" t="s">
        <v>55</v>
      </c>
      <c r="C8" s="6" t="s">
        <v>8</v>
      </c>
      <c r="D8" s="15">
        <v>1.4401792371795099</v>
      </c>
      <c r="E8" s="15">
        <v>0.48465547495652184</v>
      </c>
      <c r="F8" s="15">
        <v>2.8732687948876898</v>
      </c>
      <c r="G8" s="15">
        <v>1.4157603819502356</v>
      </c>
      <c r="H8" s="15">
        <v>0.61118339557056844</v>
      </c>
      <c r="I8" s="15">
        <v>0.17647198412944523</v>
      </c>
      <c r="J8" s="15">
        <v>1.1788914046633112</v>
      </c>
      <c r="K8" s="15">
        <v>0.21341762498029196</v>
      </c>
      <c r="L8" s="15">
        <v>0.65577444079041014</v>
      </c>
      <c r="M8" s="15">
        <v>0.18287541051691719</v>
      </c>
    </row>
    <row r="9" spans="1:13" x14ac:dyDescent="0.35">
      <c r="A9" s="5">
        <v>7</v>
      </c>
      <c r="B9" s="5" t="s">
        <v>56</v>
      </c>
      <c r="C9" s="6" t="s">
        <v>8</v>
      </c>
      <c r="D9" s="15">
        <v>1.147708991174482</v>
      </c>
      <c r="E9" s="15">
        <v>0.21039801789602461</v>
      </c>
      <c r="F9" s="15"/>
      <c r="G9" s="15"/>
      <c r="H9" s="15"/>
      <c r="I9" s="15"/>
      <c r="J9" s="15"/>
      <c r="K9" s="15"/>
      <c r="L9" s="15">
        <v>2.3767990948628479</v>
      </c>
      <c r="M9" s="15">
        <v>0.3726291223213527</v>
      </c>
    </row>
    <row r="10" spans="1:13" x14ac:dyDescent="0.35">
      <c r="A10" s="5">
        <v>8</v>
      </c>
      <c r="B10" s="5" t="s">
        <v>57</v>
      </c>
      <c r="C10" s="6" t="s">
        <v>8</v>
      </c>
      <c r="D10" s="15">
        <v>0.78221535806088238</v>
      </c>
      <c r="E10" s="15">
        <v>0.15006334734749424</v>
      </c>
      <c r="F10" s="15"/>
      <c r="G10" s="15"/>
      <c r="H10" s="15"/>
      <c r="I10" s="15"/>
      <c r="J10" s="15"/>
      <c r="K10" s="15"/>
      <c r="L10" s="15">
        <v>1.0164363077487157</v>
      </c>
      <c r="M10" s="15">
        <v>0.17072998708137666</v>
      </c>
    </row>
    <row r="11" spans="1:13" x14ac:dyDescent="0.35">
      <c r="A11" s="5">
        <v>9</v>
      </c>
      <c r="B11" s="5" t="s">
        <v>58</v>
      </c>
      <c r="C11" s="6" t="s">
        <v>8</v>
      </c>
      <c r="D11" s="15">
        <v>1.0075774517592047</v>
      </c>
      <c r="E11" s="15">
        <v>0.37100501350275567</v>
      </c>
      <c r="F11" s="15"/>
      <c r="G11" s="15"/>
      <c r="H11" s="15"/>
      <c r="I11" s="15"/>
      <c r="J11" s="15"/>
      <c r="K11" s="15"/>
      <c r="L11" s="15">
        <v>0.69307864879999015</v>
      </c>
      <c r="M11" s="15">
        <v>0.17378771432662946</v>
      </c>
    </row>
    <row r="12" spans="1:13" x14ac:dyDescent="0.35">
      <c r="A12" s="5">
        <v>10</v>
      </c>
      <c r="B12" s="5" t="s">
        <v>59</v>
      </c>
      <c r="C12" s="6" t="s">
        <v>8</v>
      </c>
      <c r="D12" s="15">
        <v>0.83287424986134695</v>
      </c>
      <c r="E12" s="15">
        <v>0.34955765823889984</v>
      </c>
      <c r="F12" s="15"/>
      <c r="G12" s="15"/>
      <c r="H12" s="15"/>
      <c r="I12" s="15"/>
      <c r="J12" s="15"/>
      <c r="K12" s="15"/>
      <c r="L12" s="15">
        <v>0.32034753897789808</v>
      </c>
      <c r="M12" s="15">
        <v>0.13453466365544745</v>
      </c>
    </row>
    <row r="13" spans="1:13" x14ac:dyDescent="0.35">
      <c r="A13" s="5">
        <v>11</v>
      </c>
      <c r="B13" s="5" t="s">
        <v>60</v>
      </c>
      <c r="C13" s="6" t="s">
        <v>8</v>
      </c>
      <c r="D13" s="15">
        <v>7.7638330827841634E-2</v>
      </c>
      <c r="E13" s="15">
        <v>2.7224847038365762E-2</v>
      </c>
      <c r="F13" s="15"/>
      <c r="G13" s="15"/>
      <c r="H13" s="15"/>
      <c r="I13" s="15"/>
      <c r="J13" s="15"/>
      <c r="K13" s="15"/>
      <c r="L13" s="15">
        <v>8.788631377303022E-3</v>
      </c>
      <c r="M13" s="15">
        <v>1.9691453271605762E-3</v>
      </c>
    </row>
    <row r="14" spans="1:13" x14ac:dyDescent="0.35">
      <c r="A14" s="5">
        <v>12</v>
      </c>
      <c r="B14" s="5" t="s">
        <v>61</v>
      </c>
      <c r="C14" s="6" t="s">
        <v>8</v>
      </c>
      <c r="D14" s="15">
        <v>2.3130146561346366E-2</v>
      </c>
      <c r="E14" s="15">
        <v>1.705173334603283E-2</v>
      </c>
      <c r="F14" s="15"/>
      <c r="G14" s="15"/>
      <c r="H14" s="15"/>
      <c r="I14" s="15"/>
      <c r="J14" s="15"/>
      <c r="K14" s="15"/>
      <c r="L14" s="15">
        <v>3.3296152681888671E-3</v>
      </c>
      <c r="M14" s="15">
        <v>1.5514090055973155E-3</v>
      </c>
    </row>
    <row r="15" spans="1:13" x14ac:dyDescent="0.35">
      <c r="A15" s="5">
        <v>13</v>
      </c>
      <c r="B15" s="5" t="s">
        <v>62</v>
      </c>
      <c r="C15" s="6" t="s">
        <v>8</v>
      </c>
      <c r="D15" s="15">
        <v>0.70857998241975984</v>
      </c>
      <c r="E15" s="15">
        <v>0.31922055862683146</v>
      </c>
      <c r="F15" s="15"/>
      <c r="G15" s="15"/>
      <c r="H15" s="15"/>
      <c r="I15" s="15"/>
      <c r="J15" s="15"/>
      <c r="K15" s="15"/>
      <c r="L15" s="15">
        <v>1.6032266466544933</v>
      </c>
      <c r="M15" s="15">
        <v>0.12427732790389846</v>
      </c>
    </row>
    <row r="16" spans="1:13" x14ac:dyDescent="0.35">
      <c r="A16" s="5">
        <v>14</v>
      </c>
      <c r="B16" s="5" t="s">
        <v>63</v>
      </c>
      <c r="C16" s="6" t="s">
        <v>8</v>
      </c>
      <c r="D16" s="15">
        <v>0.43324558269838781</v>
      </c>
      <c r="E16" s="15">
        <v>6.8085925803483688E-2</v>
      </c>
      <c r="F16" s="15"/>
      <c r="G16" s="15"/>
      <c r="H16" s="15"/>
      <c r="I16" s="15"/>
      <c r="J16" s="15"/>
      <c r="K16" s="15"/>
      <c r="L16" s="15">
        <v>0.34152828386918871</v>
      </c>
      <c r="M16" s="15">
        <v>9.4361057451851041E-2</v>
      </c>
    </row>
    <row r="17" spans="1:16" x14ac:dyDescent="0.35">
      <c r="A17" s="5">
        <v>15</v>
      </c>
      <c r="B17" s="5" t="s">
        <v>64</v>
      </c>
      <c r="C17" s="6" t="s">
        <v>8</v>
      </c>
      <c r="D17" s="15">
        <v>0.85893447890287045</v>
      </c>
      <c r="E17" s="15">
        <v>0.2619764299915453</v>
      </c>
      <c r="F17" s="15"/>
      <c r="G17" s="15"/>
      <c r="H17" s="15"/>
      <c r="I17" s="15"/>
      <c r="J17" s="15"/>
      <c r="K17" s="15"/>
      <c r="L17" s="15">
        <v>0.18742380523565785</v>
      </c>
      <c r="M17" s="15">
        <v>0.11148251062680754</v>
      </c>
    </row>
    <row r="18" spans="1:16" x14ac:dyDescent="0.35">
      <c r="A18" s="5">
        <v>16</v>
      </c>
      <c r="B18" s="5" t="s">
        <v>65</v>
      </c>
      <c r="C18" s="6" t="s">
        <v>8</v>
      </c>
      <c r="D18" s="15">
        <v>0.6003187917254772</v>
      </c>
      <c r="E18" s="15">
        <v>0.16713771077968692</v>
      </c>
      <c r="F18" s="15"/>
      <c r="G18" s="15"/>
      <c r="H18" s="15"/>
      <c r="I18" s="15"/>
      <c r="J18" s="15"/>
      <c r="K18" s="15"/>
      <c r="L18" s="15">
        <v>3.5968036722215928E-2</v>
      </c>
      <c r="M18" s="15">
        <v>2.1486961134588787E-2</v>
      </c>
      <c r="P18" s="32">
        <f>SUM(D15,D17,D19)</f>
        <v>1.6088600491656793</v>
      </c>
    </row>
    <row r="19" spans="1:16" x14ac:dyDescent="0.35">
      <c r="A19" s="5">
        <v>17</v>
      </c>
      <c r="B19" s="5" t="s">
        <v>66</v>
      </c>
      <c r="C19" s="6" t="s">
        <v>8</v>
      </c>
      <c r="D19" s="15">
        <v>4.1345587843048856E-2</v>
      </c>
      <c r="E19" s="15">
        <v>1.5944956988501142E-2</v>
      </c>
      <c r="F19" s="15"/>
      <c r="G19" s="15"/>
      <c r="H19" s="15"/>
      <c r="I19" s="15"/>
      <c r="J19" s="15"/>
      <c r="K19" s="15"/>
      <c r="L19" s="15">
        <v>9.784763579658887E-3</v>
      </c>
      <c r="M19" s="15">
        <v>4.4883973265183244E-3</v>
      </c>
      <c r="P19" s="32">
        <f>SUM(D16,D18,D20)</f>
        <v>1.0410445616360404</v>
      </c>
    </row>
    <row r="20" spans="1:16" x14ac:dyDescent="0.35">
      <c r="A20" s="5">
        <v>18</v>
      </c>
      <c r="B20" s="5" t="s">
        <v>67</v>
      </c>
      <c r="C20" s="6" t="s">
        <v>8</v>
      </c>
      <c r="D20" s="15">
        <v>7.480187212175555E-3</v>
      </c>
      <c r="E20" s="15">
        <v>5.7976765515138431E-3</v>
      </c>
      <c r="F20" s="15"/>
      <c r="G20" s="15"/>
      <c r="H20" s="15"/>
      <c r="I20" s="15"/>
      <c r="J20" s="15"/>
      <c r="K20" s="15"/>
      <c r="L20" s="15">
        <v>3.7504793666247368E-3</v>
      </c>
      <c r="M20" s="15">
        <v>8.8941516566908225E-4</v>
      </c>
    </row>
    <row r="21" spans="1:16" x14ac:dyDescent="0.35">
      <c r="A21" s="5">
        <v>19</v>
      </c>
      <c r="B21" s="5" t="s">
        <v>68</v>
      </c>
      <c r="C21" s="6" t="s">
        <v>8</v>
      </c>
      <c r="D21" s="15">
        <v>0.39262737392064256</v>
      </c>
      <c r="E21" s="15">
        <v>0.1041063099441807</v>
      </c>
      <c r="F21" s="15">
        <v>0.14526120880966362</v>
      </c>
      <c r="G21" s="15">
        <v>1.6449862214922933E-2</v>
      </c>
      <c r="H21" s="15">
        <v>0.45533492489299876</v>
      </c>
      <c r="I21" s="15">
        <v>5.3561541724506369E-2</v>
      </c>
      <c r="J21" s="15">
        <v>0.20755596894503686</v>
      </c>
      <c r="K21" s="15">
        <v>4.0408163158055919E-2</v>
      </c>
      <c r="L21" s="15">
        <v>0.52233099308486775</v>
      </c>
      <c r="M21" s="15">
        <v>0.10268710700733985</v>
      </c>
    </row>
    <row r="22" spans="1:16" x14ac:dyDescent="0.35">
      <c r="A22" s="5">
        <v>20</v>
      </c>
      <c r="B22" s="5" t="s">
        <v>69</v>
      </c>
      <c r="C22" s="6" t="s">
        <v>8</v>
      </c>
      <c r="D22" s="15">
        <v>2.8318440844570414E-2</v>
      </c>
      <c r="E22" s="15">
        <v>5.7888280291968783E-2</v>
      </c>
      <c r="F22" s="15">
        <v>0.13048975870222027</v>
      </c>
      <c r="G22" s="15">
        <v>6.2108398472200205E-2</v>
      </c>
      <c r="H22" s="15">
        <v>8.5662919768011714E-2</v>
      </c>
      <c r="I22" s="15">
        <v>4.6799842593441041E-2</v>
      </c>
      <c r="J22" s="15">
        <v>2.4474080370581391E-2</v>
      </c>
      <c r="K22" s="15">
        <v>2.2821176417803398E-2</v>
      </c>
      <c r="L22" s="15">
        <v>0.14570470218632889</v>
      </c>
      <c r="M22" s="15">
        <v>8.0998093542974825E-2</v>
      </c>
    </row>
    <row r="23" spans="1:16" x14ac:dyDescent="0.35">
      <c r="A23" s="5">
        <v>21</v>
      </c>
      <c r="B23" s="5" t="s">
        <v>9</v>
      </c>
      <c r="C23" s="6" t="s">
        <v>8</v>
      </c>
      <c r="D23" s="15">
        <v>1.5254872244289484</v>
      </c>
      <c r="E23" s="15">
        <v>0.54896818714162643</v>
      </c>
      <c r="F23" s="15">
        <v>0.82116704012944119</v>
      </c>
      <c r="G23" s="15">
        <v>4.8665045607618522E-2</v>
      </c>
      <c r="H23" s="15">
        <v>0.97972776864880806</v>
      </c>
      <c r="I23" s="15">
        <v>0.25826531451741053</v>
      </c>
      <c r="J23" s="15">
        <v>0.58671110173991659</v>
      </c>
      <c r="K23" s="15">
        <v>4.1525241211827331E-2</v>
      </c>
      <c r="L23" s="15">
        <v>1.0789254179606764</v>
      </c>
      <c r="M23" s="15">
        <v>7.2986394489366876E-2</v>
      </c>
    </row>
    <row r="24" spans="1:16" x14ac:dyDescent="0.35">
      <c r="A24" s="5">
        <v>22</v>
      </c>
      <c r="B24" s="5" t="s">
        <v>70</v>
      </c>
      <c r="C24" s="6" t="s">
        <v>8</v>
      </c>
      <c r="D24" s="15">
        <v>0.4622036130440188</v>
      </c>
      <c r="E24" s="15">
        <v>2.3855849057341918E-2</v>
      </c>
      <c r="F24" s="15">
        <v>0.51737967288310105</v>
      </c>
      <c r="G24" s="15">
        <v>0.17613659106447727</v>
      </c>
      <c r="H24" s="15">
        <v>1.1437933067629589</v>
      </c>
      <c r="I24" s="15">
        <v>0.17605707259977299</v>
      </c>
      <c r="J24" s="15">
        <v>0.47090312425433206</v>
      </c>
      <c r="K24" s="15">
        <v>9.5136530807960556E-2</v>
      </c>
      <c r="L24" s="15">
        <v>0.8709946250793229</v>
      </c>
      <c r="M24" s="15">
        <v>0.18499251942661418</v>
      </c>
    </row>
    <row r="25" spans="1:16" x14ac:dyDescent="0.35">
      <c r="A25" s="5">
        <v>23</v>
      </c>
      <c r="B25" s="5" t="s">
        <v>10</v>
      </c>
      <c r="C25" s="6" t="s">
        <v>8</v>
      </c>
      <c r="D25" s="15" t="s">
        <v>71</v>
      </c>
      <c r="E25" s="15" t="s">
        <v>71</v>
      </c>
      <c r="F25" s="15" t="s">
        <v>71</v>
      </c>
      <c r="G25" s="15" t="s">
        <v>71</v>
      </c>
      <c r="H25" s="15" t="s">
        <v>71</v>
      </c>
      <c r="I25" s="15" t="s">
        <v>71</v>
      </c>
      <c r="J25" s="15" t="s">
        <v>71</v>
      </c>
      <c r="K25" s="15" t="s">
        <v>71</v>
      </c>
      <c r="L25" s="15" t="s">
        <v>71</v>
      </c>
      <c r="M25" s="15" t="s">
        <v>71</v>
      </c>
    </row>
    <row r="26" spans="1:16" x14ac:dyDescent="0.35">
      <c r="A26" s="5">
        <v>24</v>
      </c>
      <c r="B26" s="5" t="s">
        <v>72</v>
      </c>
      <c r="C26" s="6" t="s">
        <v>8</v>
      </c>
      <c r="D26" s="15" t="s">
        <v>71</v>
      </c>
      <c r="E26" s="15" t="s">
        <v>71</v>
      </c>
      <c r="F26" s="15" t="s">
        <v>71</v>
      </c>
      <c r="G26" s="15" t="s">
        <v>71</v>
      </c>
      <c r="H26" s="15" t="s">
        <v>71</v>
      </c>
      <c r="I26" s="15" t="s">
        <v>71</v>
      </c>
      <c r="J26" s="15" t="s">
        <v>71</v>
      </c>
      <c r="K26" s="15" t="s">
        <v>71</v>
      </c>
      <c r="L26" s="15" t="s">
        <v>71</v>
      </c>
      <c r="M26" s="15" t="s">
        <v>71</v>
      </c>
    </row>
    <row r="27" spans="1:16" x14ac:dyDescent="0.35">
      <c r="A27" s="5">
        <v>25</v>
      </c>
      <c r="B27" s="5" t="s">
        <v>73</v>
      </c>
      <c r="C27" s="6" t="s">
        <v>8</v>
      </c>
      <c r="D27" s="15">
        <v>2.4215546721574329E-2</v>
      </c>
      <c r="E27" s="15">
        <v>1.6283247095556799E-2</v>
      </c>
      <c r="F27" s="15">
        <v>2.1892051246671047E-2</v>
      </c>
      <c r="G27" s="15">
        <v>9.824213726439263E-3</v>
      </c>
      <c r="H27" s="15" t="s">
        <v>71</v>
      </c>
      <c r="I27" s="15" t="s">
        <v>71</v>
      </c>
      <c r="J27" s="15">
        <v>6.269357354241732E-3</v>
      </c>
      <c r="K27" s="15">
        <v>4.3683520138910773E-3</v>
      </c>
      <c r="L27" s="15">
        <v>2.6825777102612202E-2</v>
      </c>
      <c r="M27" s="15">
        <v>1.7142775307071641E-2</v>
      </c>
    </row>
    <row r="28" spans="1:16" x14ac:dyDescent="0.35">
      <c r="A28" s="5">
        <v>26</v>
      </c>
      <c r="B28" s="5" t="s">
        <v>74</v>
      </c>
      <c r="C28" s="6" t="s">
        <v>8</v>
      </c>
      <c r="D28" s="15">
        <v>1.9431071218320047E-2</v>
      </c>
      <c r="E28" s="15">
        <v>1.0732780483481658E-2</v>
      </c>
      <c r="F28" s="15">
        <v>6.0639852630033741E-2</v>
      </c>
      <c r="G28" s="15">
        <v>2.3479796588754855E-2</v>
      </c>
      <c r="H28" s="15" t="s">
        <v>71</v>
      </c>
      <c r="I28" s="15" t="s">
        <v>71</v>
      </c>
      <c r="J28" s="15">
        <v>1.5659180624932965E-2</v>
      </c>
      <c r="K28" s="15">
        <v>2.0799846444721749E-2</v>
      </c>
      <c r="L28" s="15">
        <v>4.549709565762803E-2</v>
      </c>
      <c r="M28" s="15">
        <v>3.5031315841645774E-2</v>
      </c>
    </row>
    <row r="29" spans="1:16" x14ac:dyDescent="0.35">
      <c r="A29" s="5">
        <v>27</v>
      </c>
      <c r="B29" s="5" t="s">
        <v>75</v>
      </c>
      <c r="C29" s="6" t="s">
        <v>8</v>
      </c>
      <c r="D29" s="15">
        <v>3.2490633330492874E-2</v>
      </c>
      <c r="E29" s="15">
        <v>3.1548741395128838E-2</v>
      </c>
      <c r="F29" s="15">
        <v>6.1614050111918235E-3</v>
      </c>
      <c r="G29" s="15">
        <v>5.3418971658286685E-3</v>
      </c>
      <c r="H29" s="15" t="s">
        <v>71</v>
      </c>
      <c r="I29" s="15" t="s">
        <v>71</v>
      </c>
      <c r="J29" s="15">
        <v>4.2087847131661894E-3</v>
      </c>
      <c r="K29" s="15">
        <v>2.8798977446531731E-3</v>
      </c>
      <c r="L29" s="15">
        <v>1.9904470764195447E-2</v>
      </c>
      <c r="M29" s="15">
        <v>1.705159130939431E-2</v>
      </c>
    </row>
    <row r="30" spans="1:16" x14ac:dyDescent="0.35">
      <c r="A30" s="5">
        <v>28</v>
      </c>
      <c r="B30" s="5" t="s">
        <v>76</v>
      </c>
      <c r="C30" s="6" t="s">
        <v>8</v>
      </c>
      <c r="D30" s="15">
        <v>0.13285092665628825</v>
      </c>
      <c r="E30" s="15">
        <v>6.3483055307129208E-2</v>
      </c>
      <c r="F30" s="15">
        <v>8.8514768889887824E-2</v>
      </c>
      <c r="G30" s="15">
        <v>6.0200143108532916E-2</v>
      </c>
      <c r="H30" s="15" t="s">
        <v>71</v>
      </c>
      <c r="I30" s="15" t="s">
        <v>71</v>
      </c>
      <c r="J30" s="15">
        <v>0.14496991260475767</v>
      </c>
      <c r="K30" s="15">
        <v>0.1373381972079292</v>
      </c>
      <c r="L30" s="15">
        <v>0.24599805336501265</v>
      </c>
      <c r="M30" s="15">
        <v>0.19890877709445509</v>
      </c>
    </row>
    <row r="31" spans="1:16" x14ac:dyDescent="0.35">
      <c r="A31" s="5">
        <v>29</v>
      </c>
      <c r="B31" s="5" t="s">
        <v>77</v>
      </c>
      <c r="C31" s="6" t="s">
        <v>8</v>
      </c>
      <c r="D31" s="26">
        <v>3.4022641509433966E-7</v>
      </c>
      <c r="E31" s="26">
        <v>1.6323076292413727E-7</v>
      </c>
      <c r="F31" s="12"/>
      <c r="G31" s="26"/>
      <c r="H31" s="12"/>
      <c r="I31" s="26"/>
      <c r="J31" s="12"/>
      <c r="K31" s="12"/>
      <c r="L31" s="26">
        <v>0</v>
      </c>
      <c r="M31" s="26">
        <v>1E-8</v>
      </c>
    </row>
    <row r="32" spans="1:16" x14ac:dyDescent="0.35">
      <c r="A32" s="5">
        <v>30</v>
      </c>
      <c r="B32" s="5" t="s">
        <v>78</v>
      </c>
      <c r="C32" s="6" t="s">
        <v>8</v>
      </c>
      <c r="D32" s="12">
        <v>5.4470125786163522E-6</v>
      </c>
      <c r="E32" s="12">
        <v>8.8447287352063359E-7</v>
      </c>
      <c r="F32" s="12"/>
      <c r="G32" s="26"/>
      <c r="H32" s="12"/>
      <c r="I32" s="26"/>
      <c r="J32" s="12"/>
      <c r="K32" s="12"/>
      <c r="L32" s="26">
        <v>0</v>
      </c>
      <c r="M32" s="26">
        <v>1E-8</v>
      </c>
    </row>
    <row r="33" spans="1:13" x14ac:dyDescent="0.35">
      <c r="A33" s="5">
        <v>31</v>
      </c>
      <c r="B33" s="5" t="s">
        <v>79</v>
      </c>
      <c r="C33" s="6" t="s">
        <v>8</v>
      </c>
      <c r="D33" s="26">
        <v>7.6550943396226419E-7</v>
      </c>
      <c r="E33" s="26">
        <v>3.1597125924338973E-7</v>
      </c>
      <c r="F33" s="12"/>
      <c r="G33" s="26"/>
      <c r="H33" s="12"/>
      <c r="I33" s="26"/>
      <c r="J33" s="12"/>
      <c r="K33" s="12"/>
      <c r="L33" s="26">
        <v>4.2528301886792457E-8</v>
      </c>
      <c r="M33" s="26">
        <v>3.0265243311871464E-8</v>
      </c>
    </row>
    <row r="34" spans="1:13" x14ac:dyDescent="0.35">
      <c r="A34" s="5">
        <v>32</v>
      </c>
      <c r="B34" s="5" t="s">
        <v>80</v>
      </c>
      <c r="C34" s="6" t="s">
        <v>8</v>
      </c>
      <c r="D34" s="12">
        <v>6.7542955974842783E-6</v>
      </c>
      <c r="E34" s="12">
        <v>4.710763646108557E-7</v>
      </c>
      <c r="F34" s="12"/>
      <c r="G34" s="26"/>
      <c r="H34" s="12"/>
      <c r="I34" s="26"/>
      <c r="J34" s="12"/>
      <c r="K34" s="12"/>
      <c r="L34" s="12">
        <v>1.8845849056603773E-6</v>
      </c>
      <c r="M34" s="12">
        <v>1.9865269152867814E-7</v>
      </c>
    </row>
    <row r="35" spans="1:13" x14ac:dyDescent="0.35">
      <c r="A35" s="5">
        <v>33</v>
      </c>
      <c r="B35" s="5" t="s">
        <v>81</v>
      </c>
      <c r="C35" s="6" t="s">
        <v>8</v>
      </c>
      <c r="D35" s="26">
        <v>2.9769811320754717E-7</v>
      </c>
      <c r="E35" s="26">
        <v>2.9769811320754717E-7</v>
      </c>
      <c r="F35" s="12"/>
      <c r="G35" s="26"/>
      <c r="H35" s="12"/>
      <c r="I35" s="26"/>
      <c r="J35" s="12"/>
      <c r="K35" s="12"/>
      <c r="L35" s="26">
        <v>1.3183773584905661E-6</v>
      </c>
      <c r="M35" s="26">
        <v>4.2011609625364307E-7</v>
      </c>
    </row>
    <row r="36" spans="1:13" x14ac:dyDescent="0.35">
      <c r="A36" s="5">
        <v>34</v>
      </c>
      <c r="B36" s="5" t="s">
        <v>82</v>
      </c>
      <c r="C36" s="6" t="s">
        <v>8</v>
      </c>
      <c r="D36" s="12">
        <v>5.2509201257861635E-5</v>
      </c>
      <c r="E36" s="12">
        <v>5.0610971351590652E-6</v>
      </c>
      <c r="F36" s="12"/>
      <c r="G36" s="26"/>
      <c r="H36" s="12"/>
      <c r="I36" s="26"/>
      <c r="J36" s="12"/>
      <c r="K36" s="12"/>
      <c r="L36" s="12">
        <v>4.9991094339622644E-5</v>
      </c>
      <c r="M36" s="12">
        <v>5.2695240279186209E-6</v>
      </c>
    </row>
    <row r="37" spans="1:13" x14ac:dyDescent="0.35">
      <c r="A37" s="5">
        <v>35</v>
      </c>
      <c r="B37" s="5" t="s">
        <v>83</v>
      </c>
      <c r="C37" s="6" t="s">
        <v>8</v>
      </c>
      <c r="D37" s="26">
        <v>3.6149056603773584E-6</v>
      </c>
      <c r="E37" s="26">
        <v>1.3393527082270593E-6</v>
      </c>
      <c r="F37" s="12"/>
      <c r="G37" s="26"/>
      <c r="H37" s="12"/>
      <c r="I37" s="26"/>
      <c r="J37" s="12"/>
      <c r="K37" s="12"/>
      <c r="L37" s="26">
        <v>1.8712452830188681E-6</v>
      </c>
      <c r="M37" s="26">
        <v>3.471473292804132E-7</v>
      </c>
    </row>
    <row r="38" spans="1:13" x14ac:dyDescent="0.35">
      <c r="A38" s="5">
        <v>36</v>
      </c>
      <c r="B38" s="5" t="s">
        <v>84</v>
      </c>
      <c r="C38" s="6" t="s">
        <v>8</v>
      </c>
      <c r="D38" s="12">
        <v>6.3621106918239012E-5</v>
      </c>
      <c r="E38" s="12">
        <v>9.5883951452217867E-7</v>
      </c>
      <c r="F38" s="12"/>
      <c r="G38" s="26"/>
      <c r="H38" s="12"/>
      <c r="I38" s="26"/>
      <c r="J38" s="12"/>
      <c r="K38" s="12"/>
      <c r="L38" s="12">
        <v>1.3489660377358488E-5</v>
      </c>
      <c r="M38" s="12">
        <v>3.1841641979621928E-7</v>
      </c>
    </row>
    <row r="39" spans="1:13" x14ac:dyDescent="0.35">
      <c r="A39" s="5">
        <v>37</v>
      </c>
      <c r="B39" s="5" t="s">
        <v>85</v>
      </c>
      <c r="C39" s="6" t="s">
        <v>8</v>
      </c>
      <c r="D39" s="26">
        <v>0</v>
      </c>
      <c r="E39" s="26">
        <v>1E-8</v>
      </c>
      <c r="F39" s="12"/>
      <c r="G39" s="26"/>
      <c r="H39" s="12"/>
      <c r="I39" s="26"/>
      <c r="J39" s="12"/>
      <c r="K39" s="12"/>
      <c r="L39" s="26">
        <v>0</v>
      </c>
      <c r="M39" s="26">
        <v>1E-8</v>
      </c>
    </row>
    <row r="40" spans="1:13" x14ac:dyDescent="0.35">
      <c r="A40" s="5">
        <v>38</v>
      </c>
      <c r="B40" s="5" t="s">
        <v>86</v>
      </c>
      <c r="C40" s="6" t="s">
        <v>8</v>
      </c>
      <c r="D40" s="12">
        <v>1.7430440251572326E-6</v>
      </c>
      <c r="E40" s="12">
        <v>2.6262841441340394E-6</v>
      </c>
      <c r="F40" s="12"/>
      <c r="G40" s="26"/>
      <c r="H40" s="12"/>
      <c r="I40" s="26"/>
      <c r="J40" s="12"/>
      <c r="K40" s="12"/>
      <c r="L40" s="12">
        <v>8.9269811320754719E-7</v>
      </c>
      <c r="M40" s="12">
        <v>3.1366214451896551E-8</v>
      </c>
    </row>
    <row r="42" spans="1:13" ht="26" x14ac:dyDescent="0.6">
      <c r="A42" s="7" t="s">
        <v>19</v>
      </c>
      <c r="B42" s="8"/>
      <c r="C42" s="8"/>
      <c r="D42" s="13"/>
    </row>
    <row r="43" spans="1:13" x14ac:dyDescent="0.35">
      <c r="A43" s="9">
        <v>1</v>
      </c>
      <c r="B43" s="9" t="s">
        <v>87</v>
      </c>
      <c r="C43" s="10" t="s">
        <v>21</v>
      </c>
      <c r="D43" s="17">
        <v>24.306686448806801</v>
      </c>
      <c r="E43" s="17">
        <v>0.42293134990938203</v>
      </c>
      <c r="F43" s="17">
        <v>25.1557229286392</v>
      </c>
      <c r="G43" s="17">
        <v>0.31024037947358601</v>
      </c>
      <c r="H43" s="17">
        <v>26.176377264656701</v>
      </c>
      <c r="I43" s="17">
        <v>0.61854269072943302</v>
      </c>
      <c r="J43" s="17">
        <v>25.220240301436998</v>
      </c>
      <c r="K43" s="17">
        <v>0.46828918575359402</v>
      </c>
      <c r="L43" s="17">
        <v>24.443924556848199</v>
      </c>
      <c r="M43" s="17">
        <v>0.77965954494973999</v>
      </c>
    </row>
    <row r="44" spans="1:13" x14ac:dyDescent="0.35">
      <c r="A44" s="9">
        <v>2</v>
      </c>
      <c r="B44" s="9" t="s">
        <v>88</v>
      </c>
      <c r="C44" s="10" t="s">
        <v>21</v>
      </c>
      <c r="D44" s="17">
        <v>22.139011394354</v>
      </c>
      <c r="E44" s="17">
        <v>0.45138660605653202</v>
      </c>
      <c r="F44" s="17">
        <v>23.8713741163896</v>
      </c>
      <c r="G44" s="17">
        <v>0.40281286217304701</v>
      </c>
      <c r="H44" s="17">
        <v>23.960761114209099</v>
      </c>
      <c r="I44" s="17">
        <v>0.67243091749497397</v>
      </c>
      <c r="J44" s="17">
        <v>24.3961600552792</v>
      </c>
      <c r="K44" s="17">
        <v>0.20145672447572299</v>
      </c>
      <c r="L44" s="17">
        <v>21.682161164634898</v>
      </c>
      <c r="M44" s="17">
        <v>0.90749798988283803</v>
      </c>
    </row>
    <row r="45" spans="1:13" x14ac:dyDescent="0.35">
      <c r="A45" s="9">
        <v>3</v>
      </c>
      <c r="B45" s="9" t="s">
        <v>89</v>
      </c>
      <c r="C45" s="10" t="s">
        <v>21</v>
      </c>
      <c r="D45" s="17">
        <v>16.413680132539898</v>
      </c>
      <c r="E45" s="17">
        <v>2.3560580232850099</v>
      </c>
      <c r="F45" s="17">
        <v>19.280662172196202</v>
      </c>
      <c r="G45" s="17">
        <v>2.8147558676175701</v>
      </c>
      <c r="H45" s="17">
        <v>18.987997850368199</v>
      </c>
      <c r="I45" s="17">
        <v>2.46119088541248</v>
      </c>
      <c r="J45" s="17">
        <v>18.906565035592401</v>
      </c>
      <c r="K45" s="17">
        <v>2.4842801179421299</v>
      </c>
      <c r="L45" s="17">
        <v>16.4566109889568</v>
      </c>
      <c r="M45" s="17">
        <v>1.98668484724817</v>
      </c>
    </row>
    <row r="46" spans="1:13" x14ac:dyDescent="0.35">
      <c r="A46" s="9">
        <v>4</v>
      </c>
      <c r="B46" s="8" t="s">
        <v>90</v>
      </c>
      <c r="C46" s="10" t="s">
        <v>23</v>
      </c>
      <c r="D46" s="17">
        <v>2.3244760773607633E-2</v>
      </c>
      <c r="E46" s="17" t="s">
        <v>71</v>
      </c>
      <c r="F46" s="17" t="s">
        <v>71</v>
      </c>
      <c r="G46" s="17" t="s">
        <v>71</v>
      </c>
      <c r="H46" s="17" t="s">
        <v>71</v>
      </c>
      <c r="I46" s="17" t="s">
        <v>71</v>
      </c>
      <c r="J46" s="17" t="s">
        <v>71</v>
      </c>
      <c r="K46" s="17" t="s">
        <v>71</v>
      </c>
      <c r="L46" s="17">
        <v>4.5631694921950045E-2</v>
      </c>
      <c r="M46" s="17" t="s">
        <v>71</v>
      </c>
    </row>
    <row r="47" spans="1:13" x14ac:dyDescent="0.35">
      <c r="A47" s="9">
        <v>5</v>
      </c>
      <c r="B47" s="8" t="s">
        <v>91</v>
      </c>
      <c r="C47" s="10" t="s">
        <v>23</v>
      </c>
      <c r="D47" s="17">
        <v>2.1734874553622072E-4</v>
      </c>
      <c r="E47" s="17" t="s">
        <v>71</v>
      </c>
      <c r="F47" s="17" t="s">
        <v>71</v>
      </c>
      <c r="G47" s="17" t="s">
        <v>71</v>
      </c>
      <c r="H47" s="17" t="s">
        <v>71</v>
      </c>
      <c r="I47" s="17" t="s">
        <v>71</v>
      </c>
      <c r="J47" s="17" t="s">
        <v>71</v>
      </c>
      <c r="K47" s="17" t="s">
        <v>71</v>
      </c>
      <c r="L47" s="17">
        <v>3.24816318297895E-4</v>
      </c>
      <c r="M47" s="17" t="s">
        <v>71</v>
      </c>
    </row>
    <row r="48" spans="1:13" x14ac:dyDescent="0.35">
      <c r="A48" s="9">
        <v>6</v>
      </c>
      <c r="B48" s="8" t="s">
        <v>92</v>
      </c>
      <c r="C48" s="10" t="s">
        <v>23</v>
      </c>
      <c r="D48" s="17">
        <v>2.4984618639406042E-4</v>
      </c>
      <c r="E48" s="17" t="s">
        <v>71</v>
      </c>
      <c r="F48" s="17" t="s">
        <v>71</v>
      </c>
      <c r="G48" s="17" t="s">
        <v>71</v>
      </c>
      <c r="H48" s="17" t="s">
        <v>71</v>
      </c>
      <c r="I48" s="17" t="s">
        <v>71</v>
      </c>
      <c r="J48" s="17" t="s">
        <v>71</v>
      </c>
      <c r="K48" s="17" t="s">
        <v>71</v>
      </c>
      <c r="L48" s="17">
        <v>3.442342332827692E-4</v>
      </c>
      <c r="M48" s="17" t="s">
        <v>71</v>
      </c>
    </row>
    <row r="49" spans="1:13" x14ac:dyDescent="0.35">
      <c r="A49" s="9">
        <v>7</v>
      </c>
      <c r="B49" s="8" t="s">
        <v>93</v>
      </c>
      <c r="C49" s="10" t="s">
        <v>23</v>
      </c>
      <c r="D49" s="17">
        <v>0.1030864585897461</v>
      </c>
      <c r="E49" s="17" t="s">
        <v>71</v>
      </c>
      <c r="F49" s="17" t="s">
        <v>71</v>
      </c>
      <c r="G49" s="17" t="s">
        <v>71</v>
      </c>
      <c r="H49" s="17" t="s">
        <v>71</v>
      </c>
      <c r="I49" s="17" t="s">
        <v>71</v>
      </c>
      <c r="J49" s="17" t="s">
        <v>71</v>
      </c>
      <c r="K49" s="17" t="s">
        <v>71</v>
      </c>
      <c r="L49" s="17">
        <v>0.12689054192529309</v>
      </c>
      <c r="M49" s="17" t="s">
        <v>71</v>
      </c>
    </row>
    <row r="50" spans="1:13" x14ac:dyDescent="0.35">
      <c r="A50" s="9">
        <v>8</v>
      </c>
      <c r="B50" s="8" t="s">
        <v>94</v>
      </c>
      <c r="C50" s="10" t="s">
        <v>23</v>
      </c>
      <c r="D50" s="17">
        <v>0.10704004785199939</v>
      </c>
      <c r="E50" s="17" t="s">
        <v>71</v>
      </c>
      <c r="F50" s="17" t="s">
        <v>71</v>
      </c>
      <c r="G50" s="17" t="s">
        <v>71</v>
      </c>
      <c r="H50" s="17" t="s">
        <v>71</v>
      </c>
      <c r="I50" s="17" t="s">
        <v>71</v>
      </c>
      <c r="J50" s="17" t="s">
        <v>71</v>
      </c>
      <c r="K50" s="17" t="s">
        <v>71</v>
      </c>
      <c r="L50" s="17">
        <v>0.130131032096578</v>
      </c>
      <c r="M50" s="17" t="s">
        <v>71</v>
      </c>
    </row>
    <row r="51" spans="1:13" x14ac:dyDescent="0.35">
      <c r="A51" s="9">
        <v>9</v>
      </c>
      <c r="B51" s="8" t="s">
        <v>95</v>
      </c>
      <c r="C51" s="10" t="s">
        <v>23</v>
      </c>
      <c r="D51" s="17">
        <v>2.865047253231591E-2</v>
      </c>
      <c r="E51" s="17" t="s">
        <v>71</v>
      </c>
      <c r="F51" s="17" t="s">
        <v>71</v>
      </c>
      <c r="G51" s="17" t="s">
        <v>71</v>
      </c>
      <c r="H51" s="17" t="s">
        <v>71</v>
      </c>
      <c r="I51" s="17" t="s">
        <v>71</v>
      </c>
      <c r="J51" s="17" t="s">
        <v>71</v>
      </c>
      <c r="K51" s="17" t="s">
        <v>71</v>
      </c>
      <c r="L51" s="17">
        <v>1.8532008055355469E-2</v>
      </c>
      <c r="M51" s="17" t="s">
        <v>71</v>
      </c>
    </row>
    <row r="52" spans="1:13" x14ac:dyDescent="0.35">
      <c r="A52" s="9">
        <v>10</v>
      </c>
      <c r="B52" s="8" t="s">
        <v>96</v>
      </c>
      <c r="C52" s="10" t="s">
        <v>23</v>
      </c>
      <c r="D52" s="17"/>
      <c r="E52" s="17"/>
      <c r="F52" s="17"/>
      <c r="G52" s="17"/>
      <c r="H52" s="17"/>
      <c r="I52" s="17"/>
      <c r="J52" s="17"/>
      <c r="K52" s="17"/>
      <c r="L52" s="17"/>
      <c r="M52" s="17"/>
    </row>
    <row r="53" spans="1:13" x14ac:dyDescent="0.35">
      <c r="A53" s="9">
        <v>11</v>
      </c>
      <c r="B53" s="8" t="s">
        <v>97</v>
      </c>
      <c r="C53" s="10" t="s">
        <v>23</v>
      </c>
      <c r="D53" s="17">
        <v>5.6330059091621967E-5</v>
      </c>
      <c r="E53" s="17" t="s">
        <v>71</v>
      </c>
      <c r="F53" s="17" t="s">
        <v>71</v>
      </c>
      <c r="G53" s="17" t="s">
        <v>71</v>
      </c>
      <c r="H53" s="17" t="s">
        <v>71</v>
      </c>
      <c r="I53" s="17" t="s">
        <v>71</v>
      </c>
      <c r="J53" s="17" t="s">
        <v>71</v>
      </c>
      <c r="K53" s="17" t="s">
        <v>71</v>
      </c>
      <c r="L53" s="17">
        <v>1.176061216704853E-3</v>
      </c>
      <c r="M53" s="17" t="s">
        <v>71</v>
      </c>
    </row>
    <row r="54" spans="1:13" x14ac:dyDescent="0.35">
      <c r="A54" s="9">
        <v>12</v>
      </c>
      <c r="B54" s="8" t="s">
        <v>98</v>
      </c>
      <c r="C54" s="10" t="s">
        <v>23</v>
      </c>
      <c r="D54" s="17">
        <v>6.1992006274459721E-4</v>
      </c>
      <c r="E54" s="17" t="s">
        <v>71</v>
      </c>
      <c r="F54" s="17" t="s">
        <v>71</v>
      </c>
      <c r="G54" s="17" t="s">
        <v>71</v>
      </c>
      <c r="H54" s="17" t="s">
        <v>71</v>
      </c>
      <c r="I54" s="17" t="s">
        <v>71</v>
      </c>
      <c r="J54" s="17" t="s">
        <v>71</v>
      </c>
      <c r="K54" s="17" t="s">
        <v>71</v>
      </c>
      <c r="L54" s="17">
        <v>1.908079075558428E-3</v>
      </c>
      <c r="M54" s="17" t="s">
        <v>71</v>
      </c>
    </row>
    <row r="55" spans="1:13" x14ac:dyDescent="0.35">
      <c r="A55" s="9">
        <v>13</v>
      </c>
      <c r="B55" s="8" t="s">
        <v>99</v>
      </c>
      <c r="C55" s="10" t="s">
        <v>23</v>
      </c>
      <c r="D55" s="17">
        <v>8.8620245184445529E-2</v>
      </c>
      <c r="E55" s="17" t="s">
        <v>71</v>
      </c>
      <c r="F55" s="17" t="s">
        <v>71</v>
      </c>
      <c r="G55" s="17" t="s">
        <v>71</v>
      </c>
      <c r="H55" s="17" t="s">
        <v>71</v>
      </c>
      <c r="I55" s="17" t="s">
        <v>71</v>
      </c>
      <c r="J55" s="17" t="s">
        <v>71</v>
      </c>
      <c r="K55" s="17" t="s">
        <v>71</v>
      </c>
      <c r="L55" s="17" t="s">
        <v>71</v>
      </c>
      <c r="M55" s="17" t="s">
        <v>71</v>
      </c>
    </row>
    <row r="56" spans="1:13" x14ac:dyDescent="0.35">
      <c r="A56" s="9">
        <v>14</v>
      </c>
      <c r="B56" s="8" t="s">
        <v>100</v>
      </c>
      <c r="C56" s="10" t="s">
        <v>23</v>
      </c>
      <c r="D56" s="17">
        <v>7.8290219687768239E-2</v>
      </c>
      <c r="E56" s="17" t="s">
        <v>71</v>
      </c>
      <c r="F56" s="17" t="s">
        <v>71</v>
      </c>
      <c r="G56" s="17" t="s">
        <v>71</v>
      </c>
      <c r="H56" s="17" t="s">
        <v>71</v>
      </c>
      <c r="I56" s="17" t="s">
        <v>71</v>
      </c>
      <c r="J56" s="17" t="s">
        <v>71</v>
      </c>
      <c r="K56" s="17" t="s">
        <v>71</v>
      </c>
      <c r="L56" s="17" t="s">
        <v>71</v>
      </c>
      <c r="M56" s="17" t="s">
        <v>71</v>
      </c>
    </row>
    <row r="57" spans="1:13" x14ac:dyDescent="0.35">
      <c r="A57" s="9">
        <v>15</v>
      </c>
      <c r="B57" s="8" t="s">
        <v>101</v>
      </c>
      <c r="C57" s="10" t="s">
        <v>23</v>
      </c>
      <c r="D57" s="13"/>
    </row>
    <row r="58" spans="1:13" x14ac:dyDescent="0.35">
      <c r="A58" s="9">
        <v>16</v>
      </c>
      <c r="B58" s="8" t="s">
        <v>102</v>
      </c>
      <c r="C58" s="10" t="s">
        <v>23</v>
      </c>
      <c r="D58" s="13"/>
    </row>
    <row r="59" spans="1:13" x14ac:dyDescent="0.35">
      <c r="A59" s="9">
        <v>17</v>
      </c>
      <c r="B59" s="8" t="s">
        <v>103</v>
      </c>
      <c r="C59" s="10" t="s">
        <v>23</v>
      </c>
      <c r="D59" s="13"/>
    </row>
    <row r="60" spans="1:13" x14ac:dyDescent="0.35">
      <c r="A60" s="9">
        <v>18</v>
      </c>
      <c r="B60" s="8" t="s">
        <v>104</v>
      </c>
      <c r="C60" s="10" t="s">
        <v>23</v>
      </c>
      <c r="D60" s="13"/>
    </row>
    <row r="61" spans="1:13" x14ac:dyDescent="0.35">
      <c r="A61" s="9">
        <v>19</v>
      </c>
      <c r="B61" s="8" t="s">
        <v>105</v>
      </c>
      <c r="C61" s="10" t="s">
        <v>23</v>
      </c>
      <c r="D61" s="13"/>
    </row>
    <row r="62" spans="1:13" x14ac:dyDescent="0.35">
      <c r="A62" s="9">
        <v>20</v>
      </c>
      <c r="B62" s="8" t="s">
        <v>106</v>
      </c>
      <c r="C62" s="10" t="s">
        <v>23</v>
      </c>
      <c r="D62" s="13"/>
    </row>
    <row r="63" spans="1:13" x14ac:dyDescent="0.35">
      <c r="A63" s="9">
        <v>21</v>
      </c>
      <c r="B63" s="8" t="s">
        <v>107</v>
      </c>
      <c r="C63" s="10" t="s">
        <v>23</v>
      </c>
      <c r="D63" s="13"/>
    </row>
    <row r="64" spans="1:13" x14ac:dyDescent="0.35">
      <c r="A64" s="9">
        <v>22</v>
      </c>
      <c r="B64" s="8" t="s">
        <v>108</v>
      </c>
      <c r="C64" s="10" t="s">
        <v>23</v>
      </c>
      <c r="D64" s="16">
        <v>9.3854156446540884</v>
      </c>
      <c r="E64" s="16"/>
      <c r="F64" s="16">
        <v>7.4497384433962273</v>
      </c>
      <c r="G64" s="16"/>
      <c r="H64" s="16">
        <v>7.7125763364779871</v>
      </c>
      <c r="I64" s="16"/>
      <c r="J64" s="16">
        <v>12.864162500000001</v>
      </c>
      <c r="K64" s="16"/>
      <c r="L64" s="16">
        <v>18.38821464622642</v>
      </c>
    </row>
    <row r="65" spans="1:12" x14ac:dyDescent="0.35">
      <c r="A65" s="9">
        <v>23</v>
      </c>
      <c r="B65" s="8" t="s">
        <v>109</v>
      </c>
      <c r="C65" s="10" t="s">
        <v>23</v>
      </c>
      <c r="D65" s="16">
        <v>2.7229538990616725E-2</v>
      </c>
      <c r="E65" s="16"/>
      <c r="F65" s="16">
        <v>5.1520432913583986E-3</v>
      </c>
      <c r="G65" s="16"/>
      <c r="H65" s="16">
        <v>1.7045684564132222E-2</v>
      </c>
      <c r="I65" s="16"/>
      <c r="J65" s="16">
        <v>3.5009416666666668E-3</v>
      </c>
      <c r="K65" s="16"/>
      <c r="L65" s="16">
        <v>9.7051833333333312E-4</v>
      </c>
    </row>
    <row r="66" spans="1:12" x14ac:dyDescent="0.35">
      <c r="A66" s="9">
        <v>24</v>
      </c>
      <c r="B66" s="8" t="s">
        <v>110</v>
      </c>
      <c r="C66" s="10" t="s">
        <v>23</v>
      </c>
      <c r="D66" s="16">
        <v>0.12890854719024891</v>
      </c>
      <c r="E66" s="16"/>
      <c r="F66" s="16">
        <v>3.1836143777513393E-3</v>
      </c>
      <c r="G66" s="16"/>
      <c r="H66" s="16">
        <v>1.1154792431797655</v>
      </c>
      <c r="I66" s="16"/>
      <c r="J66" s="16">
        <v>2.8887377309199543E-2</v>
      </c>
      <c r="K66" s="16"/>
      <c r="L66" s="16">
        <v>7.723346306523482E-2</v>
      </c>
    </row>
    <row r="67" spans="1:12" x14ac:dyDescent="0.35">
      <c r="A67" s="9">
        <v>25</v>
      </c>
      <c r="B67" s="8" t="s">
        <v>111</v>
      </c>
      <c r="C67" s="10" t="s">
        <v>23</v>
      </c>
      <c r="D67" s="16">
        <v>4.8398984912602563</v>
      </c>
      <c r="E67" s="16"/>
      <c r="F67" s="16">
        <v>2.8196422536875887</v>
      </c>
      <c r="G67" s="16"/>
      <c r="H67" s="16">
        <v>6.7409834241004978</v>
      </c>
      <c r="I67" s="16"/>
      <c r="J67" s="16">
        <v>1.6091475085367584</v>
      </c>
      <c r="K67" s="16"/>
      <c r="L67" s="16">
        <v>2.7372328743512173</v>
      </c>
    </row>
    <row r="68" spans="1:12" x14ac:dyDescent="0.35">
      <c r="A68" s="9">
        <v>26</v>
      </c>
      <c r="B68" s="8" t="s">
        <v>112</v>
      </c>
      <c r="C68" s="10" t="s">
        <v>23</v>
      </c>
      <c r="D68" s="16"/>
      <c r="E68" s="16"/>
      <c r="F68" s="16"/>
      <c r="G68" s="16"/>
      <c r="H68" s="16"/>
      <c r="I68" s="16"/>
      <c r="J68" s="16"/>
      <c r="K68" s="16"/>
      <c r="L68" s="16"/>
    </row>
    <row r="69" spans="1:12" x14ac:dyDescent="0.35">
      <c r="A69" s="9">
        <v>27</v>
      </c>
      <c r="B69" s="8" t="s">
        <v>113</v>
      </c>
      <c r="C69" s="10" t="s">
        <v>23</v>
      </c>
      <c r="D69" s="16"/>
      <c r="E69" s="16"/>
      <c r="F69" s="16"/>
      <c r="G69" s="16"/>
      <c r="H69" s="16"/>
      <c r="I69" s="16"/>
      <c r="J69" s="16"/>
      <c r="K69" s="16"/>
      <c r="L69" s="16"/>
    </row>
    <row r="70" spans="1:12" x14ac:dyDescent="0.35">
      <c r="A70" s="9">
        <v>28</v>
      </c>
      <c r="B70" s="8" t="s">
        <v>114</v>
      </c>
      <c r="C70" s="10" t="s">
        <v>23</v>
      </c>
      <c r="D70" s="16">
        <v>8.2216144654088055</v>
      </c>
      <c r="E70" s="16"/>
      <c r="F70" s="16">
        <v>8.9313759433962261</v>
      </c>
      <c r="G70" s="16"/>
      <c r="H70" s="16">
        <v>8.9968622641509448</v>
      </c>
      <c r="I70" s="16"/>
      <c r="J70" s="16">
        <v>15.413626886792455</v>
      </c>
      <c r="K70" s="16"/>
      <c r="L70" s="16">
        <v>6.773402570754719</v>
      </c>
    </row>
    <row r="71" spans="1:12" x14ac:dyDescent="0.35">
      <c r="A71" s="9">
        <v>29</v>
      </c>
      <c r="B71" s="8" t="s">
        <v>115</v>
      </c>
      <c r="C71" s="10" t="s">
        <v>23</v>
      </c>
      <c r="D71" s="16">
        <v>7.7361925911553797E-4</v>
      </c>
      <c r="E71" s="16"/>
      <c r="F71" s="16">
        <v>3.0301978531612649E-4</v>
      </c>
      <c r="G71" s="16"/>
      <c r="H71" s="16">
        <v>1.6247506311757628E-3</v>
      </c>
      <c r="I71" s="16"/>
      <c r="J71" s="16">
        <v>7.6124999999999885E-5</v>
      </c>
      <c r="K71" s="16"/>
      <c r="L71" s="16">
        <v>1.1318333333333335E-4</v>
      </c>
    </row>
    <row r="72" spans="1:12" x14ac:dyDescent="0.35">
      <c r="A72" s="9">
        <v>30</v>
      </c>
      <c r="B72" s="8" t="s">
        <v>116</v>
      </c>
      <c r="C72" s="10" t="s">
        <v>23</v>
      </c>
      <c r="D72" s="16">
        <v>0.12183767286069036</v>
      </c>
      <c r="E72" s="16"/>
      <c r="F72" s="27">
        <v>-3.1836143777513393E-3</v>
      </c>
      <c r="G72" s="16"/>
      <c r="H72" s="27">
        <v>-1.1154792431797655</v>
      </c>
      <c r="I72" s="16"/>
      <c r="J72" s="16">
        <v>3.2023540437769012E-2</v>
      </c>
      <c r="K72" s="16"/>
      <c r="L72" s="16">
        <v>4.373541875662542E-2</v>
      </c>
    </row>
    <row r="73" spans="1:12" x14ac:dyDescent="0.35">
      <c r="A73" s="9">
        <v>31</v>
      </c>
      <c r="B73" s="8" t="s">
        <v>117</v>
      </c>
      <c r="C73" s="10" t="s">
        <v>23</v>
      </c>
      <c r="D73" s="16">
        <v>6.9663239854642311</v>
      </c>
      <c r="E73" s="16"/>
      <c r="F73" s="16">
        <v>8.9679970950689256</v>
      </c>
      <c r="G73" s="16"/>
      <c r="H73" s="16">
        <v>5.4277509337427015</v>
      </c>
      <c r="I73" s="16"/>
      <c r="J73" s="16">
        <v>1.6345063078051103</v>
      </c>
      <c r="K73" s="16"/>
      <c r="L73" s="16">
        <v>3.6344949219843441</v>
      </c>
    </row>
    <row r="74" spans="1:12" x14ac:dyDescent="0.35">
      <c r="A74" s="9">
        <v>32</v>
      </c>
      <c r="B74" s="8" t="s">
        <v>118</v>
      </c>
      <c r="C74" s="10" t="s">
        <v>23</v>
      </c>
      <c r="D74" s="16"/>
      <c r="E74" s="18"/>
      <c r="F74" s="18"/>
      <c r="G74" s="18"/>
      <c r="H74" s="18"/>
      <c r="I74" s="18"/>
      <c r="J74" s="18"/>
      <c r="K74" s="18"/>
      <c r="L74" s="18"/>
    </row>
    <row r="75" spans="1:12" x14ac:dyDescent="0.35">
      <c r="A75" s="9">
        <v>33</v>
      </c>
      <c r="B75" s="8" t="s">
        <v>119</v>
      </c>
      <c r="C75" s="10" t="s">
        <v>23</v>
      </c>
      <c r="D75" s="16"/>
      <c r="E75" s="18"/>
      <c r="F75" s="18"/>
      <c r="G75" s="18"/>
      <c r="H75" s="18"/>
      <c r="I75" s="18"/>
      <c r="J75" s="18"/>
      <c r="K75" s="18"/>
      <c r="L75" s="18"/>
    </row>
    <row r="76" spans="1:12" x14ac:dyDescent="0.35">
      <c r="A76" s="9">
        <v>34</v>
      </c>
      <c r="B76" s="8" t="s">
        <v>120</v>
      </c>
      <c r="C76" s="10" t="s">
        <v>37</v>
      </c>
      <c r="D76" s="16">
        <v>1.351142910663318E-3</v>
      </c>
      <c r="E76" s="18"/>
      <c r="F76" s="16">
        <v>1.351142910663318E-3</v>
      </c>
      <c r="G76" s="16"/>
      <c r="H76" s="16">
        <v>1.351142910663318E-3</v>
      </c>
      <c r="I76" s="16"/>
      <c r="J76" s="16">
        <v>1.351142910663318E-3</v>
      </c>
      <c r="K76" s="16"/>
      <c r="L76" s="16">
        <v>1.351142910663318E-3</v>
      </c>
    </row>
    <row r="77" spans="1:12" x14ac:dyDescent="0.35">
      <c r="A77" s="9">
        <v>35</v>
      </c>
      <c r="B77" s="8" t="s">
        <v>121</v>
      </c>
      <c r="C77" s="10" t="s">
        <v>37</v>
      </c>
      <c r="D77" s="16">
        <v>7.1374286163616103E-5</v>
      </c>
      <c r="E77" s="18"/>
      <c r="F77" s="16">
        <v>7.1374286163616103E-5</v>
      </c>
      <c r="G77" s="16"/>
      <c r="H77" s="16">
        <v>7.1374286163616103E-5</v>
      </c>
      <c r="I77" s="16"/>
      <c r="J77" s="16">
        <v>7.1374286163616103E-5</v>
      </c>
      <c r="K77" s="16"/>
      <c r="L77" s="16">
        <v>7.1374286163616103E-5</v>
      </c>
    </row>
    <row r="78" spans="1:12" x14ac:dyDescent="0.35">
      <c r="A78" s="9">
        <v>36</v>
      </c>
      <c r="B78" s="8" t="s">
        <v>122</v>
      </c>
      <c r="C78" s="10" t="s">
        <v>37</v>
      </c>
      <c r="D78" s="16">
        <v>2.6309115351630199E-3</v>
      </c>
      <c r="E78" s="18"/>
      <c r="F78" s="16">
        <v>2.6309115351630199E-3</v>
      </c>
      <c r="G78" s="16"/>
      <c r="H78" s="16">
        <v>2.6309115351630199E-3</v>
      </c>
      <c r="I78" s="16"/>
      <c r="J78" s="16">
        <v>2.6309115351630199E-3</v>
      </c>
      <c r="K78" s="16"/>
      <c r="L78" s="16">
        <v>2.6309115351630199E-3</v>
      </c>
    </row>
    <row r="79" spans="1:12" x14ac:dyDescent="0.35">
      <c r="A79" s="9">
        <v>37</v>
      </c>
      <c r="B79" s="8" t="s">
        <v>123</v>
      </c>
      <c r="C79" s="10" t="s">
        <v>37</v>
      </c>
      <c r="D79" s="16">
        <v>4.4398393045606598E-3</v>
      </c>
      <c r="E79" s="18"/>
      <c r="F79" s="16">
        <v>4.4398393045606607E-3</v>
      </c>
      <c r="G79" s="16"/>
      <c r="H79" s="16">
        <v>4.4398393045606607E-3</v>
      </c>
      <c r="I79" s="16"/>
      <c r="J79" s="16">
        <v>4.4398393045606607E-3</v>
      </c>
      <c r="K79" s="16"/>
      <c r="L79" s="16">
        <v>4.4398393045606607E-3</v>
      </c>
    </row>
    <row r="80" spans="1:12" x14ac:dyDescent="0.35">
      <c r="A80" s="9">
        <v>38</v>
      </c>
      <c r="B80" s="8" t="s">
        <v>124</v>
      </c>
      <c r="C80" s="10" t="s">
        <v>37</v>
      </c>
      <c r="D80" s="16">
        <v>2.0830069186439801E-2</v>
      </c>
      <c r="E80" s="18"/>
      <c r="F80" s="16">
        <v>2.0830069186439801E-2</v>
      </c>
      <c r="G80" s="16"/>
      <c r="H80" s="16">
        <v>2.0830069186439801E-2</v>
      </c>
      <c r="I80" s="16"/>
      <c r="J80" s="16">
        <v>2.0830069186439801E-2</v>
      </c>
      <c r="K80" s="16"/>
      <c r="L80" s="16">
        <v>2.0830069186439801E-2</v>
      </c>
    </row>
    <row r="81" spans="1:13" x14ac:dyDescent="0.35">
      <c r="A81" s="9">
        <v>39</v>
      </c>
      <c r="B81" s="8" t="s">
        <v>125</v>
      </c>
      <c r="C81" s="10" t="s">
        <v>37</v>
      </c>
      <c r="D81" s="16">
        <v>5.3333941139341199E-3</v>
      </c>
      <c r="E81" s="18"/>
      <c r="F81" s="16">
        <v>5.3333941139341199E-3</v>
      </c>
      <c r="G81" s="16"/>
      <c r="H81" s="16">
        <v>5.3333941139341199E-3</v>
      </c>
      <c r="I81" s="16"/>
      <c r="J81" s="16">
        <v>5.3333941139341199E-3</v>
      </c>
      <c r="K81" s="16"/>
      <c r="L81" s="16">
        <v>5.3333941139341199E-3</v>
      </c>
    </row>
    <row r="82" spans="1:13" x14ac:dyDescent="0.35">
      <c r="A82" s="9">
        <v>40</v>
      </c>
      <c r="B82" s="8" t="s">
        <v>126</v>
      </c>
      <c r="C82" s="10" t="s">
        <v>37</v>
      </c>
      <c r="D82" s="16"/>
      <c r="E82" s="18"/>
      <c r="F82" s="16"/>
      <c r="G82" s="16"/>
      <c r="H82" s="16"/>
      <c r="I82" s="16"/>
      <c r="J82" s="16"/>
      <c r="K82" s="16"/>
      <c r="L82" s="16"/>
    </row>
    <row r="83" spans="1:13" x14ac:dyDescent="0.35">
      <c r="A83" s="9">
        <v>41</v>
      </c>
      <c r="B83" s="8" t="s">
        <v>127</v>
      </c>
      <c r="C83" s="10" t="s">
        <v>37</v>
      </c>
      <c r="D83" s="16">
        <v>8.3708186139003438E-2</v>
      </c>
      <c r="E83" s="18"/>
      <c r="F83" s="16">
        <v>8.3708186139003438E-2</v>
      </c>
      <c r="G83" s="16"/>
      <c r="H83" s="16">
        <v>8.3708186139003438E-2</v>
      </c>
      <c r="I83" s="16"/>
      <c r="J83" s="16">
        <v>8.3708186139003438E-2</v>
      </c>
      <c r="K83" s="16"/>
      <c r="L83" s="16">
        <v>8.3708186139003438E-2</v>
      </c>
    </row>
    <row r="84" spans="1:13" x14ac:dyDescent="0.35">
      <c r="A84" s="9">
        <v>42</v>
      </c>
      <c r="B84" s="8" t="s">
        <v>128</v>
      </c>
      <c r="C84" s="10" t="s">
        <v>37</v>
      </c>
      <c r="D84" s="16">
        <v>0.17975026803595939</v>
      </c>
      <c r="E84" s="18"/>
      <c r="F84" s="16">
        <v>0.17975026803595939</v>
      </c>
      <c r="G84" s="16"/>
      <c r="H84" s="16">
        <v>0.17975026803595939</v>
      </c>
      <c r="I84" s="16"/>
      <c r="J84" s="16">
        <v>0.17975026803595939</v>
      </c>
      <c r="K84" s="16"/>
      <c r="L84" s="16">
        <v>0.17975026803595939</v>
      </c>
    </row>
    <row r="85" spans="1:13" x14ac:dyDescent="0.35">
      <c r="A85" s="9">
        <v>43</v>
      </c>
      <c r="B85" s="8" t="s">
        <v>129</v>
      </c>
      <c r="C85" s="10" t="s">
        <v>37</v>
      </c>
      <c r="D85" s="16">
        <v>4.4398393045606607E-3</v>
      </c>
      <c r="E85" s="18"/>
      <c r="F85" s="16">
        <v>4.4398393045606607E-3</v>
      </c>
      <c r="G85" s="16"/>
      <c r="H85" s="16">
        <v>4.4398393045606607E-3</v>
      </c>
      <c r="I85" s="16"/>
      <c r="J85" s="16">
        <v>4.4398393045606607E-3</v>
      </c>
      <c r="K85" s="16"/>
      <c r="L85" s="16">
        <v>4.4398393045606607E-3</v>
      </c>
    </row>
    <row r="86" spans="1:13" x14ac:dyDescent="0.35">
      <c r="A86" s="9">
        <v>44</v>
      </c>
      <c r="B86" s="8" t="s">
        <v>130</v>
      </c>
      <c r="C86" s="10" t="s">
        <v>37</v>
      </c>
      <c r="D86" s="16">
        <v>4.4398393045606607E-3</v>
      </c>
      <c r="E86" s="18"/>
      <c r="F86" s="16">
        <v>4.4398393045606607E-3</v>
      </c>
      <c r="G86" s="16"/>
      <c r="H86" s="16">
        <v>4.4398393045606607E-3</v>
      </c>
      <c r="I86" s="16"/>
      <c r="J86" s="16">
        <v>4.4398393045606607E-3</v>
      </c>
      <c r="K86" s="16"/>
      <c r="L86" s="16">
        <v>4.4398393045606607E-3</v>
      </c>
    </row>
    <row r="87" spans="1:13" x14ac:dyDescent="0.35">
      <c r="A87" s="9">
        <v>45</v>
      </c>
      <c r="B87" s="8" t="s">
        <v>131</v>
      </c>
      <c r="C87" s="10" t="s">
        <v>35</v>
      </c>
      <c r="D87" s="14">
        <v>8.6400000000000013E-5</v>
      </c>
      <c r="E87" s="14"/>
      <c r="F87" s="14">
        <v>8.6400000000000013E-5</v>
      </c>
      <c r="G87" s="14"/>
      <c r="H87" s="14">
        <v>8.6400000000000013E-5</v>
      </c>
      <c r="I87" s="14"/>
      <c r="J87" s="14">
        <v>8.6400000000000013E-5</v>
      </c>
      <c r="K87" s="14"/>
      <c r="L87" s="14">
        <v>8.6400000000000013E-5</v>
      </c>
    </row>
    <row r="88" spans="1:13" x14ac:dyDescent="0.35">
      <c r="A88" s="9">
        <v>46</v>
      </c>
      <c r="B88" s="8" t="s">
        <v>132</v>
      </c>
      <c r="C88" s="10" t="s">
        <v>35</v>
      </c>
      <c r="D88" s="25">
        <v>0.36679016931856134</v>
      </c>
      <c r="E88" s="25"/>
      <c r="F88" s="25">
        <v>1.1429027321143996</v>
      </c>
      <c r="G88" s="25"/>
      <c r="H88" s="25">
        <v>1.2004429626948472</v>
      </c>
      <c r="I88" s="25"/>
      <c r="J88" s="25">
        <v>1.0202791514306</v>
      </c>
      <c r="K88" s="25"/>
      <c r="L88" s="25">
        <v>1.5433292733750461</v>
      </c>
    </row>
    <row r="89" spans="1:13" x14ac:dyDescent="0.35">
      <c r="A89" s="9">
        <v>47</v>
      </c>
      <c r="B89" s="8" t="s">
        <v>133</v>
      </c>
      <c r="C89" s="10" t="s">
        <v>35</v>
      </c>
      <c r="D89" s="25">
        <v>3.2160000000000002</v>
      </c>
      <c r="E89" s="25"/>
      <c r="F89" s="25">
        <v>3.2160000000000002</v>
      </c>
      <c r="G89" s="25"/>
      <c r="H89" s="25">
        <v>3.2160000000000002</v>
      </c>
      <c r="I89" s="25"/>
      <c r="J89" s="25">
        <v>3.2160000000000002</v>
      </c>
      <c r="K89" s="25"/>
      <c r="L89" s="25">
        <v>3.2160000000000002</v>
      </c>
    </row>
    <row r="90" spans="1:13" x14ac:dyDescent="0.35">
      <c r="A90" s="9">
        <v>48</v>
      </c>
      <c r="B90" s="8" t="s">
        <v>134</v>
      </c>
      <c r="C90" s="10" t="s">
        <v>35</v>
      </c>
      <c r="D90" s="25">
        <v>1.5549999999999999</v>
      </c>
      <c r="E90" s="25"/>
      <c r="F90" s="25">
        <v>1.5549999999999999</v>
      </c>
      <c r="G90" s="25"/>
      <c r="H90" s="25">
        <v>1.5549999999999999</v>
      </c>
      <c r="I90" s="25"/>
      <c r="J90" s="25">
        <v>1.5549999999999999</v>
      </c>
      <c r="K90" s="25"/>
      <c r="L90" s="25">
        <v>1.5549999999999999</v>
      </c>
    </row>
    <row r="92" spans="1:13" ht="30" x14ac:dyDescent="0.6">
      <c r="A92" s="19" t="s">
        <v>43</v>
      </c>
      <c r="B92" s="20"/>
      <c r="C92" s="20"/>
      <c r="D92" s="21"/>
      <c r="E92" s="21"/>
      <c r="F92" s="21"/>
      <c r="G92" s="21"/>
      <c r="H92" s="21"/>
      <c r="I92" s="21"/>
      <c r="J92" s="21"/>
      <c r="K92" s="21"/>
      <c r="L92" s="21"/>
      <c r="M92" s="21"/>
    </row>
    <row r="93" spans="1:13" x14ac:dyDescent="0.35">
      <c r="A93" s="22">
        <v>1</v>
      </c>
      <c r="B93" s="22" t="s">
        <v>135</v>
      </c>
      <c r="C93" s="23" t="s">
        <v>45</v>
      </c>
      <c r="D93" s="24">
        <v>3.2</v>
      </c>
      <c r="E93" s="24"/>
      <c r="F93" s="24">
        <v>3.1</v>
      </c>
      <c r="G93" s="24"/>
      <c r="H93" s="24">
        <v>2.8</v>
      </c>
      <c r="I93" s="24"/>
      <c r="J93" s="24">
        <v>2</v>
      </c>
      <c r="K93" s="24"/>
      <c r="L93" s="24">
        <v>2.9</v>
      </c>
      <c r="M93" s="24"/>
    </row>
    <row r="94" spans="1:13" x14ac:dyDescent="0.35">
      <c r="A94" s="22">
        <v>2</v>
      </c>
      <c r="B94" s="22" t="s">
        <v>136</v>
      </c>
      <c r="C94" s="23" t="s">
        <v>45</v>
      </c>
      <c r="D94" s="24">
        <v>4.6280975999999985</v>
      </c>
      <c r="E94" s="24"/>
      <c r="F94" s="24"/>
      <c r="G94" s="24"/>
      <c r="H94" s="24"/>
      <c r="I94" s="24"/>
      <c r="J94" s="24"/>
      <c r="K94" s="24"/>
      <c r="L94" s="24">
        <v>7.4989307999999992</v>
      </c>
      <c r="M94" s="24"/>
    </row>
    <row r="95" spans="1:13" x14ac:dyDescent="0.35">
      <c r="A95" s="22">
        <v>3</v>
      </c>
      <c r="B95" s="22" t="s">
        <v>137</v>
      </c>
      <c r="C95" s="23" t="s">
        <v>45</v>
      </c>
      <c r="D95" s="24">
        <v>4.2060815999999992</v>
      </c>
      <c r="E95" s="24"/>
      <c r="F95" s="24"/>
      <c r="G95" s="24"/>
      <c r="H95" s="24"/>
      <c r="I95" s="24"/>
      <c r="J95" s="24"/>
      <c r="K95" s="24"/>
      <c r="L95" s="24">
        <v>6.1609768000000003</v>
      </c>
      <c r="M95" s="24"/>
    </row>
    <row r="96" spans="1:13" x14ac:dyDescent="0.35">
      <c r="A96" s="22">
        <v>4</v>
      </c>
      <c r="B96" s="22" t="s">
        <v>44</v>
      </c>
      <c r="C96" s="23" t="s">
        <v>45</v>
      </c>
      <c r="D96" s="24">
        <v>2.8984638380534515</v>
      </c>
      <c r="E96" s="24">
        <v>0.24776556885313203</v>
      </c>
      <c r="F96" s="24">
        <v>2.5117191102537251</v>
      </c>
      <c r="G96" s="24">
        <v>0.56708380021613047</v>
      </c>
      <c r="H96" s="24">
        <v>1.6797156856257465</v>
      </c>
      <c r="I96" s="24">
        <v>0.25022394812552823</v>
      </c>
      <c r="J96" s="24">
        <v>2.5033010992558471</v>
      </c>
      <c r="K96" s="24">
        <v>0.17250249886575417</v>
      </c>
      <c r="L96" s="24">
        <v>3.801035436920897</v>
      </c>
      <c r="M96" s="24">
        <v>0.19569166838507523</v>
      </c>
    </row>
    <row r="97" spans="1:13" x14ac:dyDescent="0.35">
      <c r="A97" s="22">
        <v>5</v>
      </c>
      <c r="B97" s="22" t="s">
        <v>138</v>
      </c>
      <c r="C97" s="23" t="s">
        <v>45</v>
      </c>
      <c r="D97" s="24">
        <v>4.8895584831622392</v>
      </c>
      <c r="E97" s="24">
        <v>0.31520625773720573</v>
      </c>
      <c r="F97" s="24">
        <v>2.8645595852562296</v>
      </c>
      <c r="G97" s="24">
        <v>8.7942150008758005E-2</v>
      </c>
      <c r="H97" s="24">
        <v>3.7126300663200484</v>
      </c>
      <c r="I97" s="24">
        <v>1.4991552455813348</v>
      </c>
      <c r="J97" s="24">
        <v>3.7274590768826772</v>
      </c>
      <c r="K97" s="24">
        <v>0.3815364148273982</v>
      </c>
      <c r="L97" s="24">
        <v>4.5526551536492743</v>
      </c>
      <c r="M97" s="24">
        <v>9.0836214803064988E-2</v>
      </c>
    </row>
    <row r="98" spans="1:13" x14ac:dyDescent="0.35">
      <c r="A98" s="22">
        <v>6</v>
      </c>
      <c r="B98" s="22" t="s">
        <v>139</v>
      </c>
      <c r="C98" s="23" t="s">
        <v>45</v>
      </c>
      <c r="D98" s="24">
        <v>3.37</v>
      </c>
      <c r="E98" s="24"/>
      <c r="F98" s="24">
        <v>3.37</v>
      </c>
      <c r="G98" s="24"/>
      <c r="H98" s="24">
        <v>3.37</v>
      </c>
      <c r="I98" s="24"/>
      <c r="J98" s="24">
        <v>3.45</v>
      </c>
      <c r="K98" s="24"/>
      <c r="L98" s="24">
        <v>3.27</v>
      </c>
      <c r="M98" s="24"/>
    </row>
    <row r="99" spans="1:13" x14ac:dyDescent="0.35">
      <c r="A99" s="22">
        <v>7</v>
      </c>
      <c r="B99" s="22" t="s">
        <v>140</v>
      </c>
      <c r="C99" s="23" t="s">
        <v>45</v>
      </c>
      <c r="D99" s="24">
        <v>3.31</v>
      </c>
      <c r="E99" s="24"/>
      <c r="F99" s="24">
        <v>3.31</v>
      </c>
      <c r="G99" s="24"/>
      <c r="H99" s="24">
        <v>3.31</v>
      </c>
      <c r="I99" s="24"/>
      <c r="J99" s="24">
        <v>3.33</v>
      </c>
      <c r="K99" s="24"/>
      <c r="L99" s="24">
        <v>3.39</v>
      </c>
      <c r="M99" s="24"/>
    </row>
    <row r="100" spans="1:13" x14ac:dyDescent="0.35">
      <c r="A100" s="22">
        <v>8</v>
      </c>
      <c r="B100" s="22" t="s">
        <v>141</v>
      </c>
      <c r="C100" s="23" t="s">
        <v>45</v>
      </c>
      <c r="D100" s="24">
        <v>1.437656050523809</v>
      </c>
      <c r="E100" s="24"/>
      <c r="F100" s="24">
        <v>1.2024978917820215</v>
      </c>
      <c r="G100" s="24"/>
      <c r="H100" s="24">
        <v>1.1115223525473936</v>
      </c>
      <c r="I100" s="24"/>
      <c r="J100" s="24">
        <v>2.1253535474168546</v>
      </c>
      <c r="K100" s="24"/>
      <c r="L100" s="24">
        <v>2.6563576141604202</v>
      </c>
      <c r="M100" s="21"/>
    </row>
    <row r="101" spans="1:13" x14ac:dyDescent="0.35">
      <c r="A101" s="22">
        <v>9</v>
      </c>
      <c r="B101" s="22" t="s">
        <v>142</v>
      </c>
      <c r="C101" s="23" t="s">
        <v>45</v>
      </c>
      <c r="D101" s="24">
        <v>1.7985296211578348</v>
      </c>
      <c r="E101" s="24"/>
      <c r="F101" s="24">
        <v>1.5718030805220895</v>
      </c>
      <c r="G101" s="24"/>
      <c r="H101" s="24">
        <v>2.4526659704404454</v>
      </c>
      <c r="I101" s="24"/>
      <c r="J101" s="24">
        <v>1.7776604686136703</v>
      </c>
      <c r="K101" s="24"/>
      <c r="L101" s="24">
        <v>1.6289609681590542</v>
      </c>
      <c r="M101" s="21"/>
    </row>
    <row r="102" spans="1:13" x14ac:dyDescent="0.35">
      <c r="A102" s="22">
        <v>10</v>
      </c>
      <c r="B102" s="22" t="s">
        <v>143</v>
      </c>
      <c r="C102" s="23" t="s">
        <v>45</v>
      </c>
      <c r="D102" s="24">
        <v>2.4225186379123786</v>
      </c>
      <c r="E102" s="24">
        <v>0.24354168280715935</v>
      </c>
      <c r="F102" s="21"/>
      <c r="G102" s="21"/>
      <c r="H102" s="21"/>
      <c r="I102" s="21"/>
      <c r="J102" s="21"/>
      <c r="K102" s="21"/>
      <c r="L102" s="24">
        <v>5.1191532802262856</v>
      </c>
      <c r="M102" s="24">
        <v>0.13328111755853836</v>
      </c>
    </row>
    <row r="103" spans="1:13" x14ac:dyDescent="0.35">
      <c r="A103" s="22">
        <v>11</v>
      </c>
      <c r="B103" s="22" t="s">
        <v>144</v>
      </c>
      <c r="C103" s="23" t="s">
        <v>45</v>
      </c>
      <c r="D103" s="24">
        <v>3.123522288511039</v>
      </c>
      <c r="E103" s="24">
        <v>0.21894837410934914</v>
      </c>
      <c r="F103" s="21"/>
      <c r="G103" s="21"/>
      <c r="H103" s="21"/>
      <c r="I103" s="21"/>
      <c r="J103" s="21"/>
      <c r="K103" s="21"/>
      <c r="L103" s="24">
        <v>4.6685771230963793</v>
      </c>
      <c r="M103" s="24">
        <v>0.21866823136803154</v>
      </c>
    </row>
    <row r="104" spans="1:13" x14ac:dyDescent="0.35">
      <c r="A104" s="22">
        <v>12</v>
      </c>
      <c r="B104" s="22" t="s">
        <v>145</v>
      </c>
      <c r="C104" s="23" t="s">
        <v>45</v>
      </c>
      <c r="D104" s="24">
        <v>5.6973006578341794</v>
      </c>
      <c r="E104" s="24">
        <v>0.11572101139742995</v>
      </c>
      <c r="F104" s="21"/>
      <c r="G104" s="21"/>
      <c r="H104" s="21"/>
      <c r="I104" s="21"/>
      <c r="J104" s="21"/>
      <c r="K104" s="21"/>
      <c r="L104" s="24">
        <v>7.581330396587922</v>
      </c>
      <c r="M104" s="24">
        <v>0.11215830879206709</v>
      </c>
    </row>
    <row r="105" spans="1:13" x14ac:dyDescent="0.35">
      <c r="A105" s="22">
        <v>13</v>
      </c>
      <c r="B105" s="22" t="s">
        <v>146</v>
      </c>
      <c r="C105" s="23" t="s">
        <v>45</v>
      </c>
      <c r="D105" s="24">
        <v>4.733392065353784</v>
      </c>
      <c r="E105" s="24">
        <v>0.30523219270159196</v>
      </c>
      <c r="F105" s="21"/>
      <c r="G105" s="21"/>
      <c r="H105" s="21"/>
      <c r="I105" s="21"/>
      <c r="J105" s="21"/>
      <c r="K105" s="21"/>
      <c r="L105" s="24">
        <v>5.8800598501748214</v>
      </c>
      <c r="M105" s="24">
        <v>7.2483084369126788E-2</v>
      </c>
    </row>
    <row r="106" spans="1:13" x14ac:dyDescent="0.35">
      <c r="A106" s="22">
        <v>14</v>
      </c>
      <c r="B106" s="22" t="s">
        <v>147</v>
      </c>
      <c r="C106" s="23" t="s">
        <v>45</v>
      </c>
      <c r="D106" s="24">
        <v>3.2176301521963628</v>
      </c>
      <c r="E106" s="24">
        <v>0.59083242620705712</v>
      </c>
      <c r="F106" s="21"/>
      <c r="G106" s="21"/>
      <c r="H106" s="21"/>
      <c r="I106" s="21"/>
      <c r="J106" s="21"/>
      <c r="K106" s="21"/>
      <c r="L106" s="24">
        <v>3.9796128853301442</v>
      </c>
      <c r="M106" s="24">
        <v>0.94348954785331907</v>
      </c>
    </row>
    <row r="107" spans="1:13" x14ac:dyDescent="0.35">
      <c r="A107" s="22">
        <v>15</v>
      </c>
      <c r="B107" s="22" t="s">
        <v>148</v>
      </c>
      <c r="C107" s="23" t="s">
        <v>45</v>
      </c>
      <c r="D107" s="24" t="s">
        <v>71</v>
      </c>
      <c r="E107" s="24" t="s">
        <v>71</v>
      </c>
      <c r="F107" s="21"/>
      <c r="G107" s="21"/>
      <c r="H107" s="21"/>
      <c r="I107" s="21"/>
      <c r="J107" s="21"/>
      <c r="K107" s="21"/>
      <c r="L107" s="24">
        <v>6.2899742142696526</v>
      </c>
      <c r="M107" s="24">
        <v>8.9567230677471923E-2</v>
      </c>
    </row>
    <row r="108" spans="1:13" x14ac:dyDescent="0.35">
      <c r="A108" s="22">
        <v>16</v>
      </c>
      <c r="B108" s="22" t="s">
        <v>149</v>
      </c>
      <c r="C108" s="23" t="s">
        <v>45</v>
      </c>
      <c r="D108" s="24">
        <v>1.4794195387316684</v>
      </c>
      <c r="E108" s="24">
        <v>0.38</v>
      </c>
      <c r="F108" s="21"/>
      <c r="G108" s="21"/>
      <c r="H108" s="21"/>
      <c r="I108" s="21"/>
      <c r="J108" s="21"/>
      <c r="K108" s="21"/>
      <c r="L108" s="24">
        <v>5.1566705663495194</v>
      </c>
      <c r="M108" s="24">
        <v>0.12374379002656545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4F16-FA04-4CB1-8D30-2293B776B4A2}">
  <dimension ref="A1"/>
  <sheetViews>
    <sheetView workbookViewId="0">
      <selection activeCell="A2" sqref="A2"/>
    </sheetView>
  </sheetViews>
  <sheetFormatPr defaultRowHeight="14.5" x14ac:dyDescent="0.35"/>
  <sheetData>
    <row r="1" spans="1:1" x14ac:dyDescent="0.35">
      <c r="A1" t="s">
        <v>164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8E71F4C809694A8FE86E6AAA0E1148" ma:contentTypeVersion="13" ma:contentTypeDescription="Create a new document." ma:contentTypeScope="" ma:versionID="94beb93621939fc6e4326df9aee8e0fc">
  <xsd:schema xmlns:xsd="http://www.w3.org/2001/XMLSchema" xmlns:xs="http://www.w3.org/2001/XMLSchema" xmlns:p="http://schemas.microsoft.com/office/2006/metadata/properties" xmlns:ns3="c0ea4c96-c916-4356-b97d-707632d919c2" xmlns:ns4="631de70e-6607-43af-ba40-c3d3dc8be270" targetNamespace="http://schemas.microsoft.com/office/2006/metadata/properties" ma:root="true" ma:fieldsID="327279aef5722a45a27ab0e20fb5a350" ns3:_="" ns4:_="">
    <xsd:import namespace="c0ea4c96-c916-4356-b97d-707632d919c2"/>
    <xsd:import namespace="631de70e-6607-43af-ba40-c3d3dc8be27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a4c96-c916-4356-b97d-707632d91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1de70e-6607-43af-ba40-c3d3dc8be27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CDBFD4-BEDF-4252-A1EF-52C313A796D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82B8D2C-BD89-4C4B-93DE-80ACE2197E01}">
  <ds:schemaRefs>
    <ds:schemaRef ds:uri="http://schemas.microsoft.com/sharepoint/v3/contenttype/forms"/>
  </ds:schemaRefs>
</ds:datastoreItem>
</file>

<file path=customXml/itemProps3.xml><?xml version="1.0" encoding="utf-8"?>
<ds:datastoreItem xmlns:ds="http://schemas.openxmlformats.org/officeDocument/2006/customXml" ds:itemID="{B30D2A3D-20DE-4904-807F-7C349A6C3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ea4c96-c916-4356-b97d-707632d919c2"/>
    <ds:schemaRef ds:uri="631de70e-6607-43af-ba40-c3d3dc8be2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InputsNZ</vt:lpstr>
      <vt:lpstr>InputsNZ (2)</vt:lpstr>
      <vt:lpstr>InputsNZ Old</vt:lpstr>
      <vt:lpstr>NZ_Extra</vt:lpstr>
      <vt:lpstr>Sheet1</vt:lpstr>
      <vt:lpstr>InputsGoM</vt:lpstr>
      <vt:lpstr>InputCRD</vt:lpstr>
    </vt:vector>
  </TitlesOfParts>
  <Manager/>
  <Company>Florida State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Stukel</dc:creator>
  <cp:keywords/>
  <dc:description/>
  <cp:lastModifiedBy>Christian Fender</cp:lastModifiedBy>
  <cp:revision/>
  <dcterms:created xsi:type="dcterms:W3CDTF">2019-10-24T15:53:48Z</dcterms:created>
  <dcterms:modified xsi:type="dcterms:W3CDTF">2024-11-19T21:04:32Z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0x0101008C8E71F4C809694A8FE86E6AAA0E1148</vt:lpwstr>
  </property>
</Properties>
</file>