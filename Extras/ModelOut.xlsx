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dmin\Dropbox\SalpLIM\N15-LIM-SalpPOOP-main\"/>
    </mc:Choice>
  </mc:AlternateContent>
  <xr:revisionPtr revIDLastSave="0" documentId="13_ncr:1_{0D59F490-D027-49F1-B8ED-94B8A1A48CCF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Sheet1 (2)" sheetId="2" r:id="rId2"/>
    <sheet name="Sheet1 (3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7" i="3" l="1"/>
  <c r="G106" i="3"/>
  <c r="G89" i="3"/>
  <c r="G88" i="3"/>
  <c r="G86" i="3"/>
  <c r="G85" i="3"/>
  <c r="H104" i="2"/>
  <c r="G104" i="2"/>
  <c r="J117" i="2"/>
  <c r="H120" i="2"/>
  <c r="G120" i="2"/>
  <c r="H119" i="2"/>
  <c r="G119" i="2"/>
  <c r="H118" i="2"/>
  <c r="G118" i="2"/>
  <c r="H117" i="2"/>
  <c r="G117" i="2"/>
  <c r="F117" i="2"/>
  <c r="E117" i="2"/>
  <c r="H116" i="2"/>
  <c r="G116" i="2"/>
  <c r="E116" i="3" s="1"/>
  <c r="F116" i="2"/>
  <c r="F115" i="2"/>
  <c r="D115" i="3"/>
  <c r="G115" i="2"/>
  <c r="H115" i="2"/>
  <c r="E115" i="2"/>
  <c r="I115" i="2"/>
  <c r="J115" i="2"/>
  <c r="L128" i="2"/>
  <c r="L126" i="2"/>
  <c r="G126" i="3" s="1"/>
  <c r="L84" i="2"/>
  <c r="G84" i="3" s="1"/>
  <c r="D93" i="2"/>
  <c r="D92" i="2"/>
  <c r="H96" i="2"/>
  <c r="H95" i="2"/>
  <c r="H94" i="2"/>
  <c r="H93" i="2"/>
  <c r="H90" i="2"/>
  <c r="G90" i="2"/>
  <c r="K89" i="2"/>
  <c r="K88" i="2"/>
  <c r="L81" i="2"/>
  <c r="K81" i="2"/>
  <c r="J25" i="2"/>
  <c r="H25" i="2"/>
  <c r="I25" i="2"/>
  <c r="G25" i="2"/>
  <c r="C3" i="3"/>
  <c r="D3" i="3"/>
  <c r="E3" i="3"/>
  <c r="F3" i="3"/>
  <c r="G3" i="3"/>
  <c r="C4" i="3"/>
  <c r="D4" i="3"/>
  <c r="E4" i="3"/>
  <c r="F4" i="3"/>
  <c r="G4" i="3"/>
  <c r="C5" i="3"/>
  <c r="D5" i="3"/>
  <c r="E5" i="3"/>
  <c r="F5" i="3"/>
  <c r="G5" i="3"/>
  <c r="C6" i="3"/>
  <c r="D6" i="3"/>
  <c r="E6" i="3"/>
  <c r="F6" i="3"/>
  <c r="G6" i="3"/>
  <c r="C7" i="3"/>
  <c r="D7" i="3"/>
  <c r="E7" i="3"/>
  <c r="F7" i="3"/>
  <c r="G7" i="3"/>
  <c r="C8" i="3"/>
  <c r="D8" i="3"/>
  <c r="E8" i="3"/>
  <c r="F8" i="3"/>
  <c r="G8" i="3"/>
  <c r="C9" i="3"/>
  <c r="D9" i="3"/>
  <c r="E9" i="3"/>
  <c r="F9" i="3"/>
  <c r="G9" i="3"/>
  <c r="C10" i="3"/>
  <c r="D10" i="3"/>
  <c r="E10" i="3"/>
  <c r="F10" i="3"/>
  <c r="G10" i="3"/>
  <c r="C11" i="3"/>
  <c r="D11" i="3"/>
  <c r="E11" i="3"/>
  <c r="F11" i="3"/>
  <c r="G11" i="3"/>
  <c r="C12" i="3"/>
  <c r="D12" i="3"/>
  <c r="E12" i="3"/>
  <c r="F12" i="3"/>
  <c r="G12" i="3"/>
  <c r="C13" i="3"/>
  <c r="D13" i="3"/>
  <c r="E13" i="3"/>
  <c r="F13" i="3"/>
  <c r="G13" i="3"/>
  <c r="C14" i="3"/>
  <c r="D14" i="3"/>
  <c r="E14" i="3"/>
  <c r="F14" i="3"/>
  <c r="G14" i="3"/>
  <c r="C15" i="3"/>
  <c r="D15" i="3"/>
  <c r="E15" i="3"/>
  <c r="F15" i="3"/>
  <c r="G15" i="3"/>
  <c r="C16" i="3"/>
  <c r="D16" i="3"/>
  <c r="E16" i="3"/>
  <c r="F16" i="3"/>
  <c r="G16" i="3"/>
  <c r="C17" i="3"/>
  <c r="D17" i="3"/>
  <c r="E17" i="3"/>
  <c r="F17" i="3"/>
  <c r="G17" i="3"/>
  <c r="C18" i="3"/>
  <c r="D18" i="3"/>
  <c r="E18" i="3"/>
  <c r="F18" i="3"/>
  <c r="G18" i="3"/>
  <c r="C19" i="3"/>
  <c r="D19" i="3"/>
  <c r="E19" i="3"/>
  <c r="F19" i="3"/>
  <c r="G19" i="3"/>
  <c r="C20" i="3"/>
  <c r="D20" i="3"/>
  <c r="E20" i="3"/>
  <c r="F20" i="3"/>
  <c r="G20" i="3"/>
  <c r="C21" i="3"/>
  <c r="D21" i="3"/>
  <c r="E21" i="3"/>
  <c r="F21" i="3"/>
  <c r="G21" i="3"/>
  <c r="D22" i="3"/>
  <c r="E22" i="3"/>
  <c r="F22" i="3"/>
  <c r="G22" i="3"/>
  <c r="C23" i="3"/>
  <c r="D23" i="3"/>
  <c r="E23" i="3"/>
  <c r="F23" i="3"/>
  <c r="G23" i="3"/>
  <c r="C24" i="3"/>
  <c r="D24" i="3"/>
  <c r="E24" i="3"/>
  <c r="F24" i="3"/>
  <c r="G24" i="3"/>
  <c r="C25" i="3"/>
  <c r="D25" i="3"/>
  <c r="G25" i="3"/>
  <c r="C26" i="3"/>
  <c r="D26" i="3"/>
  <c r="E26" i="3"/>
  <c r="F26" i="3"/>
  <c r="G26" i="3"/>
  <c r="C27" i="3"/>
  <c r="D27" i="3"/>
  <c r="E27" i="3"/>
  <c r="F27" i="3"/>
  <c r="G27" i="3"/>
  <c r="C28" i="3"/>
  <c r="D28" i="3"/>
  <c r="E28" i="3"/>
  <c r="F28" i="3"/>
  <c r="G28" i="3"/>
  <c r="C29" i="3"/>
  <c r="D29" i="3"/>
  <c r="E29" i="3"/>
  <c r="F29" i="3"/>
  <c r="G29" i="3"/>
  <c r="D30" i="3"/>
  <c r="E30" i="3"/>
  <c r="F30" i="3"/>
  <c r="G30" i="3"/>
  <c r="C31" i="3"/>
  <c r="D31" i="3"/>
  <c r="E31" i="3"/>
  <c r="F31" i="3"/>
  <c r="G31" i="3"/>
  <c r="C32" i="3"/>
  <c r="D32" i="3"/>
  <c r="E32" i="3"/>
  <c r="F32" i="3"/>
  <c r="G32" i="3"/>
  <c r="C33" i="3"/>
  <c r="D33" i="3"/>
  <c r="E33" i="3"/>
  <c r="F33" i="3"/>
  <c r="G33" i="3"/>
  <c r="C34" i="3"/>
  <c r="D34" i="3"/>
  <c r="E34" i="3"/>
  <c r="F34" i="3"/>
  <c r="G34" i="3"/>
  <c r="C35" i="3"/>
  <c r="D35" i="3"/>
  <c r="E35" i="3"/>
  <c r="F35" i="3"/>
  <c r="G35" i="3"/>
  <c r="C36" i="3"/>
  <c r="D36" i="3"/>
  <c r="E36" i="3"/>
  <c r="F36" i="3"/>
  <c r="G36" i="3"/>
  <c r="C37" i="3"/>
  <c r="D37" i="3"/>
  <c r="E37" i="3"/>
  <c r="F37" i="3"/>
  <c r="G37" i="3"/>
  <c r="D38" i="3"/>
  <c r="E38" i="3"/>
  <c r="F38" i="3"/>
  <c r="G38" i="3"/>
  <c r="C39" i="3"/>
  <c r="D39" i="3"/>
  <c r="E39" i="3"/>
  <c r="F39" i="3"/>
  <c r="G39" i="3"/>
  <c r="C40" i="3"/>
  <c r="D40" i="3"/>
  <c r="E40" i="3"/>
  <c r="F40" i="3"/>
  <c r="G40" i="3"/>
  <c r="C41" i="3"/>
  <c r="D41" i="3"/>
  <c r="E41" i="3"/>
  <c r="F41" i="3"/>
  <c r="G41" i="3"/>
  <c r="C42" i="3"/>
  <c r="D42" i="3"/>
  <c r="E42" i="3"/>
  <c r="F42" i="3"/>
  <c r="G42" i="3"/>
  <c r="C43" i="3"/>
  <c r="D43" i="3"/>
  <c r="E43" i="3"/>
  <c r="F43" i="3"/>
  <c r="G43" i="3"/>
  <c r="C44" i="3"/>
  <c r="D44" i="3"/>
  <c r="E44" i="3"/>
  <c r="F44" i="3"/>
  <c r="G44" i="3"/>
  <c r="C45" i="3"/>
  <c r="D45" i="3"/>
  <c r="E45" i="3"/>
  <c r="F45" i="3"/>
  <c r="G45" i="3"/>
  <c r="D46" i="3"/>
  <c r="E46" i="3"/>
  <c r="F46" i="3"/>
  <c r="G46" i="3"/>
  <c r="C47" i="3"/>
  <c r="D47" i="3"/>
  <c r="E47" i="3"/>
  <c r="F47" i="3"/>
  <c r="G47" i="3"/>
  <c r="C48" i="3"/>
  <c r="D48" i="3"/>
  <c r="E48" i="3"/>
  <c r="F48" i="3"/>
  <c r="G48" i="3"/>
  <c r="C49" i="3"/>
  <c r="D49" i="3"/>
  <c r="E49" i="3"/>
  <c r="F49" i="3"/>
  <c r="G49" i="3"/>
  <c r="C50" i="3"/>
  <c r="D50" i="3"/>
  <c r="E50" i="3"/>
  <c r="F50" i="3"/>
  <c r="G50" i="3"/>
  <c r="C51" i="3"/>
  <c r="D51" i="3"/>
  <c r="E51" i="3"/>
  <c r="F51" i="3"/>
  <c r="G51" i="3"/>
  <c r="C52" i="3"/>
  <c r="D52" i="3"/>
  <c r="E52" i="3"/>
  <c r="F52" i="3"/>
  <c r="G52" i="3"/>
  <c r="C53" i="3"/>
  <c r="D53" i="3"/>
  <c r="E53" i="3"/>
  <c r="F53" i="3"/>
  <c r="G53" i="3"/>
  <c r="D54" i="3"/>
  <c r="E54" i="3"/>
  <c r="F54" i="3"/>
  <c r="G54" i="3"/>
  <c r="C55" i="3"/>
  <c r="D55" i="3"/>
  <c r="E55" i="3"/>
  <c r="F55" i="3"/>
  <c r="G55" i="3"/>
  <c r="C56" i="3"/>
  <c r="D56" i="3"/>
  <c r="E56" i="3"/>
  <c r="F56" i="3"/>
  <c r="G56" i="3"/>
  <c r="C57" i="3"/>
  <c r="D57" i="3"/>
  <c r="E57" i="3"/>
  <c r="F57" i="3"/>
  <c r="G57" i="3"/>
  <c r="C58" i="3"/>
  <c r="D58" i="3"/>
  <c r="E58" i="3"/>
  <c r="F58" i="3"/>
  <c r="G58" i="3"/>
  <c r="C59" i="3"/>
  <c r="D59" i="3"/>
  <c r="E59" i="3"/>
  <c r="F59" i="3"/>
  <c r="G59" i="3"/>
  <c r="C60" i="3"/>
  <c r="D60" i="3"/>
  <c r="E60" i="3"/>
  <c r="F60" i="3"/>
  <c r="G60" i="3"/>
  <c r="C61" i="3"/>
  <c r="D61" i="3"/>
  <c r="E61" i="3"/>
  <c r="F61" i="3"/>
  <c r="G61" i="3"/>
  <c r="C62" i="3"/>
  <c r="D62" i="3"/>
  <c r="E62" i="3"/>
  <c r="F62" i="3"/>
  <c r="G62" i="3"/>
  <c r="D63" i="3"/>
  <c r="E63" i="3"/>
  <c r="F63" i="3"/>
  <c r="G63" i="3"/>
  <c r="D64" i="3"/>
  <c r="E64" i="3"/>
  <c r="F64" i="3"/>
  <c r="G64" i="3"/>
  <c r="D65" i="3"/>
  <c r="E65" i="3"/>
  <c r="F65" i="3"/>
  <c r="G65" i="3"/>
  <c r="D66" i="3"/>
  <c r="E66" i="3"/>
  <c r="F66" i="3"/>
  <c r="G66" i="3"/>
  <c r="D67" i="3"/>
  <c r="E67" i="3"/>
  <c r="F67" i="3"/>
  <c r="G67" i="3"/>
  <c r="D68" i="3"/>
  <c r="E68" i="3"/>
  <c r="F68" i="3"/>
  <c r="G68" i="3"/>
  <c r="D69" i="3"/>
  <c r="E69" i="3"/>
  <c r="F69" i="3"/>
  <c r="G69" i="3"/>
  <c r="D70" i="3"/>
  <c r="E70" i="3"/>
  <c r="F70" i="3"/>
  <c r="G70" i="3"/>
  <c r="D71" i="3"/>
  <c r="E71" i="3"/>
  <c r="F71" i="3"/>
  <c r="G71" i="3"/>
  <c r="D72" i="3"/>
  <c r="E72" i="3"/>
  <c r="F72" i="3"/>
  <c r="G72" i="3"/>
  <c r="D73" i="3"/>
  <c r="E73" i="3"/>
  <c r="F73" i="3"/>
  <c r="G73" i="3"/>
  <c r="D74" i="3"/>
  <c r="E74" i="3"/>
  <c r="F74" i="3"/>
  <c r="G74" i="3"/>
  <c r="C75" i="3"/>
  <c r="D75" i="3"/>
  <c r="E75" i="3"/>
  <c r="F75" i="3"/>
  <c r="G75" i="3"/>
  <c r="C76" i="3"/>
  <c r="D76" i="3"/>
  <c r="E76" i="3"/>
  <c r="F76" i="3"/>
  <c r="G76" i="3"/>
  <c r="C77" i="3"/>
  <c r="D77" i="3"/>
  <c r="E77" i="3"/>
  <c r="F77" i="3"/>
  <c r="G77" i="3"/>
  <c r="C78" i="3"/>
  <c r="D78" i="3"/>
  <c r="E78" i="3"/>
  <c r="F78" i="3"/>
  <c r="G78" i="3"/>
  <c r="C79" i="3"/>
  <c r="D79" i="3"/>
  <c r="E79" i="3"/>
  <c r="F79" i="3"/>
  <c r="G79" i="3"/>
  <c r="C80" i="3"/>
  <c r="D80" i="3"/>
  <c r="E80" i="3"/>
  <c r="F80" i="3"/>
  <c r="G80" i="3"/>
  <c r="C81" i="3"/>
  <c r="D81" i="3"/>
  <c r="E81" i="3"/>
  <c r="F81" i="3"/>
  <c r="G81" i="3"/>
  <c r="C82" i="3"/>
  <c r="D82" i="3"/>
  <c r="E82" i="3"/>
  <c r="F82" i="3"/>
  <c r="G82" i="3"/>
  <c r="C83" i="3"/>
  <c r="D83" i="3"/>
  <c r="E83" i="3"/>
  <c r="F83" i="3"/>
  <c r="G83" i="3"/>
  <c r="C84" i="3"/>
  <c r="D84" i="3"/>
  <c r="E84" i="3"/>
  <c r="F84" i="3"/>
  <c r="C85" i="3"/>
  <c r="D85" i="3"/>
  <c r="E85" i="3"/>
  <c r="F85" i="3"/>
  <c r="C86" i="3"/>
  <c r="D86" i="3"/>
  <c r="E86" i="3"/>
  <c r="F86" i="3"/>
  <c r="C87" i="3"/>
  <c r="D87" i="3"/>
  <c r="E87" i="3"/>
  <c r="F87" i="3"/>
  <c r="G87" i="3"/>
  <c r="C88" i="3"/>
  <c r="D88" i="3"/>
  <c r="E88" i="3"/>
  <c r="F88" i="3"/>
  <c r="C89" i="3"/>
  <c r="D89" i="3"/>
  <c r="E89" i="3"/>
  <c r="F89" i="3"/>
  <c r="C90" i="3"/>
  <c r="D90" i="3"/>
  <c r="E90" i="3"/>
  <c r="F90" i="3"/>
  <c r="G90" i="3"/>
  <c r="C91" i="3"/>
  <c r="D91" i="3"/>
  <c r="E91" i="3"/>
  <c r="F91" i="3"/>
  <c r="G91" i="3"/>
  <c r="C92" i="3"/>
  <c r="D92" i="3"/>
  <c r="E92" i="3"/>
  <c r="F92" i="3"/>
  <c r="G92" i="3"/>
  <c r="C93" i="3"/>
  <c r="D93" i="3"/>
  <c r="E93" i="3"/>
  <c r="F93" i="3"/>
  <c r="G93" i="3"/>
  <c r="C94" i="3"/>
  <c r="D94" i="3"/>
  <c r="E94" i="3"/>
  <c r="F94" i="3"/>
  <c r="G94" i="3"/>
  <c r="C95" i="3"/>
  <c r="D95" i="3"/>
  <c r="E95" i="3"/>
  <c r="F95" i="3"/>
  <c r="G95" i="3"/>
  <c r="C96" i="3"/>
  <c r="D96" i="3"/>
  <c r="E96" i="3"/>
  <c r="F96" i="3"/>
  <c r="G96" i="3"/>
  <c r="C97" i="3"/>
  <c r="D97" i="3"/>
  <c r="E97" i="3"/>
  <c r="F97" i="3"/>
  <c r="G97" i="3"/>
  <c r="C98" i="3"/>
  <c r="D98" i="3"/>
  <c r="E98" i="3"/>
  <c r="F98" i="3"/>
  <c r="G98" i="3"/>
  <c r="C99" i="3"/>
  <c r="D99" i="3"/>
  <c r="E99" i="3"/>
  <c r="F99" i="3"/>
  <c r="G99" i="3"/>
  <c r="C100" i="3"/>
  <c r="D100" i="3"/>
  <c r="E100" i="3"/>
  <c r="F100" i="3"/>
  <c r="G100" i="3"/>
  <c r="C101" i="3"/>
  <c r="D101" i="3"/>
  <c r="E101" i="3"/>
  <c r="F101" i="3"/>
  <c r="G101" i="3"/>
  <c r="C102" i="3"/>
  <c r="D102" i="3"/>
  <c r="E102" i="3"/>
  <c r="F102" i="3"/>
  <c r="G102" i="3"/>
  <c r="C103" i="3"/>
  <c r="D103" i="3"/>
  <c r="E103" i="3"/>
  <c r="F103" i="3"/>
  <c r="G103" i="3"/>
  <c r="C104" i="3"/>
  <c r="D104" i="3"/>
  <c r="E104" i="3"/>
  <c r="F104" i="3"/>
  <c r="G104" i="3"/>
  <c r="C105" i="3"/>
  <c r="D105" i="3"/>
  <c r="E105" i="3"/>
  <c r="F105" i="3"/>
  <c r="G105" i="3"/>
  <c r="C106" i="3"/>
  <c r="D106" i="3"/>
  <c r="E106" i="3"/>
  <c r="F106" i="3"/>
  <c r="C107" i="3"/>
  <c r="D107" i="3"/>
  <c r="E107" i="3"/>
  <c r="F107" i="3"/>
  <c r="C108" i="3"/>
  <c r="D108" i="3"/>
  <c r="E108" i="3"/>
  <c r="F108" i="3"/>
  <c r="G108" i="3"/>
  <c r="C109" i="3"/>
  <c r="D109" i="3"/>
  <c r="E109" i="3"/>
  <c r="F109" i="3"/>
  <c r="G109" i="3"/>
  <c r="C110" i="3"/>
  <c r="D110" i="3"/>
  <c r="E110" i="3"/>
  <c r="F110" i="3"/>
  <c r="G110" i="3"/>
  <c r="C111" i="3"/>
  <c r="D111" i="3"/>
  <c r="E111" i="3"/>
  <c r="F111" i="3"/>
  <c r="G111" i="3"/>
  <c r="C112" i="3"/>
  <c r="D112" i="3"/>
  <c r="E112" i="3"/>
  <c r="F112" i="3"/>
  <c r="G112" i="3"/>
  <c r="C113" i="3"/>
  <c r="D113" i="3"/>
  <c r="E113" i="3"/>
  <c r="F113" i="3"/>
  <c r="G113" i="3"/>
  <c r="C114" i="3"/>
  <c r="D114" i="3"/>
  <c r="E114" i="3"/>
  <c r="F114" i="3"/>
  <c r="G114" i="3"/>
  <c r="C115" i="3"/>
  <c r="F115" i="3"/>
  <c r="G115" i="3"/>
  <c r="C116" i="3"/>
  <c r="D116" i="3"/>
  <c r="F116" i="3"/>
  <c r="G116" i="3"/>
  <c r="C117" i="3"/>
  <c r="D117" i="3"/>
  <c r="F117" i="3"/>
  <c r="G117" i="3"/>
  <c r="C118" i="3"/>
  <c r="D118" i="3"/>
  <c r="E118" i="3"/>
  <c r="F118" i="3"/>
  <c r="G118" i="3"/>
  <c r="C119" i="3"/>
  <c r="D119" i="3"/>
  <c r="E119" i="3"/>
  <c r="F119" i="3"/>
  <c r="G119" i="3"/>
  <c r="C120" i="3"/>
  <c r="D120" i="3"/>
  <c r="E120" i="3"/>
  <c r="F120" i="3"/>
  <c r="G120" i="3"/>
  <c r="C121" i="3"/>
  <c r="D121" i="3"/>
  <c r="E121" i="3"/>
  <c r="F121" i="3"/>
  <c r="G121" i="3"/>
  <c r="C122" i="3"/>
  <c r="D122" i="3"/>
  <c r="E122" i="3"/>
  <c r="F122" i="3"/>
  <c r="G122" i="3"/>
  <c r="C123" i="3"/>
  <c r="D123" i="3"/>
  <c r="E123" i="3"/>
  <c r="F123" i="3"/>
  <c r="G123" i="3"/>
  <c r="C124" i="3"/>
  <c r="D124" i="3"/>
  <c r="E124" i="3"/>
  <c r="F124" i="3"/>
  <c r="G124" i="3"/>
  <c r="C125" i="3"/>
  <c r="D125" i="3"/>
  <c r="E125" i="3"/>
  <c r="F125" i="3"/>
  <c r="G125" i="3"/>
  <c r="C126" i="3"/>
  <c r="D126" i="3"/>
  <c r="E126" i="3"/>
  <c r="F126" i="3"/>
  <c r="C127" i="3"/>
  <c r="D127" i="3"/>
  <c r="E127" i="3"/>
  <c r="F127" i="3"/>
  <c r="G127" i="3"/>
  <c r="C128" i="3"/>
  <c r="D128" i="3"/>
  <c r="E128" i="3"/>
  <c r="F128" i="3"/>
  <c r="G128" i="3"/>
  <c r="C129" i="3"/>
  <c r="D129" i="3"/>
  <c r="E129" i="3"/>
  <c r="F129" i="3"/>
  <c r="G129" i="3"/>
  <c r="C130" i="3"/>
  <c r="D130" i="3"/>
  <c r="E130" i="3"/>
  <c r="F130" i="3"/>
  <c r="G130" i="3"/>
  <c r="C131" i="3"/>
  <c r="D131" i="3"/>
  <c r="E131" i="3"/>
  <c r="F131" i="3"/>
  <c r="G131" i="3"/>
  <c r="C132" i="3"/>
  <c r="D132" i="3"/>
  <c r="E132" i="3"/>
  <c r="F132" i="3"/>
  <c r="G132" i="3"/>
  <c r="C133" i="3"/>
  <c r="D133" i="3"/>
  <c r="E133" i="3"/>
  <c r="F133" i="3"/>
  <c r="G133" i="3"/>
  <c r="C134" i="3"/>
  <c r="D134" i="3"/>
  <c r="E134" i="3"/>
  <c r="F134" i="3"/>
  <c r="G134" i="3"/>
  <c r="D135" i="3"/>
  <c r="E135" i="3"/>
  <c r="F135" i="3"/>
  <c r="G135" i="3"/>
  <c r="C136" i="3"/>
  <c r="D136" i="3"/>
  <c r="E136" i="3"/>
  <c r="F136" i="3"/>
  <c r="G136" i="3"/>
  <c r="C137" i="3"/>
  <c r="D137" i="3"/>
  <c r="E137" i="3"/>
  <c r="F137" i="3"/>
  <c r="G137" i="3"/>
  <c r="C138" i="3"/>
  <c r="D138" i="3"/>
  <c r="E138" i="3"/>
  <c r="F138" i="3"/>
  <c r="G138" i="3"/>
  <c r="C139" i="3"/>
  <c r="D139" i="3"/>
  <c r="E139" i="3"/>
  <c r="F139" i="3"/>
  <c r="G139" i="3"/>
  <c r="C140" i="3"/>
  <c r="D140" i="3"/>
  <c r="E140" i="3"/>
  <c r="F140" i="3"/>
  <c r="G140" i="3"/>
  <c r="C141" i="3"/>
  <c r="D141" i="3"/>
  <c r="E141" i="3"/>
  <c r="F141" i="3"/>
  <c r="G141" i="3"/>
  <c r="G2" i="3"/>
  <c r="F2" i="3"/>
  <c r="E2" i="3"/>
  <c r="D2" i="3"/>
  <c r="C3" i="2"/>
  <c r="D3" i="2"/>
  <c r="E3" i="2"/>
  <c r="F3" i="2"/>
  <c r="G3" i="2"/>
  <c r="H3" i="2"/>
  <c r="I3" i="2"/>
  <c r="J3" i="2"/>
  <c r="K3" i="2"/>
  <c r="L3" i="2"/>
  <c r="C4" i="2"/>
  <c r="D4" i="2"/>
  <c r="E4" i="2"/>
  <c r="F4" i="2"/>
  <c r="G4" i="2"/>
  <c r="H4" i="2"/>
  <c r="I4" i="2"/>
  <c r="J4" i="2"/>
  <c r="K4" i="2"/>
  <c r="L4" i="2"/>
  <c r="C5" i="2"/>
  <c r="D5" i="2"/>
  <c r="E5" i="2"/>
  <c r="F5" i="2"/>
  <c r="G5" i="2"/>
  <c r="H5" i="2"/>
  <c r="I5" i="2"/>
  <c r="J5" i="2"/>
  <c r="K5" i="2"/>
  <c r="L5" i="2"/>
  <c r="C6" i="2"/>
  <c r="D6" i="2"/>
  <c r="E6" i="2"/>
  <c r="F6" i="2"/>
  <c r="G6" i="2"/>
  <c r="H6" i="2"/>
  <c r="I6" i="2"/>
  <c r="J6" i="2"/>
  <c r="K6" i="2"/>
  <c r="L6" i="2"/>
  <c r="C7" i="2"/>
  <c r="D7" i="2"/>
  <c r="E7" i="2"/>
  <c r="F7" i="2"/>
  <c r="G7" i="2"/>
  <c r="H7" i="2"/>
  <c r="I7" i="2"/>
  <c r="J7" i="2"/>
  <c r="K7" i="2"/>
  <c r="L7" i="2"/>
  <c r="C8" i="2"/>
  <c r="D8" i="2"/>
  <c r="E8" i="2"/>
  <c r="F8" i="2"/>
  <c r="G8" i="2"/>
  <c r="H8" i="2"/>
  <c r="I8" i="2"/>
  <c r="J8" i="2"/>
  <c r="K8" i="2"/>
  <c r="L8" i="2"/>
  <c r="C9" i="2"/>
  <c r="D9" i="2"/>
  <c r="E9" i="2"/>
  <c r="F9" i="2"/>
  <c r="G9" i="2"/>
  <c r="H9" i="2"/>
  <c r="I9" i="2"/>
  <c r="J9" i="2"/>
  <c r="K9" i="2"/>
  <c r="L9" i="2"/>
  <c r="C10" i="2"/>
  <c r="D10" i="2"/>
  <c r="E10" i="2"/>
  <c r="F10" i="2"/>
  <c r="G10" i="2"/>
  <c r="H10" i="2"/>
  <c r="I10" i="2"/>
  <c r="J10" i="2"/>
  <c r="K10" i="2"/>
  <c r="L10" i="2"/>
  <c r="C11" i="2"/>
  <c r="D11" i="2"/>
  <c r="E11" i="2"/>
  <c r="F11" i="2"/>
  <c r="G11" i="2"/>
  <c r="H11" i="2"/>
  <c r="I11" i="2"/>
  <c r="J11" i="2"/>
  <c r="K11" i="2"/>
  <c r="L11" i="2"/>
  <c r="C12" i="2"/>
  <c r="D12" i="2"/>
  <c r="E12" i="2"/>
  <c r="F12" i="2"/>
  <c r="G12" i="2"/>
  <c r="H12" i="2"/>
  <c r="I12" i="2"/>
  <c r="J12" i="2"/>
  <c r="K12" i="2"/>
  <c r="L12" i="2"/>
  <c r="C13" i="2"/>
  <c r="D13" i="2"/>
  <c r="E13" i="2"/>
  <c r="F13" i="2"/>
  <c r="G13" i="2"/>
  <c r="H13" i="2"/>
  <c r="I13" i="2"/>
  <c r="J13" i="2"/>
  <c r="K13" i="2"/>
  <c r="L13" i="2"/>
  <c r="C14" i="2"/>
  <c r="D14" i="2"/>
  <c r="E14" i="2"/>
  <c r="F14" i="2"/>
  <c r="G14" i="2"/>
  <c r="H14" i="2"/>
  <c r="I14" i="2"/>
  <c r="J14" i="2"/>
  <c r="K14" i="2"/>
  <c r="L14" i="2"/>
  <c r="C15" i="2"/>
  <c r="D15" i="2"/>
  <c r="E15" i="2"/>
  <c r="F15" i="2"/>
  <c r="G15" i="2"/>
  <c r="H15" i="2"/>
  <c r="I15" i="2"/>
  <c r="J15" i="2"/>
  <c r="K15" i="2"/>
  <c r="L15" i="2"/>
  <c r="C16" i="2"/>
  <c r="D16" i="2"/>
  <c r="E16" i="2"/>
  <c r="F16" i="2"/>
  <c r="G16" i="2"/>
  <c r="H16" i="2"/>
  <c r="I16" i="2"/>
  <c r="J16" i="2"/>
  <c r="K16" i="2"/>
  <c r="L16" i="2"/>
  <c r="C17" i="2"/>
  <c r="D17" i="2"/>
  <c r="E17" i="2"/>
  <c r="F17" i="2"/>
  <c r="G17" i="2"/>
  <c r="H17" i="2"/>
  <c r="I17" i="2"/>
  <c r="J17" i="2"/>
  <c r="K17" i="2"/>
  <c r="L17" i="2"/>
  <c r="C18" i="2"/>
  <c r="D18" i="2"/>
  <c r="E18" i="2"/>
  <c r="F18" i="2"/>
  <c r="G18" i="2"/>
  <c r="H18" i="2"/>
  <c r="I18" i="2"/>
  <c r="J18" i="2"/>
  <c r="K18" i="2"/>
  <c r="L18" i="2"/>
  <c r="C19" i="2"/>
  <c r="D19" i="2"/>
  <c r="E19" i="2"/>
  <c r="F19" i="2"/>
  <c r="G19" i="2"/>
  <c r="H19" i="2"/>
  <c r="I19" i="2"/>
  <c r="J19" i="2"/>
  <c r="K19" i="2"/>
  <c r="L19" i="2"/>
  <c r="C20" i="2"/>
  <c r="D20" i="2"/>
  <c r="E20" i="2"/>
  <c r="F20" i="2"/>
  <c r="G20" i="2"/>
  <c r="H20" i="2"/>
  <c r="I20" i="2"/>
  <c r="J20" i="2"/>
  <c r="K20" i="2"/>
  <c r="L20" i="2"/>
  <c r="C21" i="2"/>
  <c r="D21" i="2"/>
  <c r="E21" i="2"/>
  <c r="F21" i="2"/>
  <c r="G21" i="2"/>
  <c r="H21" i="2"/>
  <c r="I21" i="2"/>
  <c r="J21" i="2"/>
  <c r="K21" i="2"/>
  <c r="L21" i="2"/>
  <c r="C22" i="2"/>
  <c r="D22" i="2"/>
  <c r="E22" i="2"/>
  <c r="F22" i="2"/>
  <c r="G22" i="2"/>
  <c r="H22" i="2"/>
  <c r="I22" i="2"/>
  <c r="J22" i="2"/>
  <c r="K22" i="2"/>
  <c r="L22" i="2"/>
  <c r="C23" i="2"/>
  <c r="D23" i="2"/>
  <c r="E23" i="2"/>
  <c r="F23" i="2"/>
  <c r="G23" i="2"/>
  <c r="H23" i="2"/>
  <c r="I23" i="2"/>
  <c r="J23" i="2"/>
  <c r="K23" i="2"/>
  <c r="L23" i="2"/>
  <c r="C24" i="2"/>
  <c r="D24" i="2"/>
  <c r="E24" i="2"/>
  <c r="F24" i="2"/>
  <c r="G24" i="2"/>
  <c r="H24" i="2"/>
  <c r="I24" i="2"/>
  <c r="J24" i="2"/>
  <c r="K24" i="2"/>
  <c r="L24" i="2"/>
  <c r="C25" i="2"/>
  <c r="D25" i="2"/>
  <c r="E25" i="2"/>
  <c r="F25" i="2"/>
  <c r="K25" i="2"/>
  <c r="L25" i="2"/>
  <c r="C26" i="2"/>
  <c r="D26" i="2"/>
  <c r="E26" i="2"/>
  <c r="F26" i="2"/>
  <c r="G26" i="2"/>
  <c r="H26" i="2"/>
  <c r="I26" i="2"/>
  <c r="J26" i="2"/>
  <c r="K26" i="2"/>
  <c r="L26" i="2"/>
  <c r="C27" i="2"/>
  <c r="D27" i="2"/>
  <c r="E27" i="2"/>
  <c r="F27" i="2"/>
  <c r="G27" i="2"/>
  <c r="H27" i="2"/>
  <c r="I27" i="2"/>
  <c r="J27" i="2"/>
  <c r="K27" i="2"/>
  <c r="L27" i="2"/>
  <c r="C28" i="2"/>
  <c r="D28" i="2"/>
  <c r="E28" i="2"/>
  <c r="F28" i="2"/>
  <c r="G28" i="2"/>
  <c r="H28" i="2"/>
  <c r="I28" i="2"/>
  <c r="J28" i="2"/>
  <c r="K28" i="2"/>
  <c r="L28" i="2"/>
  <c r="C29" i="2"/>
  <c r="D29" i="2"/>
  <c r="E29" i="2"/>
  <c r="F29" i="2"/>
  <c r="G29" i="2"/>
  <c r="H29" i="2"/>
  <c r="I29" i="2"/>
  <c r="J29" i="2"/>
  <c r="K29" i="2"/>
  <c r="L29" i="2"/>
  <c r="C30" i="2"/>
  <c r="D30" i="2"/>
  <c r="E30" i="2"/>
  <c r="F30" i="2"/>
  <c r="G30" i="2"/>
  <c r="H30" i="2"/>
  <c r="I30" i="2"/>
  <c r="J30" i="2"/>
  <c r="K30" i="2"/>
  <c r="L30" i="2"/>
  <c r="C31" i="2"/>
  <c r="D31" i="2"/>
  <c r="E31" i="2"/>
  <c r="F31" i="2"/>
  <c r="G31" i="2"/>
  <c r="H31" i="2"/>
  <c r="I31" i="2"/>
  <c r="J31" i="2"/>
  <c r="K31" i="2"/>
  <c r="L31" i="2"/>
  <c r="C32" i="2"/>
  <c r="D32" i="2"/>
  <c r="E32" i="2"/>
  <c r="F32" i="2"/>
  <c r="G32" i="2"/>
  <c r="H32" i="2"/>
  <c r="I32" i="2"/>
  <c r="J32" i="2"/>
  <c r="K32" i="2"/>
  <c r="L32" i="2"/>
  <c r="C33" i="2"/>
  <c r="D33" i="2"/>
  <c r="E33" i="2"/>
  <c r="F33" i="2"/>
  <c r="G33" i="2"/>
  <c r="H33" i="2"/>
  <c r="I33" i="2"/>
  <c r="J33" i="2"/>
  <c r="K33" i="2"/>
  <c r="L33" i="2"/>
  <c r="C34" i="2"/>
  <c r="D34" i="2"/>
  <c r="E34" i="2"/>
  <c r="F34" i="2"/>
  <c r="G34" i="2"/>
  <c r="H34" i="2"/>
  <c r="I34" i="2"/>
  <c r="J34" i="2"/>
  <c r="K34" i="2"/>
  <c r="L34" i="2"/>
  <c r="C35" i="2"/>
  <c r="D35" i="2"/>
  <c r="E35" i="2"/>
  <c r="F35" i="2"/>
  <c r="G35" i="2"/>
  <c r="H35" i="2"/>
  <c r="I35" i="2"/>
  <c r="J35" i="2"/>
  <c r="K35" i="2"/>
  <c r="L35" i="2"/>
  <c r="C36" i="2"/>
  <c r="D36" i="2"/>
  <c r="E36" i="2"/>
  <c r="F36" i="2"/>
  <c r="G36" i="2"/>
  <c r="H36" i="2"/>
  <c r="I36" i="2"/>
  <c r="J36" i="2"/>
  <c r="K36" i="2"/>
  <c r="L36" i="2"/>
  <c r="C37" i="2"/>
  <c r="D37" i="2"/>
  <c r="E37" i="2"/>
  <c r="F37" i="2"/>
  <c r="G37" i="2"/>
  <c r="H37" i="2"/>
  <c r="I37" i="2"/>
  <c r="J37" i="2"/>
  <c r="K37" i="2"/>
  <c r="L37" i="2"/>
  <c r="C38" i="2"/>
  <c r="D38" i="2"/>
  <c r="E38" i="2"/>
  <c r="F38" i="2"/>
  <c r="G38" i="2"/>
  <c r="H38" i="2"/>
  <c r="I38" i="2"/>
  <c r="J38" i="2"/>
  <c r="K38" i="2"/>
  <c r="L38" i="2"/>
  <c r="C39" i="2"/>
  <c r="D39" i="2"/>
  <c r="E39" i="2"/>
  <c r="F39" i="2"/>
  <c r="G39" i="2"/>
  <c r="H39" i="2"/>
  <c r="I39" i="2"/>
  <c r="J39" i="2"/>
  <c r="K39" i="2"/>
  <c r="L39" i="2"/>
  <c r="C40" i="2"/>
  <c r="D40" i="2"/>
  <c r="E40" i="2"/>
  <c r="F40" i="2"/>
  <c r="G40" i="2"/>
  <c r="H40" i="2"/>
  <c r="I40" i="2"/>
  <c r="J40" i="2"/>
  <c r="K40" i="2"/>
  <c r="L40" i="2"/>
  <c r="C41" i="2"/>
  <c r="D41" i="2"/>
  <c r="E41" i="2"/>
  <c r="F41" i="2"/>
  <c r="G41" i="2"/>
  <c r="H41" i="2"/>
  <c r="I41" i="2"/>
  <c r="J41" i="2"/>
  <c r="K41" i="2"/>
  <c r="L41" i="2"/>
  <c r="C42" i="2"/>
  <c r="D42" i="2"/>
  <c r="E42" i="2"/>
  <c r="F42" i="2"/>
  <c r="G42" i="2"/>
  <c r="H42" i="2"/>
  <c r="I42" i="2"/>
  <c r="J42" i="2"/>
  <c r="K42" i="2"/>
  <c r="L42" i="2"/>
  <c r="C43" i="2"/>
  <c r="D43" i="2"/>
  <c r="E43" i="2"/>
  <c r="F43" i="2"/>
  <c r="G43" i="2"/>
  <c r="H43" i="2"/>
  <c r="I43" i="2"/>
  <c r="J43" i="2"/>
  <c r="K43" i="2"/>
  <c r="L43" i="2"/>
  <c r="C44" i="2"/>
  <c r="D44" i="2"/>
  <c r="E44" i="2"/>
  <c r="F44" i="2"/>
  <c r="G44" i="2"/>
  <c r="H44" i="2"/>
  <c r="I44" i="2"/>
  <c r="J44" i="2"/>
  <c r="K44" i="2"/>
  <c r="L44" i="2"/>
  <c r="C45" i="2"/>
  <c r="D45" i="2"/>
  <c r="E45" i="2"/>
  <c r="F45" i="2"/>
  <c r="G45" i="2"/>
  <c r="H45" i="2"/>
  <c r="I45" i="2"/>
  <c r="J45" i="2"/>
  <c r="K45" i="2"/>
  <c r="L45" i="2"/>
  <c r="C46" i="2"/>
  <c r="D46" i="2"/>
  <c r="E46" i="2"/>
  <c r="F46" i="2"/>
  <c r="G46" i="2"/>
  <c r="H46" i="2"/>
  <c r="I46" i="2"/>
  <c r="J46" i="2"/>
  <c r="K46" i="2"/>
  <c r="L46" i="2"/>
  <c r="C47" i="2"/>
  <c r="D47" i="2"/>
  <c r="E47" i="2"/>
  <c r="F47" i="2"/>
  <c r="G47" i="2"/>
  <c r="H47" i="2"/>
  <c r="I47" i="2"/>
  <c r="J47" i="2"/>
  <c r="K47" i="2"/>
  <c r="L47" i="2"/>
  <c r="C48" i="2"/>
  <c r="D48" i="2"/>
  <c r="E48" i="2"/>
  <c r="F48" i="2"/>
  <c r="G48" i="2"/>
  <c r="H48" i="2"/>
  <c r="I48" i="2"/>
  <c r="J48" i="2"/>
  <c r="K48" i="2"/>
  <c r="L48" i="2"/>
  <c r="C49" i="2"/>
  <c r="D49" i="2"/>
  <c r="E49" i="2"/>
  <c r="F49" i="2"/>
  <c r="G49" i="2"/>
  <c r="H49" i="2"/>
  <c r="I49" i="2"/>
  <c r="J49" i="2"/>
  <c r="K49" i="2"/>
  <c r="L49" i="2"/>
  <c r="C50" i="2"/>
  <c r="D50" i="2"/>
  <c r="E50" i="2"/>
  <c r="F50" i="2"/>
  <c r="G50" i="2"/>
  <c r="H50" i="2"/>
  <c r="I50" i="2"/>
  <c r="J50" i="2"/>
  <c r="K50" i="2"/>
  <c r="L50" i="2"/>
  <c r="C51" i="2"/>
  <c r="D51" i="2"/>
  <c r="E51" i="2"/>
  <c r="F51" i="2"/>
  <c r="G51" i="2"/>
  <c r="H51" i="2"/>
  <c r="I51" i="2"/>
  <c r="J51" i="2"/>
  <c r="K51" i="2"/>
  <c r="L51" i="2"/>
  <c r="C52" i="2"/>
  <c r="D52" i="2"/>
  <c r="E52" i="2"/>
  <c r="F52" i="2"/>
  <c r="G52" i="2"/>
  <c r="H52" i="2"/>
  <c r="I52" i="2"/>
  <c r="J52" i="2"/>
  <c r="K52" i="2"/>
  <c r="L52" i="2"/>
  <c r="C53" i="2"/>
  <c r="D53" i="2"/>
  <c r="E53" i="2"/>
  <c r="F53" i="2"/>
  <c r="G53" i="2"/>
  <c r="H53" i="2"/>
  <c r="I53" i="2"/>
  <c r="J53" i="2"/>
  <c r="K53" i="2"/>
  <c r="L53" i="2"/>
  <c r="C54" i="2"/>
  <c r="D54" i="2"/>
  <c r="E54" i="2"/>
  <c r="F54" i="2"/>
  <c r="G54" i="2"/>
  <c r="H54" i="2"/>
  <c r="I54" i="2"/>
  <c r="J54" i="2"/>
  <c r="K54" i="2"/>
  <c r="L54" i="2"/>
  <c r="C55" i="2"/>
  <c r="D55" i="2"/>
  <c r="E55" i="2"/>
  <c r="F55" i="2"/>
  <c r="G55" i="2"/>
  <c r="H55" i="2"/>
  <c r="I55" i="2"/>
  <c r="J55" i="2"/>
  <c r="K55" i="2"/>
  <c r="L55" i="2"/>
  <c r="C56" i="2"/>
  <c r="D56" i="2"/>
  <c r="E56" i="2"/>
  <c r="F56" i="2"/>
  <c r="G56" i="2"/>
  <c r="H56" i="2"/>
  <c r="I56" i="2"/>
  <c r="J56" i="2"/>
  <c r="K56" i="2"/>
  <c r="L56" i="2"/>
  <c r="C57" i="2"/>
  <c r="D57" i="2"/>
  <c r="E57" i="2"/>
  <c r="F57" i="2"/>
  <c r="G57" i="2"/>
  <c r="H57" i="2"/>
  <c r="I57" i="2"/>
  <c r="J57" i="2"/>
  <c r="K57" i="2"/>
  <c r="L57" i="2"/>
  <c r="C58" i="2"/>
  <c r="D58" i="2"/>
  <c r="E58" i="2"/>
  <c r="F58" i="2"/>
  <c r="G58" i="2"/>
  <c r="H58" i="2"/>
  <c r="I58" i="2"/>
  <c r="J58" i="2"/>
  <c r="K58" i="2"/>
  <c r="L58" i="2"/>
  <c r="C59" i="2"/>
  <c r="D59" i="2"/>
  <c r="E59" i="2"/>
  <c r="F59" i="2"/>
  <c r="G59" i="2"/>
  <c r="H59" i="2"/>
  <c r="I59" i="2"/>
  <c r="J59" i="2"/>
  <c r="K59" i="2"/>
  <c r="L59" i="2"/>
  <c r="C60" i="2"/>
  <c r="D60" i="2"/>
  <c r="E60" i="2"/>
  <c r="F60" i="2"/>
  <c r="G60" i="2"/>
  <c r="H60" i="2"/>
  <c r="I60" i="2"/>
  <c r="J60" i="2"/>
  <c r="K60" i="2"/>
  <c r="L60" i="2"/>
  <c r="C61" i="2"/>
  <c r="D61" i="2"/>
  <c r="E61" i="2"/>
  <c r="F61" i="2"/>
  <c r="G61" i="2"/>
  <c r="H61" i="2"/>
  <c r="I61" i="2"/>
  <c r="J61" i="2"/>
  <c r="K61" i="2"/>
  <c r="L61" i="2"/>
  <c r="C62" i="2"/>
  <c r="D62" i="2"/>
  <c r="E62" i="2"/>
  <c r="F62" i="2"/>
  <c r="G62" i="2"/>
  <c r="H62" i="2"/>
  <c r="I62" i="2"/>
  <c r="J62" i="2"/>
  <c r="K62" i="2"/>
  <c r="L62" i="2"/>
  <c r="C63" i="2"/>
  <c r="D63" i="2"/>
  <c r="E63" i="2"/>
  <c r="F63" i="2"/>
  <c r="G63" i="2"/>
  <c r="H63" i="2"/>
  <c r="I63" i="2"/>
  <c r="J63" i="2"/>
  <c r="K63" i="2"/>
  <c r="L63" i="2"/>
  <c r="C64" i="2"/>
  <c r="D64" i="2"/>
  <c r="E64" i="2"/>
  <c r="F64" i="2"/>
  <c r="G64" i="2"/>
  <c r="H64" i="2"/>
  <c r="I64" i="2"/>
  <c r="J64" i="2"/>
  <c r="K64" i="2"/>
  <c r="L64" i="2"/>
  <c r="C65" i="2"/>
  <c r="D65" i="2"/>
  <c r="E65" i="2"/>
  <c r="F65" i="2"/>
  <c r="G65" i="2"/>
  <c r="H65" i="2"/>
  <c r="I65" i="2"/>
  <c r="J65" i="2"/>
  <c r="K65" i="2"/>
  <c r="L65" i="2"/>
  <c r="C66" i="2"/>
  <c r="D66" i="2"/>
  <c r="E66" i="2"/>
  <c r="F66" i="2"/>
  <c r="G66" i="2"/>
  <c r="H66" i="2"/>
  <c r="I66" i="2"/>
  <c r="J66" i="2"/>
  <c r="K66" i="2"/>
  <c r="L66" i="2"/>
  <c r="C67" i="2"/>
  <c r="D67" i="2"/>
  <c r="E67" i="2"/>
  <c r="F67" i="2"/>
  <c r="G67" i="2"/>
  <c r="H67" i="2"/>
  <c r="I67" i="2"/>
  <c r="J67" i="2"/>
  <c r="K67" i="2"/>
  <c r="L67" i="2"/>
  <c r="C68" i="2"/>
  <c r="D68" i="2"/>
  <c r="E68" i="2"/>
  <c r="F68" i="2"/>
  <c r="G68" i="2"/>
  <c r="H68" i="2"/>
  <c r="I68" i="2"/>
  <c r="J68" i="2"/>
  <c r="K68" i="2"/>
  <c r="L68" i="2"/>
  <c r="C69" i="2"/>
  <c r="D69" i="2"/>
  <c r="E69" i="2"/>
  <c r="F69" i="2"/>
  <c r="G69" i="2"/>
  <c r="H69" i="2"/>
  <c r="I69" i="2"/>
  <c r="J69" i="2"/>
  <c r="K69" i="2"/>
  <c r="L69" i="2"/>
  <c r="C70" i="2"/>
  <c r="D70" i="2"/>
  <c r="E70" i="2"/>
  <c r="F70" i="2"/>
  <c r="G70" i="2"/>
  <c r="H70" i="2"/>
  <c r="I70" i="2"/>
  <c r="J70" i="2"/>
  <c r="K70" i="2"/>
  <c r="L70" i="2"/>
  <c r="C71" i="2"/>
  <c r="D71" i="2"/>
  <c r="E71" i="2"/>
  <c r="F71" i="2"/>
  <c r="G71" i="2"/>
  <c r="H71" i="2"/>
  <c r="I71" i="2"/>
  <c r="J71" i="2"/>
  <c r="K71" i="2"/>
  <c r="L71" i="2"/>
  <c r="C72" i="2"/>
  <c r="D72" i="2"/>
  <c r="E72" i="2"/>
  <c r="F72" i="2"/>
  <c r="G72" i="2"/>
  <c r="H72" i="2"/>
  <c r="I72" i="2"/>
  <c r="J72" i="2"/>
  <c r="K72" i="2"/>
  <c r="L72" i="2"/>
  <c r="C73" i="2"/>
  <c r="D73" i="2"/>
  <c r="E73" i="2"/>
  <c r="F73" i="2"/>
  <c r="G73" i="2"/>
  <c r="H73" i="2"/>
  <c r="I73" i="2"/>
  <c r="J73" i="2"/>
  <c r="K73" i="2"/>
  <c r="L73" i="2"/>
  <c r="C74" i="2"/>
  <c r="D74" i="2"/>
  <c r="E74" i="2"/>
  <c r="F74" i="2"/>
  <c r="G74" i="2"/>
  <c r="H74" i="2"/>
  <c r="I74" i="2"/>
  <c r="J74" i="2"/>
  <c r="K74" i="2"/>
  <c r="L74" i="2"/>
  <c r="C75" i="2"/>
  <c r="D75" i="2"/>
  <c r="E75" i="2"/>
  <c r="F75" i="2"/>
  <c r="G75" i="2"/>
  <c r="H75" i="2"/>
  <c r="I75" i="2"/>
  <c r="J75" i="2"/>
  <c r="K75" i="2"/>
  <c r="L75" i="2"/>
  <c r="C76" i="2"/>
  <c r="D76" i="2"/>
  <c r="E76" i="2"/>
  <c r="F76" i="2"/>
  <c r="G76" i="2"/>
  <c r="H76" i="2"/>
  <c r="I76" i="2"/>
  <c r="J76" i="2"/>
  <c r="K76" i="2"/>
  <c r="L76" i="2"/>
  <c r="C77" i="2"/>
  <c r="D77" i="2"/>
  <c r="E77" i="2"/>
  <c r="F77" i="2"/>
  <c r="G77" i="2"/>
  <c r="H77" i="2"/>
  <c r="I77" i="2"/>
  <c r="J77" i="2"/>
  <c r="K77" i="2"/>
  <c r="L77" i="2"/>
  <c r="C78" i="2"/>
  <c r="D78" i="2"/>
  <c r="E78" i="2"/>
  <c r="F78" i="2"/>
  <c r="G78" i="2"/>
  <c r="H78" i="2"/>
  <c r="I78" i="2"/>
  <c r="J78" i="2"/>
  <c r="K78" i="2"/>
  <c r="L78" i="2"/>
  <c r="C79" i="2"/>
  <c r="D79" i="2"/>
  <c r="E79" i="2"/>
  <c r="F79" i="2"/>
  <c r="G79" i="2"/>
  <c r="H79" i="2"/>
  <c r="I79" i="2"/>
  <c r="J79" i="2"/>
  <c r="K79" i="2"/>
  <c r="L79" i="2"/>
  <c r="C80" i="2"/>
  <c r="D80" i="2"/>
  <c r="E80" i="2"/>
  <c r="F80" i="2"/>
  <c r="G80" i="2"/>
  <c r="H80" i="2"/>
  <c r="I80" i="2"/>
  <c r="J80" i="2"/>
  <c r="K80" i="2"/>
  <c r="L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K82" i="2"/>
  <c r="L82" i="2"/>
  <c r="C83" i="2"/>
  <c r="D83" i="2"/>
  <c r="E83" i="2"/>
  <c r="F83" i="2"/>
  <c r="G83" i="2"/>
  <c r="H83" i="2"/>
  <c r="I83" i="2"/>
  <c r="J83" i="2"/>
  <c r="K83" i="2"/>
  <c r="L83" i="2"/>
  <c r="C84" i="2"/>
  <c r="D84" i="2"/>
  <c r="E84" i="2"/>
  <c r="F84" i="2"/>
  <c r="G84" i="2"/>
  <c r="H84" i="2"/>
  <c r="I84" i="2"/>
  <c r="J84" i="2"/>
  <c r="K84" i="2"/>
  <c r="C85" i="2"/>
  <c r="D85" i="2"/>
  <c r="E85" i="2"/>
  <c r="F85" i="2"/>
  <c r="G85" i="2"/>
  <c r="H85" i="2"/>
  <c r="I85" i="2"/>
  <c r="J85" i="2"/>
  <c r="K85" i="2"/>
  <c r="C86" i="2"/>
  <c r="D86" i="2"/>
  <c r="E86" i="2"/>
  <c r="F86" i="2"/>
  <c r="G86" i="2"/>
  <c r="H86" i="2"/>
  <c r="I86" i="2"/>
  <c r="J86" i="2"/>
  <c r="K86" i="2"/>
  <c r="C87" i="2"/>
  <c r="D87" i="2"/>
  <c r="E87" i="2"/>
  <c r="F87" i="2"/>
  <c r="G87" i="2"/>
  <c r="H87" i="2"/>
  <c r="I87" i="2"/>
  <c r="J87" i="2"/>
  <c r="K87" i="2"/>
  <c r="L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I90" i="2"/>
  <c r="J90" i="2"/>
  <c r="K90" i="2"/>
  <c r="L90" i="2"/>
  <c r="C91" i="2"/>
  <c r="D91" i="2"/>
  <c r="E91" i="2"/>
  <c r="F91" i="2"/>
  <c r="G91" i="2"/>
  <c r="H91" i="2"/>
  <c r="I91" i="2"/>
  <c r="J91" i="2"/>
  <c r="K91" i="2"/>
  <c r="L91" i="2"/>
  <c r="C92" i="2"/>
  <c r="E92" i="2"/>
  <c r="F92" i="2"/>
  <c r="G92" i="2"/>
  <c r="H92" i="2"/>
  <c r="I92" i="2"/>
  <c r="J92" i="2"/>
  <c r="K92" i="2"/>
  <c r="L92" i="2"/>
  <c r="C93" i="2"/>
  <c r="E93" i="2"/>
  <c r="F93" i="2"/>
  <c r="G93" i="2"/>
  <c r="I93" i="2"/>
  <c r="J93" i="2"/>
  <c r="K93" i="2"/>
  <c r="L93" i="2"/>
  <c r="C94" i="2"/>
  <c r="D94" i="2"/>
  <c r="E94" i="2"/>
  <c r="F94" i="2"/>
  <c r="G94" i="2"/>
  <c r="I94" i="2"/>
  <c r="J94" i="2"/>
  <c r="K94" i="2"/>
  <c r="L94" i="2"/>
  <c r="C95" i="2"/>
  <c r="D95" i="2"/>
  <c r="E95" i="2"/>
  <c r="F95" i="2"/>
  <c r="G95" i="2"/>
  <c r="I95" i="2"/>
  <c r="J95" i="2"/>
  <c r="K95" i="2"/>
  <c r="L95" i="2"/>
  <c r="C96" i="2"/>
  <c r="D96" i="2"/>
  <c r="E96" i="2"/>
  <c r="F96" i="2"/>
  <c r="G96" i="2"/>
  <c r="I96" i="2"/>
  <c r="J96" i="2"/>
  <c r="K96" i="2"/>
  <c r="L96" i="2"/>
  <c r="C97" i="2"/>
  <c r="D97" i="2"/>
  <c r="E97" i="2"/>
  <c r="F97" i="2"/>
  <c r="G97" i="2"/>
  <c r="H97" i="2"/>
  <c r="I97" i="2"/>
  <c r="J97" i="2"/>
  <c r="K97" i="2"/>
  <c r="L97" i="2"/>
  <c r="C98" i="2"/>
  <c r="D98" i="2"/>
  <c r="E98" i="2"/>
  <c r="F98" i="2"/>
  <c r="G98" i="2"/>
  <c r="H98" i="2"/>
  <c r="I98" i="2"/>
  <c r="J98" i="2"/>
  <c r="K98" i="2"/>
  <c r="L98" i="2"/>
  <c r="C99" i="2"/>
  <c r="D99" i="2"/>
  <c r="E99" i="2"/>
  <c r="F99" i="2"/>
  <c r="G99" i="2"/>
  <c r="H99" i="2"/>
  <c r="I99" i="2"/>
  <c r="J99" i="2"/>
  <c r="K99" i="2"/>
  <c r="L99" i="2"/>
  <c r="C100" i="2"/>
  <c r="D100" i="2"/>
  <c r="E100" i="2"/>
  <c r="F100" i="2"/>
  <c r="G100" i="2"/>
  <c r="H100" i="2"/>
  <c r="I100" i="2"/>
  <c r="J100" i="2"/>
  <c r="K100" i="2"/>
  <c r="L100" i="2"/>
  <c r="C101" i="2"/>
  <c r="D101" i="2"/>
  <c r="E101" i="2"/>
  <c r="F101" i="2"/>
  <c r="G101" i="2"/>
  <c r="H101" i="2"/>
  <c r="I101" i="2"/>
  <c r="J101" i="2"/>
  <c r="K101" i="2"/>
  <c r="L101" i="2"/>
  <c r="C102" i="2"/>
  <c r="D102" i="2"/>
  <c r="E102" i="2"/>
  <c r="F102" i="2"/>
  <c r="G102" i="2"/>
  <c r="H102" i="2"/>
  <c r="I102" i="2"/>
  <c r="J102" i="2"/>
  <c r="K102" i="2"/>
  <c r="L102" i="2"/>
  <c r="C103" i="2"/>
  <c r="D103" i="2"/>
  <c r="E103" i="2"/>
  <c r="F103" i="2"/>
  <c r="G103" i="2"/>
  <c r="H103" i="2"/>
  <c r="I103" i="2"/>
  <c r="J103" i="2"/>
  <c r="K103" i="2"/>
  <c r="L103" i="2"/>
  <c r="C104" i="2"/>
  <c r="D104" i="2"/>
  <c r="E104" i="2"/>
  <c r="F104" i="2"/>
  <c r="I104" i="2"/>
  <c r="J104" i="2"/>
  <c r="K104" i="2"/>
  <c r="L104" i="2"/>
  <c r="C105" i="2"/>
  <c r="D105" i="2"/>
  <c r="E105" i="2"/>
  <c r="F105" i="2"/>
  <c r="G105" i="2"/>
  <c r="H105" i="2"/>
  <c r="I105" i="2"/>
  <c r="J105" i="2"/>
  <c r="K105" i="2"/>
  <c r="L105" i="2"/>
  <c r="C106" i="2"/>
  <c r="D106" i="2"/>
  <c r="E106" i="2"/>
  <c r="F106" i="2"/>
  <c r="G106" i="2"/>
  <c r="H106" i="2"/>
  <c r="I106" i="2"/>
  <c r="J106" i="2"/>
  <c r="K106" i="2"/>
  <c r="C107" i="2"/>
  <c r="D107" i="2"/>
  <c r="E107" i="2"/>
  <c r="F107" i="2"/>
  <c r="G107" i="2"/>
  <c r="H107" i="2"/>
  <c r="I107" i="2"/>
  <c r="J107" i="2"/>
  <c r="K107" i="2"/>
  <c r="C108" i="2"/>
  <c r="D108" i="2"/>
  <c r="E108" i="2"/>
  <c r="F108" i="2"/>
  <c r="G108" i="2"/>
  <c r="H108" i="2"/>
  <c r="I108" i="2"/>
  <c r="J108" i="2"/>
  <c r="K108" i="2"/>
  <c r="L108" i="2"/>
  <c r="C109" i="2"/>
  <c r="D109" i="2"/>
  <c r="E109" i="2"/>
  <c r="F109" i="2"/>
  <c r="G109" i="2"/>
  <c r="H109" i="2"/>
  <c r="I109" i="2"/>
  <c r="J109" i="2"/>
  <c r="K109" i="2"/>
  <c r="L109" i="2"/>
  <c r="C110" i="2"/>
  <c r="D110" i="2"/>
  <c r="E110" i="2"/>
  <c r="F110" i="2"/>
  <c r="G110" i="2"/>
  <c r="H110" i="2"/>
  <c r="I110" i="2"/>
  <c r="J110" i="2"/>
  <c r="K110" i="2"/>
  <c r="L110" i="2"/>
  <c r="C111" i="2"/>
  <c r="D111" i="2"/>
  <c r="E111" i="2"/>
  <c r="F111" i="2"/>
  <c r="G111" i="2"/>
  <c r="H111" i="2"/>
  <c r="I111" i="2"/>
  <c r="J111" i="2"/>
  <c r="K111" i="2"/>
  <c r="L111" i="2"/>
  <c r="C112" i="2"/>
  <c r="D112" i="2"/>
  <c r="E112" i="2"/>
  <c r="F112" i="2"/>
  <c r="G112" i="2"/>
  <c r="H112" i="2"/>
  <c r="I112" i="2"/>
  <c r="J112" i="2"/>
  <c r="K112" i="2"/>
  <c r="L112" i="2"/>
  <c r="C113" i="2"/>
  <c r="D113" i="2"/>
  <c r="E113" i="2"/>
  <c r="F113" i="2"/>
  <c r="G113" i="2"/>
  <c r="H113" i="2"/>
  <c r="I113" i="2"/>
  <c r="J113" i="2"/>
  <c r="K113" i="2"/>
  <c r="L113" i="2"/>
  <c r="C114" i="2"/>
  <c r="D114" i="2"/>
  <c r="E114" i="2"/>
  <c r="F114" i="2"/>
  <c r="G114" i="2"/>
  <c r="H114" i="2"/>
  <c r="I114" i="2"/>
  <c r="J114" i="2"/>
  <c r="K114" i="2"/>
  <c r="L114" i="2"/>
  <c r="C115" i="2"/>
  <c r="D115" i="2"/>
  <c r="K115" i="2"/>
  <c r="L115" i="2"/>
  <c r="C116" i="2"/>
  <c r="D116" i="2"/>
  <c r="E116" i="2"/>
  <c r="I116" i="2"/>
  <c r="J116" i="2"/>
  <c r="K116" i="2"/>
  <c r="L116" i="2"/>
  <c r="C117" i="2"/>
  <c r="D117" i="2"/>
  <c r="I117" i="2"/>
  <c r="K117" i="2"/>
  <c r="L117" i="2"/>
  <c r="C118" i="2"/>
  <c r="D118" i="2"/>
  <c r="E118" i="2"/>
  <c r="F118" i="2"/>
  <c r="I118" i="2"/>
  <c r="J118" i="2"/>
  <c r="K118" i="2"/>
  <c r="L118" i="2"/>
  <c r="C119" i="2"/>
  <c r="D119" i="2"/>
  <c r="E119" i="2"/>
  <c r="F119" i="2"/>
  <c r="I119" i="2"/>
  <c r="J119" i="2"/>
  <c r="K119" i="2"/>
  <c r="L119" i="2"/>
  <c r="C120" i="2"/>
  <c r="D120" i="2"/>
  <c r="E120" i="2"/>
  <c r="F120" i="2"/>
  <c r="I120" i="2"/>
  <c r="J120" i="2"/>
  <c r="K120" i="2"/>
  <c r="L120" i="2"/>
  <c r="C121" i="2"/>
  <c r="D121" i="2"/>
  <c r="E121" i="2"/>
  <c r="F121" i="2"/>
  <c r="G121" i="2"/>
  <c r="H121" i="2"/>
  <c r="I121" i="2"/>
  <c r="J121" i="2"/>
  <c r="K121" i="2"/>
  <c r="L121" i="2"/>
  <c r="C122" i="2"/>
  <c r="D122" i="2"/>
  <c r="E122" i="2"/>
  <c r="F122" i="2"/>
  <c r="G122" i="2"/>
  <c r="H122" i="2"/>
  <c r="I122" i="2"/>
  <c r="J122" i="2"/>
  <c r="K122" i="2"/>
  <c r="L122" i="2"/>
  <c r="C123" i="2"/>
  <c r="D123" i="2"/>
  <c r="E123" i="2"/>
  <c r="F123" i="2"/>
  <c r="G123" i="2"/>
  <c r="H123" i="2"/>
  <c r="I123" i="2"/>
  <c r="J123" i="2"/>
  <c r="K123" i="2"/>
  <c r="L123" i="2"/>
  <c r="C124" i="2"/>
  <c r="D124" i="2"/>
  <c r="E124" i="2"/>
  <c r="F124" i="2"/>
  <c r="G124" i="2"/>
  <c r="H124" i="2"/>
  <c r="I124" i="2"/>
  <c r="J124" i="2"/>
  <c r="K124" i="2"/>
  <c r="L124" i="2"/>
  <c r="C125" i="2"/>
  <c r="D125" i="2"/>
  <c r="E125" i="2"/>
  <c r="F125" i="2"/>
  <c r="G125" i="2"/>
  <c r="H125" i="2"/>
  <c r="I125" i="2"/>
  <c r="J125" i="2"/>
  <c r="K125" i="2"/>
  <c r="L125" i="2"/>
  <c r="C126" i="2"/>
  <c r="D126" i="2"/>
  <c r="E126" i="2"/>
  <c r="F126" i="2"/>
  <c r="G126" i="2"/>
  <c r="H126" i="2"/>
  <c r="I126" i="2"/>
  <c r="J126" i="2"/>
  <c r="K126" i="2"/>
  <c r="C127" i="2"/>
  <c r="D127" i="2"/>
  <c r="E127" i="2"/>
  <c r="F127" i="2"/>
  <c r="G127" i="2"/>
  <c r="H127" i="2"/>
  <c r="I127" i="2"/>
  <c r="J127" i="2"/>
  <c r="K127" i="2"/>
  <c r="L127" i="2"/>
  <c r="C128" i="2"/>
  <c r="D128" i="2"/>
  <c r="E128" i="2"/>
  <c r="F128" i="2"/>
  <c r="G128" i="2"/>
  <c r="H128" i="2"/>
  <c r="I128" i="2"/>
  <c r="J128" i="2"/>
  <c r="K128" i="2"/>
  <c r="C129" i="2"/>
  <c r="D129" i="2"/>
  <c r="E129" i="2"/>
  <c r="F129" i="2"/>
  <c r="G129" i="2"/>
  <c r="H129" i="2"/>
  <c r="I129" i="2"/>
  <c r="J129" i="2"/>
  <c r="K129" i="2"/>
  <c r="L129" i="2"/>
  <c r="C130" i="2"/>
  <c r="D130" i="2"/>
  <c r="E130" i="2"/>
  <c r="F130" i="2"/>
  <c r="G130" i="2"/>
  <c r="H130" i="2"/>
  <c r="I130" i="2"/>
  <c r="J130" i="2"/>
  <c r="K130" i="2"/>
  <c r="L130" i="2"/>
  <c r="C131" i="2"/>
  <c r="D131" i="2"/>
  <c r="E131" i="2"/>
  <c r="F131" i="2"/>
  <c r="G131" i="2"/>
  <c r="H131" i="2"/>
  <c r="I131" i="2"/>
  <c r="J131" i="2"/>
  <c r="K131" i="2"/>
  <c r="L131" i="2"/>
  <c r="C132" i="2"/>
  <c r="D132" i="2"/>
  <c r="E132" i="2"/>
  <c r="F132" i="2"/>
  <c r="G132" i="2"/>
  <c r="H132" i="2"/>
  <c r="I132" i="2"/>
  <c r="J132" i="2"/>
  <c r="K132" i="2"/>
  <c r="L132" i="2"/>
  <c r="C133" i="2"/>
  <c r="D133" i="2"/>
  <c r="E133" i="2"/>
  <c r="F133" i="2"/>
  <c r="G133" i="2"/>
  <c r="H133" i="2"/>
  <c r="I133" i="2"/>
  <c r="J133" i="2"/>
  <c r="K133" i="2"/>
  <c r="L133" i="2"/>
  <c r="C134" i="2"/>
  <c r="D134" i="2"/>
  <c r="E134" i="2"/>
  <c r="F134" i="2"/>
  <c r="G134" i="2"/>
  <c r="H134" i="2"/>
  <c r="I134" i="2"/>
  <c r="J134" i="2"/>
  <c r="K134" i="2"/>
  <c r="L134" i="2"/>
  <c r="C135" i="2"/>
  <c r="D135" i="2"/>
  <c r="E135" i="2"/>
  <c r="F135" i="2"/>
  <c r="G135" i="2"/>
  <c r="H135" i="2"/>
  <c r="I135" i="2"/>
  <c r="J135" i="2"/>
  <c r="K135" i="2"/>
  <c r="L135" i="2"/>
  <c r="C136" i="2"/>
  <c r="D136" i="2"/>
  <c r="E136" i="2"/>
  <c r="F136" i="2"/>
  <c r="G136" i="2"/>
  <c r="H136" i="2"/>
  <c r="I136" i="2"/>
  <c r="J136" i="2"/>
  <c r="K136" i="2"/>
  <c r="L136" i="2"/>
  <c r="C137" i="2"/>
  <c r="D137" i="2"/>
  <c r="E137" i="2"/>
  <c r="F137" i="2"/>
  <c r="G137" i="2"/>
  <c r="H137" i="2"/>
  <c r="I137" i="2"/>
  <c r="J137" i="2"/>
  <c r="K137" i="2"/>
  <c r="L137" i="2"/>
  <c r="C138" i="2"/>
  <c r="D138" i="2"/>
  <c r="E138" i="2"/>
  <c r="F138" i="2"/>
  <c r="G138" i="2"/>
  <c r="H138" i="2"/>
  <c r="I138" i="2"/>
  <c r="J138" i="2"/>
  <c r="K138" i="2"/>
  <c r="L138" i="2"/>
  <c r="C139" i="2"/>
  <c r="D139" i="2"/>
  <c r="E139" i="2"/>
  <c r="F139" i="2"/>
  <c r="G139" i="2"/>
  <c r="H139" i="2"/>
  <c r="I139" i="2"/>
  <c r="J139" i="2"/>
  <c r="K139" i="2"/>
  <c r="L139" i="2"/>
  <c r="C140" i="2"/>
  <c r="D140" i="2"/>
  <c r="E140" i="2"/>
  <c r="F140" i="2"/>
  <c r="G140" i="2"/>
  <c r="H140" i="2"/>
  <c r="I140" i="2"/>
  <c r="J140" i="2"/>
  <c r="K140" i="2"/>
  <c r="L140" i="2"/>
  <c r="C141" i="2"/>
  <c r="D141" i="2"/>
  <c r="E141" i="2"/>
  <c r="F141" i="2"/>
  <c r="G141" i="2"/>
  <c r="H141" i="2"/>
  <c r="I141" i="2"/>
  <c r="J141" i="2"/>
  <c r="K141" i="2"/>
  <c r="L141" i="2"/>
  <c r="D2" i="2"/>
  <c r="E2" i="2"/>
  <c r="F2" i="2"/>
  <c r="G2" i="2"/>
  <c r="H2" i="2"/>
  <c r="I2" i="2"/>
  <c r="J2" i="2"/>
  <c r="K2" i="2"/>
  <c r="L2" i="2"/>
  <c r="C2" i="2"/>
  <c r="C2" i="3"/>
  <c r="E117" i="3" l="1"/>
  <c r="E115" i="3"/>
  <c r="F25" i="3"/>
  <c r="E25" i="3"/>
</calcChain>
</file>

<file path=xl/sharedStrings.xml><?xml version="1.0" encoding="utf-8"?>
<sst xmlns="http://schemas.openxmlformats.org/spreadsheetml/2006/main" count="925" uniqueCount="151">
  <si>
    <t>Upwelling</t>
  </si>
  <si>
    <t>NA</t>
  </si>
  <si>
    <t>Cycle 1</t>
  </si>
  <si>
    <t>σ</t>
  </si>
  <si>
    <t>Cycle 2</t>
  </si>
  <si>
    <t>Cycle 3</t>
  </si>
  <si>
    <t>Cycle 4</t>
  </si>
  <si>
    <t>Cycle 5</t>
  </si>
  <si>
    <t>Flow</t>
  </si>
  <si>
    <t>NH4-&gt;NO3</t>
  </si>
  <si>
    <t>NH4-&gt;Pico</t>
  </si>
  <si>
    <t>NH4-&gt;dtm</t>
  </si>
  <si>
    <t>NH4-&gt;flag</t>
  </si>
  <si>
    <t>NO3-&gt;Pico</t>
  </si>
  <si>
    <t>NO3-&gt;dtm</t>
  </si>
  <si>
    <t>NO3-&gt;flag</t>
  </si>
  <si>
    <t>bac-&gt;flag</t>
  </si>
  <si>
    <t>bac-&gt;hnf</t>
  </si>
  <si>
    <t>bac-&gt;mic</t>
  </si>
  <si>
    <t>bac-&gt;nh4</t>
  </si>
  <si>
    <t>Pico-&gt;hnf</t>
  </si>
  <si>
    <t>Pico-&gt;mic</t>
  </si>
  <si>
    <t>Pico-&gt;flag</t>
  </si>
  <si>
    <t>Pico-&gt;Salp</t>
  </si>
  <si>
    <t>Pico-&gt;dom</t>
  </si>
  <si>
    <t>Pico-&gt;sdet</t>
  </si>
  <si>
    <t>dtm-&gt;mic</t>
  </si>
  <si>
    <t>dtm-&gt;Meso</t>
  </si>
  <si>
    <t>dtm-&gt;VMMeso</t>
  </si>
  <si>
    <t>dtm-&gt;Macro</t>
  </si>
  <si>
    <t>dtm-&gt;VMMacro</t>
  </si>
  <si>
    <t>dtm-&gt;Salp</t>
  </si>
  <si>
    <t>dtm-&gt;dom</t>
  </si>
  <si>
    <t>dtm-&gt;mdet</t>
  </si>
  <si>
    <t>flag-&gt;mic</t>
  </si>
  <si>
    <t>flag-&gt;Meso</t>
  </si>
  <si>
    <t>flag-&gt;VMMeso</t>
  </si>
  <si>
    <t>flag-&gt;Macro</t>
  </si>
  <si>
    <t>flag-&gt;VMMacro</t>
  </si>
  <si>
    <t>flag-&gt;Salp</t>
  </si>
  <si>
    <t>flag-&gt;dom</t>
  </si>
  <si>
    <t>flag-&gt;sdet</t>
  </si>
  <si>
    <t>hnf-&gt;mic</t>
  </si>
  <si>
    <t>hnf-&gt;Meso</t>
  </si>
  <si>
    <t>hnf-&gt;VMMeso</t>
  </si>
  <si>
    <t>hnf-&gt;Macro</t>
  </si>
  <si>
    <t>hnf-&gt;VMMacro</t>
  </si>
  <si>
    <t>hnf-&gt;Salp</t>
  </si>
  <si>
    <t>hnf-&gt;nh4</t>
  </si>
  <si>
    <t>hnf-&gt;dom</t>
  </si>
  <si>
    <t>hnf-&gt;sdet</t>
  </si>
  <si>
    <t>mic-&gt;Meso</t>
  </si>
  <si>
    <t>mic-&gt;VMMeso</t>
  </si>
  <si>
    <t>mic-&gt;Macro</t>
  </si>
  <si>
    <t>mic-&gt;VMMacro</t>
  </si>
  <si>
    <t>mic-&gt;Salp</t>
  </si>
  <si>
    <t>mic-&gt;nh4</t>
  </si>
  <si>
    <t>mic-&gt;dom</t>
  </si>
  <si>
    <t>mic-&gt;sdet</t>
  </si>
  <si>
    <t>Meso-&gt;Meso</t>
  </si>
  <si>
    <t>Meso-&gt;VMMeso</t>
  </si>
  <si>
    <t>Meso-&gt;Macro</t>
  </si>
  <si>
    <t>Meso-&gt;VMMacro</t>
  </si>
  <si>
    <t>Meso-&gt;gel</t>
  </si>
  <si>
    <t>Meso-&gt;Myct</t>
  </si>
  <si>
    <t>Meso-&gt;HTL</t>
  </si>
  <si>
    <t>Meso-&gt;nh4</t>
  </si>
  <si>
    <t>Meso-&gt;dom</t>
  </si>
  <si>
    <t>Meso-&gt;mdet</t>
  </si>
  <si>
    <t>VMMeso-&gt;Meso</t>
  </si>
  <si>
    <t>VMMeso-&gt;VMMeso</t>
  </si>
  <si>
    <t>VMMeso-&gt;Macro</t>
  </si>
  <si>
    <t>VMMeso-&gt;VMMacro</t>
  </si>
  <si>
    <t>VMMeso-&gt;gel</t>
  </si>
  <si>
    <t>VMMeso-&gt;Myct</t>
  </si>
  <si>
    <t>VMMeso-&gt;HTL</t>
  </si>
  <si>
    <t>VMMeso-&gt;nh4</t>
  </si>
  <si>
    <t>VMMeso-&gt;dom</t>
  </si>
  <si>
    <t>VMMeso-&gt;mdet</t>
  </si>
  <si>
    <t>VMMeso-&gt;dnh4</t>
  </si>
  <si>
    <t>VMMeso-&gt;ddom</t>
  </si>
  <si>
    <t>Macro-&gt;gel</t>
  </si>
  <si>
    <t>Macro-&gt;Myct</t>
  </si>
  <si>
    <t>Macro-&gt;HTL</t>
  </si>
  <si>
    <t>Macro-&gt;nh4</t>
  </si>
  <si>
    <t>Macro-&gt;dom</t>
  </si>
  <si>
    <t>Macro-&gt;ldet</t>
  </si>
  <si>
    <t>VMMacro-&gt;PiscivFish</t>
  </si>
  <si>
    <t>VMMacro-&gt;gel</t>
  </si>
  <si>
    <t>VMMacro-&gt;Myct</t>
  </si>
  <si>
    <t>VMMacro-&gt;HTL</t>
  </si>
  <si>
    <t>VMMacro-&gt;nh4</t>
  </si>
  <si>
    <t>VMMacro-&gt;dom</t>
  </si>
  <si>
    <t>VMMacro-&gt;ldet</t>
  </si>
  <si>
    <t>VMMacro-&gt;dnh4</t>
  </si>
  <si>
    <t>VMMacro-&gt;ddom</t>
  </si>
  <si>
    <t>gel-&gt;Amph</t>
  </si>
  <si>
    <t>gel-&gt;Myct</t>
  </si>
  <si>
    <t>gel-&gt;GelativFish</t>
  </si>
  <si>
    <t>gel-&gt;HTL</t>
  </si>
  <si>
    <t>gel-&gt;nh4</t>
  </si>
  <si>
    <t>gel-&gt;dom</t>
  </si>
  <si>
    <t>gel-&gt;ldet</t>
  </si>
  <si>
    <t>Myct-&gt;PiscivFish</t>
  </si>
  <si>
    <t>Myct-&gt;nh4</t>
  </si>
  <si>
    <t>Myct-&gt;dom</t>
  </si>
  <si>
    <t>Myct-&gt;dnh4</t>
  </si>
  <si>
    <t>Myct-&gt;ddom</t>
  </si>
  <si>
    <t>Myct-&gt;poop</t>
  </si>
  <si>
    <t>Myct-&gt;biomass</t>
  </si>
  <si>
    <t>Salp-&gt;Amph</t>
  </si>
  <si>
    <t>Salp-&gt;Myct</t>
  </si>
  <si>
    <t>Salp-&gt;nh4</t>
  </si>
  <si>
    <t>Salp-&gt;dom</t>
  </si>
  <si>
    <t>Salp-&gt;SalpDet</t>
  </si>
  <si>
    <t>Salp-&gt;SalpMort</t>
  </si>
  <si>
    <t>Salp-&gt;HTL</t>
  </si>
  <si>
    <t>Salp-&gt;dnh4</t>
  </si>
  <si>
    <t>Salp-&gt;ddom</t>
  </si>
  <si>
    <t>SalpMort-&gt;GelativFish</t>
  </si>
  <si>
    <t>SalpMort-&gt;Sink</t>
  </si>
  <si>
    <t>Amph-&gt;PiscivFish</t>
  </si>
  <si>
    <t>Amph-&gt;Myct</t>
  </si>
  <si>
    <t>Amph-&gt;HTL</t>
  </si>
  <si>
    <t>Amph-&gt;nh4</t>
  </si>
  <si>
    <t>Amph-&gt;dom</t>
  </si>
  <si>
    <t>Amph-&gt;ldet</t>
  </si>
  <si>
    <t>PiscivFish-&gt;dnh4</t>
  </si>
  <si>
    <t>PiscivFish-&gt;ddom</t>
  </si>
  <si>
    <t>PiscivFish-&gt;poop</t>
  </si>
  <si>
    <t>PiscivFish-&gt;biomass</t>
  </si>
  <si>
    <t>GelativFish-&gt;dnh4</t>
  </si>
  <si>
    <t>GelativFish-&gt;ddom</t>
  </si>
  <si>
    <t>GelativFish-&gt;poop</t>
  </si>
  <si>
    <t>GelativFish-&gt;biomass</t>
  </si>
  <si>
    <t>dom-&gt;bac</t>
  </si>
  <si>
    <t>sdet-&gt;hnf</t>
  </si>
  <si>
    <t>sdet-&gt;mic</t>
  </si>
  <si>
    <t>sdet-&gt;dom</t>
  </si>
  <si>
    <t>mdet-&gt;mic</t>
  </si>
  <si>
    <t>mdet-&gt;Meso</t>
  </si>
  <si>
    <t>mdet-&gt;VMMeso</t>
  </si>
  <si>
    <t>mdet-&gt;dom</t>
  </si>
  <si>
    <t>mdet-&gt;Sink</t>
  </si>
  <si>
    <t>ldet-&gt;dom</t>
  </si>
  <si>
    <t>ldet-&gt;Sink</t>
  </si>
  <si>
    <t>SalpDet-&gt;dom</t>
  </si>
  <si>
    <t>SalpDet-&gt;Sink</t>
  </si>
  <si>
    <t>Units</t>
  </si>
  <si>
    <r>
      <t>(mmol N m</t>
    </r>
    <r>
      <rPr>
        <vertAlign val="superscript"/>
        <sz val="11"/>
        <rFont val="Calibri"/>
        <family val="2"/>
      </rPr>
      <t>-2</t>
    </r>
    <r>
      <rPr>
        <sz val="11"/>
        <rFont val="Calibri"/>
        <family val="2"/>
      </rPr>
      <t xml:space="preserve"> d</t>
    </r>
    <r>
      <rPr>
        <vertAlign val="superscript"/>
        <sz val="11"/>
        <rFont val="Calibri"/>
        <family val="2"/>
      </rPr>
      <t>-1</t>
    </r>
    <r>
      <rPr>
        <sz val="11"/>
        <rFont val="Calibri"/>
        <family val="2"/>
      </rPr>
      <t>)</t>
    </r>
  </si>
  <si>
    <r>
      <t>(</t>
    </r>
    <r>
      <rPr>
        <sz val="11"/>
        <rFont val="Aptos Narrow"/>
        <family val="2"/>
      </rPr>
      <t>µ</t>
    </r>
    <r>
      <rPr>
        <sz val="11"/>
        <rFont val="Calibri"/>
        <family val="2"/>
      </rPr>
      <t>mol N m</t>
    </r>
    <r>
      <rPr>
        <vertAlign val="superscript"/>
        <sz val="11"/>
        <rFont val="Calibri"/>
        <family val="2"/>
      </rPr>
      <t>-2</t>
    </r>
    <r>
      <rPr>
        <sz val="11"/>
        <rFont val="Calibri"/>
        <family val="2"/>
      </rPr>
      <t xml:space="preserve"> d</t>
    </r>
    <r>
      <rPr>
        <vertAlign val="superscript"/>
        <sz val="11"/>
        <rFont val="Calibri"/>
        <family val="2"/>
      </rPr>
      <t>-1</t>
    </r>
    <r>
      <rPr>
        <sz val="11"/>
        <rFont val="Calibri"/>
        <family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</si>
</sst>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vertAlign val="superscript"/>
      <sz val="11"/>
      <name val="Calibri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141"/>
  <sheetViews>
    <sheetView workbookViewId="0">
      <selection activeCell="L88" sqref="L88:L89"/>
    </sheetView>
  </sheetViews>
  <sheetFormatPr defaultRowHeight="14.5" x14ac:dyDescent="0.35"/>
  <cols>
    <col min="1" max="2" width="19.90625" customWidth="1"/>
    <col min="3" max="12" width="15.453125" customWidth="1"/>
  </cols>
  <sheetData>
    <row r="1" spans="1:12" x14ac:dyDescent="0.35">
      <c r="A1" s="4" t="s">
        <v>8</v>
      </c>
      <c r="B1" s="4" t="s">
        <v>148</v>
      </c>
      <c r="C1" s="4" t="s">
        <v>2</v>
      </c>
      <c r="D1" s="4" t="s">
        <v>3</v>
      </c>
      <c r="E1" s="4" t="s">
        <v>4</v>
      </c>
      <c r="F1" s="4" t="s">
        <v>3</v>
      </c>
      <c r="G1" s="4" t="s">
        <v>5</v>
      </c>
      <c r="H1" s="4" t="s">
        <v>3</v>
      </c>
      <c r="I1" s="4" t="s">
        <v>6</v>
      </c>
      <c r="J1" s="4" t="s">
        <v>3</v>
      </c>
      <c r="K1" s="4" t="s">
        <v>7</v>
      </c>
      <c r="L1" s="4" t="s">
        <v>3</v>
      </c>
    </row>
    <row r="2" spans="1:12" ht="16.5" x14ac:dyDescent="0.35">
      <c r="A2" t="s">
        <v>0</v>
      </c>
      <c r="B2" s="1" t="s">
        <v>149</v>
      </c>
      <c r="C2">
        <v>3.0779260342250643</v>
      </c>
      <c r="D2">
        <v>0.63895864992847096</v>
      </c>
      <c r="E2">
        <v>3.1295940558280919</v>
      </c>
      <c r="F2">
        <v>0.36494848334300511</v>
      </c>
      <c r="G2">
        <v>1.3764559714206657</v>
      </c>
      <c r="H2">
        <v>0.42392775279927686</v>
      </c>
      <c r="I2">
        <v>2.2764610673258212</v>
      </c>
      <c r="J2">
        <v>0.44045773166932534</v>
      </c>
      <c r="K2">
        <v>0.82334862425794308</v>
      </c>
      <c r="L2">
        <v>0.25849028912870231</v>
      </c>
    </row>
    <row r="3" spans="1:12" ht="16.5" x14ac:dyDescent="0.35">
      <c r="A3" t="s">
        <v>9</v>
      </c>
      <c r="B3" s="1" t="s">
        <v>149</v>
      </c>
      <c r="C3">
        <v>4.3781217209037955</v>
      </c>
      <c r="D3">
        <v>2.4736326362903927</v>
      </c>
      <c r="E3">
        <v>2.3988799156450828</v>
      </c>
      <c r="F3">
        <v>1.4961647725659688</v>
      </c>
      <c r="G3">
        <v>1.463629897569878</v>
      </c>
      <c r="H3">
        <v>0.99106605522601043</v>
      </c>
      <c r="I3">
        <v>3.18261417125527</v>
      </c>
      <c r="J3">
        <v>1.8664997447091747</v>
      </c>
      <c r="K3">
        <v>2.3221276534912016</v>
      </c>
      <c r="L3">
        <v>1.1058614012063985</v>
      </c>
    </row>
    <row r="4" spans="1:12" ht="16.5" x14ac:dyDescent="0.35">
      <c r="A4" t="s">
        <v>10</v>
      </c>
      <c r="B4" s="1" t="s">
        <v>149</v>
      </c>
      <c r="C4">
        <v>1.8719247357391462</v>
      </c>
      <c r="D4">
        <v>1.1599012253806262</v>
      </c>
      <c r="E4">
        <v>2.1550779283708592</v>
      </c>
      <c r="F4">
        <v>1.4032227582891774</v>
      </c>
      <c r="G4">
        <v>7.2502473923419721</v>
      </c>
      <c r="H4">
        <v>1.2139349484116091</v>
      </c>
      <c r="I4">
        <v>1.2713870034915304</v>
      </c>
      <c r="J4">
        <v>0.75057199578614819</v>
      </c>
      <c r="K4">
        <v>1.4704644356515921</v>
      </c>
      <c r="L4">
        <v>1.0079168329647212</v>
      </c>
    </row>
    <row r="5" spans="1:12" ht="16.5" x14ac:dyDescent="0.35">
      <c r="A5" t="s">
        <v>11</v>
      </c>
      <c r="B5" s="1" t="s">
        <v>149</v>
      </c>
      <c r="C5">
        <v>3.1504625480694739</v>
      </c>
      <c r="D5">
        <v>2.0454809637805531</v>
      </c>
      <c r="E5">
        <v>0.63812747384995994</v>
      </c>
      <c r="F5">
        <v>0.41125102383925533</v>
      </c>
      <c r="G5">
        <v>0.33334263933780478</v>
      </c>
      <c r="H5">
        <v>0.2498767255679358</v>
      </c>
      <c r="I5">
        <v>0.28250978515481001</v>
      </c>
      <c r="J5">
        <v>0.17227233144260906</v>
      </c>
      <c r="K5">
        <v>0.31305637302021921</v>
      </c>
      <c r="L5">
        <v>0.20846710798034968</v>
      </c>
    </row>
    <row r="6" spans="1:12" ht="16.5" x14ac:dyDescent="0.35">
      <c r="A6" t="s">
        <v>12</v>
      </c>
      <c r="B6" s="1" t="s">
        <v>149</v>
      </c>
      <c r="C6">
        <v>1.8171557995622647</v>
      </c>
      <c r="D6">
        <v>1.1484258590942149</v>
      </c>
      <c r="E6">
        <v>1.1101632831619674</v>
      </c>
      <c r="F6">
        <v>0.73826889810708651</v>
      </c>
      <c r="G6">
        <v>0.34338316538289559</v>
      </c>
      <c r="H6">
        <v>0.25858379781855045</v>
      </c>
      <c r="I6">
        <v>2.9071989259908326</v>
      </c>
      <c r="J6">
        <v>1.8058763424841677</v>
      </c>
      <c r="K6">
        <v>0.53636863425063397</v>
      </c>
      <c r="L6">
        <v>0.37577254501494511</v>
      </c>
    </row>
    <row r="7" spans="1:12" ht="16.5" x14ac:dyDescent="0.35">
      <c r="A7" t="s">
        <v>13</v>
      </c>
      <c r="B7" s="1" t="s">
        <v>149</v>
      </c>
      <c r="C7">
        <v>2.0994705706384802</v>
      </c>
      <c r="D7">
        <v>1.1804811774756223</v>
      </c>
      <c r="E7">
        <v>3.4456426386124606</v>
      </c>
      <c r="F7">
        <v>1.4482504615069267</v>
      </c>
      <c r="G7">
        <v>1.9234785701274337</v>
      </c>
      <c r="H7">
        <v>1.1403724834419418</v>
      </c>
      <c r="I7">
        <v>1.339337715538401</v>
      </c>
      <c r="J7">
        <v>0.75172218180423966</v>
      </c>
      <c r="K7">
        <v>2.231481057605047</v>
      </c>
      <c r="L7">
        <v>1.0848719698639873</v>
      </c>
    </row>
    <row r="8" spans="1:12" ht="16.5" x14ac:dyDescent="0.35">
      <c r="A8" t="s">
        <v>14</v>
      </c>
      <c r="B8" s="1" t="s">
        <v>149</v>
      </c>
      <c r="C8">
        <v>3.5427187396216224</v>
      </c>
      <c r="D8">
        <v>2.0291975200044949</v>
      </c>
      <c r="E8">
        <v>0.72111209247683594</v>
      </c>
      <c r="F8">
        <v>0.428655406282274</v>
      </c>
      <c r="G8">
        <v>0.54946975191515546</v>
      </c>
      <c r="H8">
        <v>0.26547457993392526</v>
      </c>
      <c r="I8">
        <v>0.28007119861436808</v>
      </c>
      <c r="J8">
        <v>0.17190869638662859</v>
      </c>
      <c r="K8">
        <v>0.35558757020157494</v>
      </c>
      <c r="L8">
        <v>0.21443265722997965</v>
      </c>
    </row>
    <row r="9" spans="1:12" ht="16.5" x14ac:dyDescent="0.35">
      <c r="A9" t="s">
        <v>15</v>
      </c>
      <c r="B9" s="1" t="s">
        <v>149</v>
      </c>
      <c r="C9">
        <v>1.813858444868752</v>
      </c>
      <c r="D9">
        <v>1.1360182739570397</v>
      </c>
      <c r="E9">
        <v>1.361719240383884</v>
      </c>
      <c r="F9">
        <v>0.7581429856133155</v>
      </c>
      <c r="G9">
        <v>0.36713754694795336</v>
      </c>
      <c r="H9">
        <v>0.24191035053094406</v>
      </c>
      <c r="I9">
        <v>3.8396663244283045</v>
      </c>
      <c r="J9">
        <v>1.8239214355983129</v>
      </c>
      <c r="K9">
        <v>0.55840764994252479</v>
      </c>
      <c r="L9">
        <v>0.39056805906963599</v>
      </c>
    </row>
    <row r="10" spans="1:12" ht="16.5" x14ac:dyDescent="0.35">
      <c r="A10" t="s">
        <v>16</v>
      </c>
      <c r="B10" s="1" t="s">
        <v>149</v>
      </c>
      <c r="C10">
        <v>0.33276605793165642</v>
      </c>
      <c r="D10">
        <v>0.22248687339781506</v>
      </c>
      <c r="E10">
        <v>0.36065925962966067</v>
      </c>
      <c r="F10">
        <v>0.23032682694834855</v>
      </c>
      <c r="G10">
        <v>0.19228183335130203</v>
      </c>
      <c r="H10">
        <v>0.15379999963683896</v>
      </c>
      <c r="I10">
        <v>0.28191683716077393</v>
      </c>
      <c r="J10">
        <v>0.21604248943995011</v>
      </c>
      <c r="K10">
        <v>0.19011641464573967</v>
      </c>
      <c r="L10">
        <v>0.13295413741164236</v>
      </c>
    </row>
    <row r="11" spans="1:12" ht="16.5" x14ac:dyDescent="0.35">
      <c r="A11" t="s">
        <v>17</v>
      </c>
      <c r="B11" s="1" t="s">
        <v>149</v>
      </c>
      <c r="C11">
        <v>0.37251974100705382</v>
      </c>
      <c r="D11">
        <v>0.23190269037543726</v>
      </c>
      <c r="E11">
        <v>0.38738353489208699</v>
      </c>
      <c r="F11">
        <v>0.23965853253108299</v>
      </c>
      <c r="G11">
        <v>0.59826728039951349</v>
      </c>
      <c r="H11">
        <v>0.22683287700676211</v>
      </c>
      <c r="I11">
        <v>0.47546835911518925</v>
      </c>
      <c r="J11">
        <v>0.26841368111119407</v>
      </c>
      <c r="K11">
        <v>0.21738610738490957</v>
      </c>
      <c r="L11">
        <v>0.14278564490062867</v>
      </c>
    </row>
    <row r="12" spans="1:12" ht="16.5" x14ac:dyDescent="0.35">
      <c r="A12" t="s">
        <v>18</v>
      </c>
      <c r="B12" s="1" t="s">
        <v>149</v>
      </c>
      <c r="C12">
        <v>0.17735251783047623</v>
      </c>
      <c r="D12">
        <v>0.15087377899673174</v>
      </c>
      <c r="E12">
        <v>8.502651141579895E-2</v>
      </c>
      <c r="F12">
        <v>7.4379045991428805E-2</v>
      </c>
      <c r="G12">
        <v>0.11933686070599786</v>
      </c>
      <c r="H12">
        <v>2.5052180635259373E-2</v>
      </c>
      <c r="I12">
        <v>0.22474131159790414</v>
      </c>
      <c r="J12">
        <v>0.19012695313799205</v>
      </c>
      <c r="K12">
        <v>0.12977043326941384</v>
      </c>
      <c r="L12">
        <v>0.10754225906973547</v>
      </c>
    </row>
    <row r="13" spans="1:12" ht="16.5" x14ac:dyDescent="0.35">
      <c r="A13" t="s">
        <v>19</v>
      </c>
      <c r="B13" s="1" t="s">
        <v>149</v>
      </c>
      <c r="C13">
        <v>6.7328558027421002</v>
      </c>
      <c r="D13">
        <v>1.4664068779710677</v>
      </c>
      <c r="E13">
        <v>3.4154714254305572</v>
      </c>
      <c r="F13">
        <v>0.71324521019192855</v>
      </c>
      <c r="G13">
        <v>3.9403543795480904</v>
      </c>
      <c r="H13">
        <v>0.63468424635071397</v>
      </c>
      <c r="I13">
        <v>3.6846188111605613</v>
      </c>
      <c r="J13">
        <v>0.68163854764556353</v>
      </c>
      <c r="K13">
        <v>2.414102225464525</v>
      </c>
      <c r="L13">
        <v>0.516541106457715</v>
      </c>
    </row>
    <row r="14" spans="1:12" ht="16.5" x14ac:dyDescent="0.35">
      <c r="A14" t="s">
        <v>20</v>
      </c>
      <c r="B14" s="1" t="s">
        <v>149</v>
      </c>
      <c r="C14">
        <v>1.6374187630642101</v>
      </c>
      <c r="D14">
        <v>0.4254784338341282</v>
      </c>
      <c r="E14">
        <v>2.2131277913103355</v>
      </c>
      <c r="F14">
        <v>0.47059856286916746</v>
      </c>
      <c r="G14">
        <v>6.0540261098486363</v>
      </c>
      <c r="H14">
        <v>0.95129669594929755</v>
      </c>
      <c r="I14">
        <v>1.314406492717318</v>
      </c>
      <c r="J14">
        <v>0.4120175396187391</v>
      </c>
      <c r="K14">
        <v>1.7719557774659869</v>
      </c>
      <c r="L14">
        <v>0.37663131017980966</v>
      </c>
    </row>
    <row r="15" spans="1:12" ht="16.5" x14ac:dyDescent="0.35">
      <c r="A15" t="s">
        <v>21</v>
      </c>
      <c r="B15" s="1" t="s">
        <v>149</v>
      </c>
      <c r="C15">
        <v>0.22098892589376926</v>
      </c>
      <c r="D15">
        <v>0.1980515730878806</v>
      </c>
      <c r="E15">
        <v>0.10436719118971183</v>
      </c>
      <c r="F15">
        <v>8.2655470896850575E-2</v>
      </c>
      <c r="G15">
        <v>5.1122108232870597E-2</v>
      </c>
      <c r="H15">
        <v>3.5087352715247128E-2</v>
      </c>
      <c r="I15">
        <v>0.29189866480350524</v>
      </c>
      <c r="J15">
        <v>0.25613991278543652</v>
      </c>
      <c r="K15">
        <v>0.2153751566340191</v>
      </c>
      <c r="L15">
        <v>0.1874398510278143</v>
      </c>
    </row>
    <row r="16" spans="1:12" ht="16.5" x14ac:dyDescent="0.35">
      <c r="A16" t="s">
        <v>22</v>
      </c>
      <c r="B16" s="1" t="s">
        <v>149</v>
      </c>
      <c r="C16">
        <v>0.47325067128119203</v>
      </c>
      <c r="D16">
        <v>0.35418573322788499</v>
      </c>
      <c r="E16">
        <v>0.85319463686582542</v>
      </c>
      <c r="F16">
        <v>0.49100147656790583</v>
      </c>
      <c r="G16">
        <v>0.23965554196311872</v>
      </c>
      <c r="H16">
        <v>0.18646211285930331</v>
      </c>
      <c r="I16">
        <v>0.39336464003333443</v>
      </c>
      <c r="J16">
        <v>0.30479502576815454</v>
      </c>
      <c r="K16">
        <v>0.37670355719479026</v>
      </c>
      <c r="L16">
        <v>0.2650117825108359</v>
      </c>
    </row>
    <row r="17" spans="1:12" ht="16.5" x14ac:dyDescent="0.35">
      <c r="A17" t="s">
        <v>23</v>
      </c>
      <c r="B17" s="1" t="s">
        <v>149</v>
      </c>
      <c r="C17">
        <v>6.9282919638536583E-2</v>
      </c>
      <c r="D17">
        <v>3.3813693991186874E-2</v>
      </c>
      <c r="E17">
        <v>0.20661574471826105</v>
      </c>
      <c r="F17">
        <v>0.12448379494815678</v>
      </c>
      <c r="G17">
        <v>3.7523616513059472E-3</v>
      </c>
      <c r="H17">
        <v>2.225165811204926E-3</v>
      </c>
      <c r="I17">
        <v>7.1644572245966862E-2</v>
      </c>
      <c r="J17">
        <v>3.5926933233033739E-2</v>
      </c>
      <c r="K17">
        <v>4.617596464196214E-4</v>
      </c>
      <c r="L17">
        <v>3.1958124844964518E-4</v>
      </c>
    </row>
    <row r="18" spans="1:12" ht="16.5" x14ac:dyDescent="0.35">
      <c r="A18" t="s">
        <v>24</v>
      </c>
      <c r="B18" s="1" t="s">
        <v>149</v>
      </c>
      <c r="C18">
        <v>0.80923698379259079</v>
      </c>
      <c r="D18">
        <v>0.41743837623257035</v>
      </c>
      <c r="E18">
        <v>1.4123294928931514</v>
      </c>
      <c r="F18">
        <v>0.60103473673933638</v>
      </c>
      <c r="G18">
        <v>0.84376091995521652</v>
      </c>
      <c r="H18">
        <v>0.61787322047424786</v>
      </c>
      <c r="I18">
        <v>0.24492945970203203</v>
      </c>
      <c r="J18">
        <v>0.1719930217058383</v>
      </c>
      <c r="K18">
        <v>0.91412294276907369</v>
      </c>
      <c r="L18">
        <v>0.43353418071896083</v>
      </c>
    </row>
    <row r="19" spans="1:12" ht="16.5" x14ac:dyDescent="0.35">
      <c r="A19" t="s">
        <v>25</v>
      </c>
      <c r="B19" s="1" t="s">
        <v>149</v>
      </c>
      <c r="C19">
        <v>0.76121704270732982</v>
      </c>
      <c r="D19">
        <v>0.47791181170921448</v>
      </c>
      <c r="E19">
        <v>0.81108571000602503</v>
      </c>
      <c r="F19">
        <v>0.35611723964916225</v>
      </c>
      <c r="G19">
        <v>1.9814089206894656</v>
      </c>
      <c r="H19">
        <v>0.9287787907725904</v>
      </c>
      <c r="I19">
        <v>0.29448088952778345</v>
      </c>
      <c r="J19">
        <v>0.25342239782307258</v>
      </c>
      <c r="K19">
        <v>0.42332629954635598</v>
      </c>
      <c r="L19">
        <v>0.28573021207688337</v>
      </c>
    </row>
    <row r="20" spans="1:12" ht="16.5" x14ac:dyDescent="0.35">
      <c r="A20" t="s">
        <v>26</v>
      </c>
      <c r="B20" s="1" t="s">
        <v>149</v>
      </c>
      <c r="C20">
        <v>0.90020502237200639</v>
      </c>
      <c r="D20">
        <v>0.46198618157134319</v>
      </c>
      <c r="E20">
        <v>6.8411689886681268E-2</v>
      </c>
      <c r="F20">
        <v>3.2380343846002753E-2</v>
      </c>
      <c r="G20">
        <v>0.13276178618795373</v>
      </c>
      <c r="H20">
        <v>0.10870792940292308</v>
      </c>
      <c r="I20">
        <v>0.1331150340296815</v>
      </c>
      <c r="J20">
        <v>8.1123034160351992E-2</v>
      </c>
      <c r="K20">
        <v>9.4921747799081621E-2</v>
      </c>
      <c r="L20">
        <v>7.1691733709842762E-2</v>
      </c>
    </row>
    <row r="21" spans="1:12" ht="16.5" x14ac:dyDescent="0.35">
      <c r="A21" t="s">
        <v>27</v>
      </c>
      <c r="B21" s="1" t="s">
        <v>149</v>
      </c>
      <c r="C21">
        <v>0.53204928655737771</v>
      </c>
      <c r="D21">
        <v>0.3031755821153444</v>
      </c>
      <c r="E21">
        <v>0.15072391900190393</v>
      </c>
      <c r="F21">
        <v>0.13338771373163616</v>
      </c>
      <c r="G21">
        <v>6.7105647275853497E-2</v>
      </c>
      <c r="H21">
        <v>5.7546343845799042E-2</v>
      </c>
      <c r="I21">
        <v>9.643975730546972E-2</v>
      </c>
      <c r="J21">
        <v>7.6905356396777716E-2</v>
      </c>
      <c r="K21">
        <v>9.6129395745567336E-2</v>
      </c>
      <c r="L21">
        <v>8.205398886950685E-2</v>
      </c>
    </row>
    <row r="22" spans="1:12" ht="16.5" x14ac:dyDescent="0.35">
      <c r="A22" t="s">
        <v>28</v>
      </c>
      <c r="B22" s="1" t="s">
        <v>149</v>
      </c>
      <c r="C22" s="2" t="s">
        <v>1</v>
      </c>
      <c r="D22" s="2" t="s">
        <v>1</v>
      </c>
      <c r="E22">
        <v>0.14908582720212366</v>
      </c>
      <c r="F22">
        <v>0.13033221127106892</v>
      </c>
      <c r="G22">
        <v>5.3870984117485587E-2</v>
      </c>
      <c r="H22">
        <v>4.2635141101447151E-2</v>
      </c>
      <c r="I22">
        <v>6.1379772722608965E-2</v>
      </c>
      <c r="J22">
        <v>5.2110144976943121E-2</v>
      </c>
      <c r="K22">
        <v>8.9568207927773799E-2</v>
      </c>
      <c r="L22">
        <v>7.5724265695176443E-2</v>
      </c>
    </row>
    <row r="23" spans="1:12" ht="16.5" x14ac:dyDescent="0.35">
      <c r="A23" t="s">
        <v>29</v>
      </c>
      <c r="B23" s="1" t="s">
        <v>149</v>
      </c>
      <c r="C23">
        <v>1.9448527393103633E-2</v>
      </c>
      <c r="D23">
        <v>1.5468910321347147E-2</v>
      </c>
      <c r="E23">
        <v>4.1533507331150785E-2</v>
      </c>
      <c r="F23">
        <v>3.5424744451038312E-2</v>
      </c>
      <c r="G23">
        <v>8.8814924678107497E-3</v>
      </c>
      <c r="H23">
        <v>6.8769675244771998E-3</v>
      </c>
      <c r="I23">
        <v>1.0723997397300735E-2</v>
      </c>
      <c r="J23">
        <v>8.187081935774514E-3</v>
      </c>
      <c r="K23">
        <v>2.0291113020729362E-2</v>
      </c>
      <c r="L23">
        <v>1.6150882250139598E-2</v>
      </c>
    </row>
    <row r="24" spans="1:12" ht="16.5" x14ac:dyDescent="0.35">
      <c r="A24" t="s">
        <v>30</v>
      </c>
      <c r="B24" s="1" t="s">
        <v>149</v>
      </c>
      <c r="C24">
        <v>1.0232649138796622E-2</v>
      </c>
      <c r="D24">
        <v>8.0962170944965089E-3</v>
      </c>
      <c r="E24">
        <v>3.2491252580166941E-2</v>
      </c>
      <c r="F24">
        <v>2.7003953571578098E-2</v>
      </c>
      <c r="G24">
        <v>4.9801890668382245E-3</v>
      </c>
      <c r="H24">
        <v>4.0097741415034884E-3</v>
      </c>
      <c r="I24">
        <v>6.0341634907057698E-3</v>
      </c>
      <c r="J24">
        <v>4.9984602679282201E-3</v>
      </c>
      <c r="K24">
        <v>8.597287902330702E-4</v>
      </c>
      <c r="L24">
        <v>7.3929567776747631E-4</v>
      </c>
    </row>
    <row r="25" spans="1:12" ht="16.5" x14ac:dyDescent="0.35">
      <c r="A25" t="s">
        <v>31</v>
      </c>
      <c r="B25" s="1" t="s">
        <v>149</v>
      </c>
      <c r="C25">
        <v>0.9923795608891034</v>
      </c>
      <c r="D25">
        <v>0.41402354702499899</v>
      </c>
      <c r="E25">
        <v>0.15062093644209512</v>
      </c>
      <c r="F25">
        <v>0.12945261288572912</v>
      </c>
      <c r="G25">
        <v>1.9211736935671967E-5</v>
      </c>
      <c r="H25">
        <v>1.1530039673094623E-5</v>
      </c>
      <c r="I25">
        <v>9.5791263574151936E-6</v>
      </c>
      <c r="J25">
        <v>4.6696545655315358E-6</v>
      </c>
      <c r="K25">
        <v>1.509359654069348E-3</v>
      </c>
      <c r="L25">
        <v>1.055121733311342E-3</v>
      </c>
    </row>
    <row r="26" spans="1:12" ht="16.5" x14ac:dyDescent="0.35">
      <c r="A26" t="s">
        <v>32</v>
      </c>
      <c r="B26" s="1" t="s">
        <v>149</v>
      </c>
      <c r="C26">
        <v>1.5804601336026314</v>
      </c>
      <c r="D26">
        <v>0.84345516988606406</v>
      </c>
      <c r="E26">
        <v>0.3228697414002657</v>
      </c>
      <c r="F26">
        <v>0.16892168901154689</v>
      </c>
      <c r="G26">
        <v>0.14326069425473692</v>
      </c>
      <c r="H26">
        <v>8.5968702014253717E-2</v>
      </c>
      <c r="I26">
        <v>0.10753648028162072</v>
      </c>
      <c r="J26">
        <v>6.0353992789954694E-2</v>
      </c>
      <c r="K26">
        <v>0.14647565835837956</v>
      </c>
      <c r="L26">
        <v>7.8741312741628544E-2</v>
      </c>
    </row>
    <row r="27" spans="1:12" ht="16.5" x14ac:dyDescent="0.35">
      <c r="A27" t="s">
        <v>33</v>
      </c>
      <c r="B27" s="1" t="s">
        <v>149</v>
      </c>
      <c r="C27">
        <v>2.6584061077380676</v>
      </c>
      <c r="D27">
        <v>0.97478591356400368</v>
      </c>
      <c r="E27">
        <v>0.44350269248240493</v>
      </c>
      <c r="F27">
        <v>0.23436403985203036</v>
      </c>
      <c r="G27">
        <v>0.471932386145345</v>
      </c>
      <c r="H27">
        <v>0.17640761009778497</v>
      </c>
      <c r="I27">
        <v>0.1473421941638888</v>
      </c>
      <c r="J27">
        <v>0.10250659079185069</v>
      </c>
      <c r="K27">
        <v>0.21888873192596284</v>
      </c>
      <c r="L27">
        <v>0.13523057932652766</v>
      </c>
    </row>
    <row r="28" spans="1:12" ht="16.5" x14ac:dyDescent="0.35">
      <c r="A28" t="s">
        <v>34</v>
      </c>
      <c r="B28" s="1" t="s">
        <v>149</v>
      </c>
      <c r="C28">
        <v>0.43989893685568926</v>
      </c>
      <c r="D28">
        <v>0.33205570165425791</v>
      </c>
      <c r="E28">
        <v>0.10104878994260254</v>
      </c>
      <c r="F28">
        <v>7.951375107234035E-2</v>
      </c>
      <c r="G28">
        <v>0.40338049183183483</v>
      </c>
      <c r="H28">
        <v>0.18074439479047841</v>
      </c>
      <c r="I28">
        <v>3.5313259264575589</v>
      </c>
      <c r="J28">
        <v>0.57800375043104213</v>
      </c>
      <c r="K28">
        <v>0.58853064213578166</v>
      </c>
      <c r="L28">
        <v>0.27281045328381592</v>
      </c>
    </row>
    <row r="29" spans="1:12" ht="16.5" x14ac:dyDescent="0.35">
      <c r="A29" t="s">
        <v>35</v>
      </c>
      <c r="B29" s="1" t="s">
        <v>149</v>
      </c>
      <c r="C29">
        <v>0.45514639488444059</v>
      </c>
      <c r="D29">
        <v>0.29271659605264344</v>
      </c>
      <c r="E29">
        <v>0.8529845872248204</v>
      </c>
      <c r="F29">
        <v>0.29132213385929762</v>
      </c>
      <c r="G29">
        <v>0.26489529114668381</v>
      </c>
      <c r="H29">
        <v>0.10579845898178927</v>
      </c>
      <c r="I29">
        <v>0.28458984549457056</v>
      </c>
      <c r="J29">
        <v>0.1279419111307693</v>
      </c>
      <c r="K29">
        <v>0.33907032190748443</v>
      </c>
      <c r="L29">
        <v>0.15500306194596741</v>
      </c>
    </row>
    <row r="30" spans="1:12" ht="16.5" x14ac:dyDescent="0.35">
      <c r="A30" t="s">
        <v>36</v>
      </c>
      <c r="B30" s="1" t="s">
        <v>149</v>
      </c>
      <c r="C30" s="2" t="s">
        <v>1</v>
      </c>
      <c r="D30" s="2" t="s">
        <v>1</v>
      </c>
      <c r="E30">
        <v>0.49689419025701831</v>
      </c>
      <c r="F30">
        <v>0.22368009048347964</v>
      </c>
      <c r="G30">
        <v>9.6292754927624513E-2</v>
      </c>
      <c r="H30">
        <v>4.9602938643870616E-2</v>
      </c>
      <c r="I30">
        <v>0.11274978339814661</v>
      </c>
      <c r="J30">
        <v>7.9471196165895513E-2</v>
      </c>
      <c r="K30">
        <v>0.25017009287852898</v>
      </c>
      <c r="L30">
        <v>0.12738229540205917</v>
      </c>
    </row>
    <row r="31" spans="1:12" ht="16.5" x14ac:dyDescent="0.35">
      <c r="A31" t="s">
        <v>37</v>
      </c>
      <c r="B31" s="1" t="s">
        <v>149</v>
      </c>
      <c r="C31">
        <v>1.8620059563566108E-2</v>
      </c>
      <c r="D31">
        <v>1.4309052271294793E-2</v>
      </c>
      <c r="E31">
        <v>5.3168391720324226E-2</v>
      </c>
      <c r="F31">
        <v>3.9784410009096785E-2</v>
      </c>
      <c r="G31">
        <v>7.7305534241593954E-3</v>
      </c>
      <c r="H31">
        <v>6.0380253025598025E-3</v>
      </c>
      <c r="I31">
        <v>9.6184565558575623E-3</v>
      </c>
      <c r="J31">
        <v>7.7300862878208042E-3</v>
      </c>
      <c r="K31">
        <v>2.3579354260255113E-2</v>
      </c>
      <c r="L31">
        <v>1.7822007081824486E-2</v>
      </c>
    </row>
    <row r="32" spans="1:12" ht="16.5" x14ac:dyDescent="0.35">
      <c r="A32" t="s">
        <v>38</v>
      </c>
      <c r="B32" s="1" t="s">
        <v>149</v>
      </c>
      <c r="C32">
        <v>1.011522621334586E-2</v>
      </c>
      <c r="D32">
        <v>8.1539482093298636E-3</v>
      </c>
      <c r="E32">
        <v>3.8782506911936368E-2</v>
      </c>
      <c r="F32">
        <v>3.0662741534132797E-2</v>
      </c>
      <c r="G32">
        <v>5.7293648101262272E-3</v>
      </c>
      <c r="H32">
        <v>4.401797233221056E-3</v>
      </c>
      <c r="I32">
        <v>7.1392146462343521E-3</v>
      </c>
      <c r="J32">
        <v>5.8815069127108712E-3</v>
      </c>
      <c r="K32">
        <v>8.2919924039846283E-4</v>
      </c>
      <c r="L32">
        <v>7.1412920591177188E-4</v>
      </c>
    </row>
    <row r="33" spans="1:12" ht="16.5" x14ac:dyDescent="0.35">
      <c r="A33" t="s">
        <v>39</v>
      </c>
      <c r="B33" s="1" t="s">
        <v>149</v>
      </c>
      <c r="C33">
        <v>2.4157988401920081</v>
      </c>
      <c r="D33">
        <v>0.60738309550211</v>
      </c>
      <c r="E33">
        <v>1.2277902371180438</v>
      </c>
      <c r="F33">
        <v>0.3682082493055488</v>
      </c>
      <c r="G33">
        <v>3.4324081875386242E-2</v>
      </c>
      <c r="H33">
        <v>1.3672193274180688E-2</v>
      </c>
      <c r="I33">
        <v>1.7699746085167032</v>
      </c>
      <c r="J33">
        <v>0.38951123801611992</v>
      </c>
      <c r="K33">
        <v>7.8625463363090828E-3</v>
      </c>
      <c r="L33">
        <v>1.8275469642599809E-3</v>
      </c>
    </row>
    <row r="34" spans="1:12" ht="16.5" x14ac:dyDescent="0.35">
      <c r="A34" t="s">
        <v>40</v>
      </c>
      <c r="B34" s="1" t="s">
        <v>149</v>
      </c>
      <c r="C34">
        <v>0.86248576570303703</v>
      </c>
      <c r="D34">
        <v>0.45699741893764073</v>
      </c>
      <c r="E34">
        <v>0.62904403966769995</v>
      </c>
      <c r="F34">
        <v>0.2761249295477321</v>
      </c>
      <c r="G34">
        <v>0.1767064761107639</v>
      </c>
      <c r="H34">
        <v>9.2945499879113214E-2</v>
      </c>
      <c r="I34">
        <v>1.4946494630171911</v>
      </c>
      <c r="J34">
        <v>0.65430424937828358</v>
      </c>
      <c r="K34">
        <v>0.27293365895201666</v>
      </c>
      <c r="L34">
        <v>0.14975187530104822</v>
      </c>
    </row>
    <row r="35" spans="1:12" ht="16.5" x14ac:dyDescent="0.35">
      <c r="A35" t="s">
        <v>41</v>
      </c>
      <c r="B35" s="1" t="s">
        <v>149</v>
      </c>
      <c r="C35">
        <v>0.23496575023179397</v>
      </c>
      <c r="D35">
        <v>0.15398367334488972</v>
      </c>
      <c r="E35">
        <v>0.28602367719888611</v>
      </c>
      <c r="F35">
        <v>0.15707385273704255</v>
      </c>
      <c r="G35">
        <v>0.15339907351871829</v>
      </c>
      <c r="H35">
        <v>0.10098695538097105</v>
      </c>
      <c r="I35">
        <v>0.21209942952695932</v>
      </c>
      <c r="J35">
        <v>0.14045745763859699</v>
      </c>
      <c r="K35">
        <v>0.17862044032291127</v>
      </c>
      <c r="L35">
        <v>0.11511467557474317</v>
      </c>
    </row>
    <row r="36" spans="1:12" ht="16.5" x14ac:dyDescent="0.35">
      <c r="A36" t="s">
        <v>42</v>
      </c>
      <c r="B36" s="1" t="s">
        <v>149</v>
      </c>
      <c r="C36">
        <v>0.21166921310850245</v>
      </c>
      <c r="D36">
        <v>0.18309162418464472</v>
      </c>
      <c r="E36">
        <v>6.5501336354151951E-2</v>
      </c>
      <c r="F36">
        <v>5.7239125128338432E-2</v>
      </c>
      <c r="G36">
        <v>8.9246356130655707E-2</v>
      </c>
      <c r="H36">
        <v>0.11071377398722354</v>
      </c>
      <c r="I36">
        <v>0.17871506079350546</v>
      </c>
      <c r="J36">
        <v>0.16859272981578508</v>
      </c>
      <c r="K36">
        <v>0.12650449738425798</v>
      </c>
      <c r="L36">
        <v>0.11790825925966772</v>
      </c>
    </row>
    <row r="37" spans="1:12" ht="16.5" x14ac:dyDescent="0.35">
      <c r="A37" t="s">
        <v>43</v>
      </c>
      <c r="B37" s="1" t="s">
        <v>149</v>
      </c>
      <c r="C37">
        <v>0.3457291175537433</v>
      </c>
      <c r="D37">
        <v>0.25915079670596658</v>
      </c>
      <c r="E37">
        <v>0.29454227997902133</v>
      </c>
      <c r="F37">
        <v>0.25042566708476055</v>
      </c>
      <c r="G37">
        <v>2.4312706235540285</v>
      </c>
      <c r="H37">
        <v>0.86332324631212121</v>
      </c>
      <c r="I37">
        <v>0.30043932019738429</v>
      </c>
      <c r="J37">
        <v>0.23249448789424587</v>
      </c>
      <c r="K37">
        <v>0.29608633532426787</v>
      </c>
      <c r="L37">
        <v>0.22248916932961604</v>
      </c>
    </row>
    <row r="38" spans="1:12" ht="16.5" x14ac:dyDescent="0.35">
      <c r="A38" t="s">
        <v>44</v>
      </c>
      <c r="B38" s="1" t="s">
        <v>149</v>
      </c>
      <c r="C38" s="2" t="s">
        <v>1</v>
      </c>
      <c r="D38" s="2" t="s">
        <v>1</v>
      </c>
      <c r="E38">
        <v>0.89867275466404428</v>
      </c>
      <c r="F38">
        <v>0.37279229579999179</v>
      </c>
      <c r="G38">
        <v>1.5004898570814229</v>
      </c>
      <c r="H38">
        <v>0.76588899604269634</v>
      </c>
      <c r="I38">
        <v>0.31689209335805824</v>
      </c>
      <c r="J38">
        <v>0.24622293706733331</v>
      </c>
      <c r="K38">
        <v>0.64061849247837643</v>
      </c>
      <c r="L38">
        <v>0.29314517677865942</v>
      </c>
    </row>
    <row r="39" spans="1:12" ht="16.5" x14ac:dyDescent="0.35">
      <c r="A39" t="s">
        <v>45</v>
      </c>
      <c r="B39" s="1" t="s">
        <v>149</v>
      </c>
      <c r="C39">
        <v>2.7133828162942294E-2</v>
      </c>
      <c r="D39">
        <v>2.1641354412258059E-2</v>
      </c>
      <c r="E39">
        <v>9.0153930071065466E-2</v>
      </c>
      <c r="F39">
        <v>7.0661244397012477E-2</v>
      </c>
      <c r="G39">
        <v>1.963239421728509E-2</v>
      </c>
      <c r="H39">
        <v>1.3497160002131293E-2</v>
      </c>
      <c r="I39">
        <v>2.1640262970693852E-2</v>
      </c>
      <c r="J39">
        <v>1.8541571176022273E-2</v>
      </c>
      <c r="K39">
        <v>0.12153081849285524</v>
      </c>
      <c r="L39">
        <v>9.5181396720442596E-2</v>
      </c>
    </row>
    <row r="40" spans="1:12" ht="16.5" x14ac:dyDescent="0.35">
      <c r="A40" t="s">
        <v>46</v>
      </c>
      <c r="B40" s="1" t="s">
        <v>149</v>
      </c>
      <c r="C40">
        <v>0.15432317510328852</v>
      </c>
      <c r="D40">
        <v>0.10531239872456392</v>
      </c>
      <c r="E40">
        <v>0.2940589465153215</v>
      </c>
      <c r="F40">
        <v>0.18165847122111609</v>
      </c>
      <c r="G40">
        <v>2.8256363268401884E-2</v>
      </c>
      <c r="H40">
        <v>1.6008962916111827E-2</v>
      </c>
      <c r="I40">
        <v>4.7203894394635862E-2</v>
      </c>
      <c r="J40">
        <v>3.6420970224211029E-2</v>
      </c>
      <c r="K40">
        <v>8.6038163174746154E-4</v>
      </c>
      <c r="L40">
        <v>7.3600597632881648E-4</v>
      </c>
    </row>
    <row r="41" spans="1:12" ht="16.5" x14ac:dyDescent="0.35">
      <c r="A41" t="s">
        <v>47</v>
      </c>
      <c r="B41" s="1" t="s">
        <v>149</v>
      </c>
      <c r="C41">
        <v>0.32867257325823412</v>
      </c>
      <c r="D41">
        <v>0.25162631596916046</v>
      </c>
      <c r="E41">
        <v>0.1611524587753069</v>
      </c>
      <c r="F41">
        <v>0.1463707309299021</v>
      </c>
      <c r="G41">
        <v>9.6150520300509676E-3</v>
      </c>
      <c r="H41">
        <v>7.456632647997825E-3</v>
      </c>
      <c r="I41">
        <v>0.14514138369668619</v>
      </c>
      <c r="J41">
        <v>0.12968418024887263</v>
      </c>
      <c r="K41">
        <v>6.4165849084500345E-4</v>
      </c>
      <c r="L41">
        <v>5.1903193862237621E-4</v>
      </c>
    </row>
    <row r="42" spans="1:12" ht="16.5" x14ac:dyDescent="0.35">
      <c r="A42" t="s">
        <v>48</v>
      </c>
      <c r="B42" s="1" t="s">
        <v>149</v>
      </c>
      <c r="C42">
        <v>1.0089510247670561</v>
      </c>
      <c r="D42">
        <v>0.29724404695313755</v>
      </c>
      <c r="E42">
        <v>1.1133155505758348</v>
      </c>
      <c r="F42">
        <v>0.20343313304762387</v>
      </c>
      <c r="G42">
        <v>2.7326378560666074</v>
      </c>
      <c r="H42">
        <v>0.435311890037475</v>
      </c>
      <c r="I42">
        <v>0.79714114418621063</v>
      </c>
      <c r="J42">
        <v>0.23359103069759088</v>
      </c>
      <c r="K42">
        <v>0.84125445758484863</v>
      </c>
      <c r="L42">
        <v>0.17512451832412648</v>
      </c>
    </row>
    <row r="43" spans="1:12" ht="16.5" x14ac:dyDescent="0.35">
      <c r="A43" t="s">
        <v>49</v>
      </c>
      <c r="B43" s="1" t="s">
        <v>149</v>
      </c>
      <c r="C43">
        <v>0.55329389032330201</v>
      </c>
      <c r="D43">
        <v>0.18566294342923656</v>
      </c>
      <c r="E43">
        <v>0.62133794997464431</v>
      </c>
      <c r="F43">
        <v>0.14383650685890864</v>
      </c>
      <c r="G43">
        <v>1.5155405097657009</v>
      </c>
      <c r="H43">
        <v>0.32940304671966825</v>
      </c>
      <c r="I43">
        <v>0.45298827593496105</v>
      </c>
      <c r="J43">
        <v>0.1545489086557732</v>
      </c>
      <c r="K43">
        <v>0.47635498252642272</v>
      </c>
      <c r="L43">
        <v>0.12432534150032278</v>
      </c>
    </row>
    <row r="44" spans="1:12" ht="16.5" x14ac:dyDescent="0.35">
      <c r="A44" t="s">
        <v>50</v>
      </c>
      <c r="B44" s="1" t="s">
        <v>149</v>
      </c>
      <c r="C44">
        <v>0.81760867127156689</v>
      </c>
      <c r="D44">
        <v>0.36061230107020259</v>
      </c>
      <c r="E44">
        <v>1.2415149852687448</v>
      </c>
      <c r="F44">
        <v>0.33320416851036311</v>
      </c>
      <c r="G44">
        <v>3.0063383670899744</v>
      </c>
      <c r="H44">
        <v>0.94088138876029781</v>
      </c>
      <c r="I44">
        <v>0.76787005410599241</v>
      </c>
      <c r="J44">
        <v>0.33651489887485653</v>
      </c>
      <c r="K44">
        <v>0.89329337809421339</v>
      </c>
      <c r="L44">
        <v>0.32253188210659756</v>
      </c>
    </row>
    <row r="45" spans="1:12" ht="16.5" x14ac:dyDescent="0.35">
      <c r="A45" t="s">
        <v>51</v>
      </c>
      <c r="B45" s="1" t="s">
        <v>149</v>
      </c>
      <c r="C45">
        <v>0.30748074404293912</v>
      </c>
      <c r="D45">
        <v>0.21309747771542359</v>
      </c>
      <c r="E45">
        <v>3.7321568413556404E-2</v>
      </c>
      <c r="F45">
        <v>3.2140427977228631E-2</v>
      </c>
      <c r="G45">
        <v>9.478161143748165E-2</v>
      </c>
      <c r="H45">
        <v>6.3877083110777819E-2</v>
      </c>
      <c r="I45">
        <v>0.8744554258659536</v>
      </c>
      <c r="J45">
        <v>0.48015411357693694</v>
      </c>
      <c r="K45">
        <v>0.1625699997409023</v>
      </c>
      <c r="L45">
        <v>0.12165418465167654</v>
      </c>
    </row>
    <row r="46" spans="1:12" ht="16.5" x14ac:dyDescent="0.35">
      <c r="A46" t="s">
        <v>52</v>
      </c>
      <c r="B46" s="1" t="s">
        <v>149</v>
      </c>
      <c r="C46" s="2" t="s">
        <v>1</v>
      </c>
      <c r="D46" s="2" t="s">
        <v>1</v>
      </c>
      <c r="E46">
        <v>4.5726429991707319E-2</v>
      </c>
      <c r="F46">
        <v>3.6274375448818674E-2</v>
      </c>
      <c r="G46">
        <v>7.0165693847576108E-2</v>
      </c>
      <c r="H46">
        <v>3.9983443478716456E-2</v>
      </c>
      <c r="I46">
        <v>0.90724660771821208</v>
      </c>
      <c r="J46">
        <v>0.46929148847932628</v>
      </c>
      <c r="K46">
        <v>0.23317534000132514</v>
      </c>
      <c r="L46">
        <v>0.1404101677122411</v>
      </c>
    </row>
    <row r="47" spans="1:12" ht="16.5" x14ac:dyDescent="0.35">
      <c r="A47" t="s">
        <v>53</v>
      </c>
      <c r="B47" s="1" t="s">
        <v>149</v>
      </c>
      <c r="C47">
        <v>2.8063321833677071E-2</v>
      </c>
      <c r="D47">
        <v>2.2877487909372184E-2</v>
      </c>
      <c r="E47">
        <v>3.2169004395551967E-2</v>
      </c>
      <c r="F47">
        <v>2.7528489131634751E-2</v>
      </c>
      <c r="G47">
        <v>1.3627310630056491E-2</v>
      </c>
      <c r="H47">
        <v>1.0410019337791249E-2</v>
      </c>
      <c r="I47">
        <v>2.0972728454682423E-2</v>
      </c>
      <c r="J47">
        <v>1.8544298472705292E-2</v>
      </c>
      <c r="K47">
        <v>8.4640718738724099E-2</v>
      </c>
      <c r="L47">
        <v>6.9055112327208415E-2</v>
      </c>
    </row>
    <row r="48" spans="1:12" ht="16.5" x14ac:dyDescent="0.35">
      <c r="A48" t="s">
        <v>54</v>
      </c>
      <c r="B48" s="1" t="s">
        <v>149</v>
      </c>
      <c r="C48">
        <v>0.16720782652451147</v>
      </c>
      <c r="D48">
        <v>0.10814349047937299</v>
      </c>
      <c r="E48">
        <v>4.0652737286229819E-2</v>
      </c>
      <c r="F48">
        <v>3.5105726052648507E-2</v>
      </c>
      <c r="G48">
        <v>6.5485176522070226E-2</v>
      </c>
      <c r="H48">
        <v>2.3077484954450542E-2</v>
      </c>
      <c r="I48">
        <v>5.2558062889221137E-2</v>
      </c>
      <c r="J48">
        <v>3.8642909694768537E-2</v>
      </c>
      <c r="K48">
        <v>8.8067905868860138E-4</v>
      </c>
      <c r="L48">
        <v>7.5412203828493401E-4</v>
      </c>
    </row>
    <row r="49" spans="1:12" ht="16.5" x14ac:dyDescent="0.35">
      <c r="A49" t="s">
        <v>55</v>
      </c>
      <c r="B49" s="1" t="s">
        <v>149</v>
      </c>
      <c r="C49">
        <v>0.32761283336624769</v>
      </c>
      <c r="D49">
        <v>0.21619730283910193</v>
      </c>
      <c r="E49">
        <v>3.6995768941066293E-2</v>
      </c>
      <c r="F49">
        <v>3.3768193709321222E-2</v>
      </c>
      <c r="G49">
        <v>1.1502041572924546E-2</v>
      </c>
      <c r="H49">
        <v>9.9440597951924257E-3</v>
      </c>
      <c r="I49">
        <v>0.20957493411811834</v>
      </c>
      <c r="J49">
        <v>0.17606387241258142</v>
      </c>
      <c r="K49">
        <v>6.4694407481693899E-4</v>
      </c>
      <c r="L49">
        <v>5.1610127394952109E-4</v>
      </c>
    </row>
    <row r="50" spans="1:12" ht="16.5" x14ac:dyDescent="0.35">
      <c r="A50" t="s">
        <v>56</v>
      </c>
      <c r="B50" s="1" t="s">
        <v>149</v>
      </c>
      <c r="C50">
        <v>0.83675895799208333</v>
      </c>
      <c r="D50">
        <v>0.21344905707427983</v>
      </c>
      <c r="E50">
        <v>0.16941237920728713</v>
      </c>
      <c r="F50">
        <v>3.9865966389877133E-2</v>
      </c>
      <c r="G50">
        <v>0.3311890030328401</v>
      </c>
      <c r="H50">
        <v>8.8520058374240179E-2</v>
      </c>
      <c r="I50">
        <v>1.4515276652934499</v>
      </c>
      <c r="J50">
        <v>0.27485460019601782</v>
      </c>
      <c r="K50">
        <v>0.43068413790105425</v>
      </c>
      <c r="L50">
        <v>0.10399918020332284</v>
      </c>
    </row>
    <row r="51" spans="1:12" ht="16.5" x14ac:dyDescent="0.35">
      <c r="A51" t="s">
        <v>57</v>
      </c>
      <c r="B51" s="1" t="s">
        <v>149</v>
      </c>
      <c r="C51">
        <v>0.46185477670360892</v>
      </c>
      <c r="D51">
        <v>0.13756926272208422</v>
      </c>
      <c r="E51">
        <v>9.3598659185024385E-2</v>
      </c>
      <c r="F51">
        <v>2.6518906141998616E-2</v>
      </c>
      <c r="G51">
        <v>0.1709059723744791</v>
      </c>
      <c r="H51">
        <v>5.371379837389189E-2</v>
      </c>
      <c r="I51">
        <v>0.82459855221482703</v>
      </c>
      <c r="J51">
        <v>0.20205252204893931</v>
      </c>
      <c r="K51">
        <v>0.23917367959939462</v>
      </c>
      <c r="L51">
        <v>6.8743411917015287E-2</v>
      </c>
    </row>
    <row r="52" spans="1:12" ht="16.5" x14ac:dyDescent="0.35">
      <c r="A52" t="s">
        <v>58</v>
      </c>
      <c r="B52" s="1" t="s">
        <v>149</v>
      </c>
      <c r="C52">
        <v>0.65297785813371467</v>
      </c>
      <c r="D52">
        <v>0.24808039194940176</v>
      </c>
      <c r="E52">
        <v>0.12755366042865043</v>
      </c>
      <c r="F52">
        <v>4.5873523326814422E-2</v>
      </c>
      <c r="G52">
        <v>0.23200828705504178</v>
      </c>
      <c r="H52">
        <v>9.5999630445226553E-2</v>
      </c>
      <c r="I52">
        <v>1.6595018559731645</v>
      </c>
      <c r="J52">
        <v>0.49375833420596649</v>
      </c>
      <c r="K52">
        <v>0.38449540904861462</v>
      </c>
      <c r="L52">
        <v>0.13814563663756535</v>
      </c>
    </row>
    <row r="53" spans="1:12" ht="16.5" x14ac:dyDescent="0.35">
      <c r="A53" t="s">
        <v>59</v>
      </c>
      <c r="B53" s="1" t="s">
        <v>149</v>
      </c>
      <c r="C53">
        <v>1.6055817797829122</v>
      </c>
      <c r="D53">
        <v>0.9210128977109372</v>
      </c>
      <c r="E53">
        <v>0.15086121326828333</v>
      </c>
      <c r="F53">
        <v>0.13310001073213376</v>
      </c>
      <c r="G53">
        <v>0.32573688398040801</v>
      </c>
      <c r="H53">
        <v>0.20618645385422274</v>
      </c>
      <c r="I53">
        <v>0.30602435757644991</v>
      </c>
      <c r="J53">
        <v>0.28766694782986213</v>
      </c>
      <c r="K53">
        <v>0.14443792258882682</v>
      </c>
      <c r="L53">
        <v>0.12022091478177999</v>
      </c>
    </row>
    <row r="54" spans="1:12" ht="16.5" x14ac:dyDescent="0.35">
      <c r="A54" t="s">
        <v>60</v>
      </c>
      <c r="B54" s="1" t="s">
        <v>149</v>
      </c>
      <c r="C54" s="2" t="s">
        <v>1</v>
      </c>
      <c r="D54" s="2" t="s">
        <v>1</v>
      </c>
      <c r="E54">
        <v>0.20390657047162963</v>
      </c>
      <c r="F54">
        <v>0.15561803764918586</v>
      </c>
      <c r="G54">
        <v>0.65162226462168304</v>
      </c>
      <c r="H54">
        <v>0.38252159033299715</v>
      </c>
      <c r="I54">
        <v>0.33535216483390096</v>
      </c>
      <c r="J54">
        <v>0.21891100157473664</v>
      </c>
      <c r="K54">
        <v>0.19033130423363592</v>
      </c>
      <c r="L54">
        <v>0.14839000195707988</v>
      </c>
    </row>
    <row r="55" spans="1:12" ht="16.5" x14ac:dyDescent="0.35">
      <c r="A55" t="s">
        <v>61</v>
      </c>
      <c r="B55" s="1" t="s">
        <v>149</v>
      </c>
      <c r="C55">
        <v>2.3205384135679154E-2</v>
      </c>
      <c r="D55">
        <v>1.8470401044269214E-2</v>
      </c>
      <c r="E55">
        <v>6.1943361473205803E-2</v>
      </c>
      <c r="F55">
        <v>5.3368071426807176E-2</v>
      </c>
      <c r="G55">
        <v>1.9870178053326443E-2</v>
      </c>
      <c r="H55">
        <v>1.5949377846735283E-2</v>
      </c>
      <c r="I55">
        <v>2.0811093140008549E-2</v>
      </c>
      <c r="J55">
        <v>1.7441473201505159E-2</v>
      </c>
      <c r="K55">
        <v>8.2959854643912784E-2</v>
      </c>
      <c r="L55">
        <v>6.8186745290805234E-2</v>
      </c>
    </row>
    <row r="56" spans="1:12" ht="16.5" x14ac:dyDescent="0.35">
      <c r="A56" t="s">
        <v>62</v>
      </c>
      <c r="B56" s="1" t="s">
        <v>149</v>
      </c>
      <c r="C56">
        <v>9.5092060056731098E-2</v>
      </c>
      <c r="D56">
        <v>7.2872505231613649E-2</v>
      </c>
      <c r="E56">
        <v>0.10738755882733533</v>
      </c>
      <c r="F56">
        <v>8.9189242235504271E-2</v>
      </c>
      <c r="G56">
        <v>4.7067711507247346E-2</v>
      </c>
      <c r="H56">
        <v>3.4661890551173344E-2</v>
      </c>
      <c r="I56">
        <v>3.7473805147663089E-2</v>
      </c>
      <c r="J56">
        <v>3.0011741811924092E-2</v>
      </c>
      <c r="K56">
        <v>9.3670108485672306E-4</v>
      </c>
      <c r="L56">
        <v>7.824102001950413E-4</v>
      </c>
    </row>
    <row r="57" spans="1:12" ht="16.5" x14ac:dyDescent="0.35">
      <c r="A57" t="s">
        <v>63</v>
      </c>
      <c r="B57" s="1" t="s">
        <v>149</v>
      </c>
      <c r="C57">
        <v>9.4856147679075915E-3</v>
      </c>
      <c r="D57">
        <v>8.2997710863401703E-3</v>
      </c>
      <c r="E57">
        <v>4.198606715240244E-2</v>
      </c>
      <c r="F57">
        <v>3.3822304793052184E-2</v>
      </c>
      <c r="G57">
        <v>2.0971692431280991E-3</v>
      </c>
      <c r="H57">
        <v>1.9088458669240798E-3</v>
      </c>
      <c r="I57">
        <v>3.6584354439601779E-3</v>
      </c>
      <c r="J57">
        <v>3.3745797922052102E-3</v>
      </c>
      <c r="K57">
        <v>2.7649301950468098E-2</v>
      </c>
      <c r="L57">
        <v>2.2135657392919894E-2</v>
      </c>
    </row>
    <row r="58" spans="1:12" ht="16.5" x14ac:dyDescent="0.35">
      <c r="A58" t="s">
        <v>64</v>
      </c>
      <c r="B58" s="1" t="s">
        <v>149</v>
      </c>
      <c r="C58">
        <v>6.9758077045419406E-2</v>
      </c>
      <c r="D58">
        <v>2.7866584702046331E-2</v>
      </c>
      <c r="E58">
        <v>3.1851685765289045E-2</v>
      </c>
      <c r="F58">
        <v>1.4441449441982201E-2</v>
      </c>
      <c r="G58">
        <v>0.10300997402964263</v>
      </c>
      <c r="H58">
        <v>3.9840526854257638E-2</v>
      </c>
      <c r="I58">
        <v>4.6565335075476035E-2</v>
      </c>
      <c r="J58">
        <v>1.978678077951505E-2</v>
      </c>
      <c r="K58">
        <v>8.0534293032194226E-3</v>
      </c>
      <c r="L58">
        <v>3.5973055990264598E-3</v>
      </c>
    </row>
    <row r="59" spans="1:12" ht="16.5" x14ac:dyDescent="0.35">
      <c r="A59" t="s">
        <v>65</v>
      </c>
      <c r="B59" s="1" t="s">
        <v>149</v>
      </c>
      <c r="C59">
        <v>6.322725561076957E-3</v>
      </c>
      <c r="D59">
        <v>2.9137329221695716E-3</v>
      </c>
      <c r="E59">
        <v>3.3008062038251415E-3</v>
      </c>
      <c r="F59">
        <v>1.5097351421514322E-3</v>
      </c>
      <c r="G59">
        <v>9.0817088371395217E-3</v>
      </c>
      <c r="H59">
        <v>4.2809710348451673E-3</v>
      </c>
      <c r="I59">
        <v>4.5067042637200643E-3</v>
      </c>
      <c r="J59">
        <v>2.0964123052098728E-3</v>
      </c>
      <c r="K59">
        <v>8.1494403068833681E-4</v>
      </c>
      <c r="L59">
        <v>3.7257409222085354E-4</v>
      </c>
    </row>
    <row r="60" spans="1:12" ht="16.5" x14ac:dyDescent="0.35">
      <c r="A60" t="s">
        <v>66</v>
      </c>
      <c r="B60" s="1" t="s">
        <v>149</v>
      </c>
      <c r="C60">
        <v>1.5889421669136083</v>
      </c>
      <c r="D60">
        <v>0.55845537303244253</v>
      </c>
      <c r="E60">
        <v>0.46268783356029808</v>
      </c>
      <c r="F60">
        <v>0.10557652145386005</v>
      </c>
      <c r="G60">
        <v>1.3064979660921756</v>
      </c>
      <c r="H60">
        <v>0.23493188664196765</v>
      </c>
      <c r="I60">
        <v>0.70950954104076935</v>
      </c>
      <c r="J60">
        <v>0.17969908840037546</v>
      </c>
      <c r="K60">
        <v>0.35340553764328103</v>
      </c>
      <c r="L60">
        <v>6.398627763515323E-2</v>
      </c>
    </row>
    <row r="61" spans="1:12" ht="16.5" x14ac:dyDescent="0.35">
      <c r="A61" t="s">
        <v>67</v>
      </c>
      <c r="B61" s="1" t="s">
        <v>149</v>
      </c>
      <c r="C61">
        <v>0.87727666822349926</v>
      </c>
      <c r="D61">
        <v>0.36800655204774385</v>
      </c>
      <c r="E61">
        <v>0.25759620115922466</v>
      </c>
      <c r="F61">
        <v>7.1188248001886875E-2</v>
      </c>
      <c r="G61">
        <v>0.67480978460979846</v>
      </c>
      <c r="H61">
        <v>0.22388359660572071</v>
      </c>
      <c r="I61">
        <v>0.39225391063150733</v>
      </c>
      <c r="J61">
        <v>0.12424898169693339</v>
      </c>
      <c r="K61">
        <v>0.2152311307655968</v>
      </c>
      <c r="L61">
        <v>6.3898805185196E-2</v>
      </c>
    </row>
    <row r="62" spans="1:12" ht="16.5" x14ac:dyDescent="0.35">
      <c r="A62" t="s">
        <v>68</v>
      </c>
      <c r="B62" s="1" t="s">
        <v>149</v>
      </c>
      <c r="C62">
        <v>1.3617663008155128</v>
      </c>
      <c r="D62">
        <v>0.66100544566093411</v>
      </c>
      <c r="E62">
        <v>0.6545524611490815</v>
      </c>
      <c r="F62">
        <v>0.23167382787124002</v>
      </c>
      <c r="G62">
        <v>1.549787784616373</v>
      </c>
      <c r="H62">
        <v>0.75960553450056767</v>
      </c>
      <c r="I62">
        <v>0.95304021994071575</v>
      </c>
      <c r="J62">
        <v>0.40713766030366205</v>
      </c>
      <c r="K62">
        <v>0.47359868032825247</v>
      </c>
      <c r="L62">
        <v>0.17489730083157837</v>
      </c>
    </row>
    <row r="63" spans="1:12" ht="16.5" x14ac:dyDescent="0.35">
      <c r="A63" t="s">
        <v>69</v>
      </c>
      <c r="B63" s="1" t="s">
        <v>149</v>
      </c>
      <c r="C63" s="2" t="s">
        <v>1</v>
      </c>
      <c r="D63" s="2" t="s">
        <v>1</v>
      </c>
      <c r="E63">
        <v>0.17151676783448119</v>
      </c>
      <c r="F63">
        <v>0.14848105985079812</v>
      </c>
      <c r="G63">
        <v>0.20017574221848242</v>
      </c>
      <c r="H63">
        <v>0.1469575298009736</v>
      </c>
      <c r="I63">
        <v>0.26571101678904885</v>
      </c>
      <c r="J63">
        <v>0.20851161014107358</v>
      </c>
      <c r="K63">
        <v>0.15128123362845983</v>
      </c>
      <c r="L63">
        <v>0.12728840292506655</v>
      </c>
    </row>
    <row r="64" spans="1:12" ht="16.5" x14ac:dyDescent="0.35">
      <c r="A64" t="s">
        <v>70</v>
      </c>
      <c r="B64" s="1" t="s">
        <v>149</v>
      </c>
      <c r="C64" s="2" t="s">
        <v>1</v>
      </c>
      <c r="D64" s="2" t="s">
        <v>1</v>
      </c>
      <c r="E64">
        <v>0.40006474411660636</v>
      </c>
      <c r="F64">
        <v>0.28543285648482403</v>
      </c>
      <c r="G64">
        <v>0.4851629286983839</v>
      </c>
      <c r="H64">
        <v>0.24591609043988222</v>
      </c>
      <c r="I64">
        <v>0.5481285834443137</v>
      </c>
      <c r="J64">
        <v>0.39457835195979291</v>
      </c>
      <c r="K64">
        <v>0.51369185893699243</v>
      </c>
      <c r="L64">
        <v>0.30600403031801215</v>
      </c>
    </row>
    <row r="65" spans="1:12" ht="16.5" x14ac:dyDescent="0.35">
      <c r="A65" t="s">
        <v>71</v>
      </c>
      <c r="B65" s="1" t="s">
        <v>149</v>
      </c>
      <c r="C65" s="2" t="s">
        <v>1</v>
      </c>
      <c r="D65" s="2" t="s">
        <v>1</v>
      </c>
      <c r="E65">
        <v>6.6317737990439898E-2</v>
      </c>
      <c r="F65">
        <v>5.595001401564087E-2</v>
      </c>
      <c r="G65">
        <v>2.0947447447389588E-2</v>
      </c>
      <c r="H65">
        <v>1.6158597959109181E-2</v>
      </c>
      <c r="I65">
        <v>1.9555607130920506E-2</v>
      </c>
      <c r="J65">
        <v>1.6210178771551821E-2</v>
      </c>
      <c r="K65">
        <v>8.9229376609555086E-2</v>
      </c>
      <c r="L65">
        <v>7.3928929119873324E-2</v>
      </c>
    </row>
    <row r="66" spans="1:12" ht="16.5" x14ac:dyDescent="0.35">
      <c r="A66" t="s">
        <v>72</v>
      </c>
      <c r="B66" s="1" t="s">
        <v>149</v>
      </c>
      <c r="C66" s="2" t="s">
        <v>1</v>
      </c>
      <c r="D66" s="2" t="s">
        <v>1</v>
      </c>
      <c r="E66">
        <v>0.13027493505500753</v>
      </c>
      <c r="F66">
        <v>0.10827167481955891</v>
      </c>
      <c r="G66">
        <v>4.691139600820482E-2</v>
      </c>
      <c r="H66">
        <v>3.3404397603923192E-2</v>
      </c>
      <c r="I66">
        <v>3.5542517275599338E-2</v>
      </c>
      <c r="J66">
        <v>2.8344350412934708E-2</v>
      </c>
      <c r="K66">
        <v>9.3705864795600845E-4</v>
      </c>
      <c r="L66">
        <v>7.8220517385236253E-4</v>
      </c>
    </row>
    <row r="67" spans="1:12" ht="16.5" x14ac:dyDescent="0.35">
      <c r="A67" t="s">
        <v>73</v>
      </c>
      <c r="B67" s="1" t="s">
        <v>149</v>
      </c>
      <c r="C67" s="2" t="s">
        <v>1</v>
      </c>
      <c r="D67" s="2" t="s">
        <v>1</v>
      </c>
      <c r="E67">
        <v>4.379738168506829E-2</v>
      </c>
      <c r="F67">
        <v>3.486388004090836E-2</v>
      </c>
      <c r="G67">
        <v>2.1478260944125999E-3</v>
      </c>
      <c r="H67">
        <v>1.935463692890666E-3</v>
      </c>
      <c r="I67">
        <v>3.6549150571303741E-3</v>
      </c>
      <c r="J67">
        <v>3.3877956831711918E-3</v>
      </c>
      <c r="K67">
        <v>2.8649696040823555E-2</v>
      </c>
      <c r="L67">
        <v>2.2623455674982841E-2</v>
      </c>
    </row>
    <row r="68" spans="1:12" ht="16.5" x14ac:dyDescent="0.35">
      <c r="A68" t="s">
        <v>74</v>
      </c>
      <c r="B68" s="1" t="s">
        <v>149</v>
      </c>
      <c r="C68" s="2" t="s">
        <v>1</v>
      </c>
      <c r="D68" s="2" t="s">
        <v>1</v>
      </c>
      <c r="E68">
        <v>0.11143961235770676</v>
      </c>
      <c r="F68">
        <v>4.3805948602003618E-2</v>
      </c>
      <c r="G68">
        <v>0.1254904439686155</v>
      </c>
      <c r="H68">
        <v>4.4672829113794263E-2</v>
      </c>
      <c r="I68">
        <v>3.2644591628662345E-2</v>
      </c>
      <c r="J68">
        <v>1.4131628100549534E-2</v>
      </c>
      <c r="K68">
        <v>9.8835075448365867E-2</v>
      </c>
      <c r="L68">
        <v>2.668259725793003E-2</v>
      </c>
    </row>
    <row r="69" spans="1:12" ht="16.5" x14ac:dyDescent="0.35">
      <c r="A69" t="s">
        <v>75</v>
      </c>
      <c r="B69" s="1" t="s">
        <v>149</v>
      </c>
      <c r="C69" s="2" t="s">
        <v>1</v>
      </c>
      <c r="D69" s="2" t="s">
        <v>1</v>
      </c>
      <c r="E69">
        <v>1.0436104306198108E-2</v>
      </c>
      <c r="F69">
        <v>4.953340909160657E-3</v>
      </c>
      <c r="G69">
        <v>1.0560071161421923E-2</v>
      </c>
      <c r="H69">
        <v>4.9931587633737342E-3</v>
      </c>
      <c r="I69">
        <v>3.2246294731553609E-3</v>
      </c>
      <c r="J69">
        <v>1.4919313908234961E-3</v>
      </c>
      <c r="K69">
        <v>6.9810938363559921E-3</v>
      </c>
      <c r="L69">
        <v>3.2660367158289143E-3</v>
      </c>
    </row>
    <row r="70" spans="1:12" ht="16.5" x14ac:dyDescent="0.35">
      <c r="A70" t="s">
        <v>76</v>
      </c>
      <c r="B70" s="1" t="s">
        <v>149</v>
      </c>
      <c r="C70" s="2" t="s">
        <v>1</v>
      </c>
      <c r="D70" s="2" t="s">
        <v>1</v>
      </c>
      <c r="E70">
        <v>0.50274340728219158</v>
      </c>
      <c r="F70">
        <v>0.26704625359528211</v>
      </c>
      <c r="G70">
        <v>0.90968286406540844</v>
      </c>
      <c r="H70">
        <v>0.38272704473956198</v>
      </c>
      <c r="I70">
        <v>0.45551007077123301</v>
      </c>
      <c r="J70">
        <v>0.26184135068472358</v>
      </c>
      <c r="K70">
        <v>0.39067565287637651</v>
      </c>
      <c r="L70">
        <v>0.21381170540069103</v>
      </c>
    </row>
    <row r="71" spans="1:12" ht="16.5" x14ac:dyDescent="0.35">
      <c r="A71" t="s">
        <v>77</v>
      </c>
      <c r="B71" s="1" t="s">
        <v>149</v>
      </c>
      <c r="C71" s="2" t="s">
        <v>1</v>
      </c>
      <c r="D71" s="2" t="s">
        <v>1</v>
      </c>
      <c r="E71">
        <v>0.20843453489472008</v>
      </c>
      <c r="F71">
        <v>0.12881872624889115</v>
      </c>
      <c r="G71">
        <v>0.36033277127060193</v>
      </c>
      <c r="H71">
        <v>0.2214558050203789</v>
      </c>
      <c r="I71">
        <v>0.25679373614932088</v>
      </c>
      <c r="J71">
        <v>0.15177857996218946</v>
      </c>
      <c r="K71">
        <v>0.19766320633312823</v>
      </c>
      <c r="L71">
        <v>0.12425722387789925</v>
      </c>
    </row>
    <row r="72" spans="1:12" ht="16.5" x14ac:dyDescent="0.35">
      <c r="A72" t="s">
        <v>78</v>
      </c>
      <c r="B72" s="1" t="s">
        <v>149</v>
      </c>
      <c r="C72" s="2" t="s">
        <v>1</v>
      </c>
      <c r="D72" s="2" t="s">
        <v>1</v>
      </c>
      <c r="E72">
        <v>0.90879411738825355</v>
      </c>
      <c r="F72">
        <v>0.44343090353373216</v>
      </c>
      <c r="G72">
        <v>0.93663920393939715</v>
      </c>
      <c r="H72">
        <v>0.4279401245364518</v>
      </c>
      <c r="I72">
        <v>1.0005358861630667</v>
      </c>
      <c r="J72">
        <v>0.42728537029910696</v>
      </c>
      <c r="K72">
        <v>0.83010457068909138</v>
      </c>
      <c r="L72">
        <v>0.33993057814582517</v>
      </c>
    </row>
    <row r="73" spans="1:12" ht="16.5" x14ac:dyDescent="0.35">
      <c r="A73" t="s">
        <v>79</v>
      </c>
      <c r="B73" s="1" t="s">
        <v>149</v>
      </c>
      <c r="C73" s="2" t="s">
        <v>1</v>
      </c>
      <c r="D73" s="2" t="s">
        <v>1</v>
      </c>
      <c r="E73">
        <v>0.41845225101244965</v>
      </c>
      <c r="F73">
        <v>0.26704042924985216</v>
      </c>
      <c r="G73">
        <v>0.39765344585832818</v>
      </c>
      <c r="H73">
        <v>0.33822216387146464</v>
      </c>
      <c r="I73">
        <v>0.30864781404043451</v>
      </c>
      <c r="J73">
        <v>0.24077766595856792</v>
      </c>
      <c r="K73">
        <v>0.3242643578505468</v>
      </c>
      <c r="L73">
        <v>0.21001712398602587</v>
      </c>
    </row>
    <row r="74" spans="1:12" ht="16.5" x14ac:dyDescent="0.35">
      <c r="A74" t="s">
        <v>80</v>
      </c>
      <c r="B74" s="1" t="s">
        <v>149</v>
      </c>
      <c r="C74" s="2" t="s">
        <v>1</v>
      </c>
      <c r="D74" s="2" t="s">
        <v>1</v>
      </c>
      <c r="E74">
        <v>0.17859750438538763</v>
      </c>
      <c r="F74">
        <v>0.12131292629173093</v>
      </c>
      <c r="G74">
        <v>0.23449465172582404</v>
      </c>
      <c r="H74">
        <v>0.19137368584461389</v>
      </c>
      <c r="I74">
        <v>0.1715451549312666</v>
      </c>
      <c r="J74">
        <v>0.12304902564996074</v>
      </c>
      <c r="K74">
        <v>0.1799019115003446</v>
      </c>
      <c r="L74">
        <v>0.11918135385211345</v>
      </c>
    </row>
    <row r="75" spans="1:12" ht="16.5" x14ac:dyDescent="0.35">
      <c r="A75" t="s">
        <v>81</v>
      </c>
      <c r="B75" s="1" t="s">
        <v>149</v>
      </c>
      <c r="C75">
        <v>2.4234894118212707E-2</v>
      </c>
      <c r="D75">
        <v>8.7706190453026821E-3</v>
      </c>
      <c r="E75">
        <v>7.8786034942369229E-2</v>
      </c>
      <c r="F75">
        <v>2.9189452072253409E-2</v>
      </c>
      <c r="G75">
        <v>1.1145062294584548E-2</v>
      </c>
      <c r="H75">
        <v>3.1242358932371578E-3</v>
      </c>
      <c r="I75">
        <v>1.6946442464138518E-2</v>
      </c>
      <c r="J75">
        <v>5.0397397317944528E-3</v>
      </c>
      <c r="K75">
        <v>7.8716146005062257E-2</v>
      </c>
      <c r="L75">
        <v>2.5214002783308261E-2</v>
      </c>
    </row>
    <row r="76" spans="1:12" ht="16.5" x14ac:dyDescent="0.35">
      <c r="A76" t="s">
        <v>82</v>
      </c>
      <c r="B76" s="1" t="s">
        <v>149</v>
      </c>
      <c r="C76">
        <v>1.414597016187225E-3</v>
      </c>
      <c r="D76">
        <v>6.3528698433398909E-4</v>
      </c>
      <c r="E76">
        <v>4.621643094151192E-3</v>
      </c>
      <c r="F76">
        <v>2.0658771061596096E-3</v>
      </c>
      <c r="G76">
        <v>3.3903994455391686E-3</v>
      </c>
      <c r="H76">
        <v>1.2653453270544263E-3</v>
      </c>
      <c r="I76">
        <v>1.4327936232853796E-3</v>
      </c>
      <c r="J76">
        <v>6.2116903809284396E-4</v>
      </c>
      <c r="K76">
        <v>7.5529528332123367E-3</v>
      </c>
      <c r="L76">
        <v>3.2567454264483611E-3</v>
      </c>
    </row>
    <row r="77" spans="1:12" ht="16.5" x14ac:dyDescent="0.35">
      <c r="A77" t="s">
        <v>83</v>
      </c>
      <c r="B77" s="1" t="s">
        <v>149</v>
      </c>
      <c r="C77">
        <v>4.4916165598367884E-4</v>
      </c>
      <c r="D77">
        <v>2.0449022940821041E-4</v>
      </c>
      <c r="E77">
        <v>1.4761221067372821E-3</v>
      </c>
      <c r="F77">
        <v>6.7348846880348992E-4</v>
      </c>
      <c r="G77">
        <v>9.4059947492879461E-4</v>
      </c>
      <c r="H77">
        <v>4.0624227591691439E-4</v>
      </c>
      <c r="I77">
        <v>4.4163191116382587E-4</v>
      </c>
      <c r="J77">
        <v>1.9934082192363224E-4</v>
      </c>
      <c r="K77">
        <v>2.2576454691369662E-3</v>
      </c>
      <c r="L77">
        <v>1.0285420058108879E-3</v>
      </c>
    </row>
    <row r="78" spans="1:12" ht="16.5" x14ac:dyDescent="0.35">
      <c r="A78" t="s">
        <v>84</v>
      </c>
      <c r="B78" s="1" t="s">
        <v>149</v>
      </c>
      <c r="C78">
        <v>2.9175092345103251E-2</v>
      </c>
      <c r="D78">
        <v>4.3368599749133473E-3</v>
      </c>
      <c r="E78">
        <v>8.7707463954077081E-2</v>
      </c>
      <c r="F78">
        <v>1.6568112427327024E-2</v>
      </c>
      <c r="G78">
        <v>3.3183766456304283E-2</v>
      </c>
      <c r="H78">
        <v>1.1941213618458187E-2</v>
      </c>
      <c r="I78">
        <v>2.9312166069343872E-2</v>
      </c>
      <c r="J78">
        <v>6.002668390984605E-3</v>
      </c>
      <c r="K78">
        <v>0.12403831928256082</v>
      </c>
      <c r="L78">
        <v>3.1542319100943551E-2</v>
      </c>
    </row>
    <row r="79" spans="1:12" ht="16.5" x14ac:dyDescent="0.35">
      <c r="A79" t="s">
        <v>85</v>
      </c>
      <c r="B79" s="1" t="s">
        <v>149</v>
      </c>
      <c r="C79">
        <v>1.9919212380220735E-2</v>
      </c>
      <c r="D79">
        <v>6.0724342473284995E-3</v>
      </c>
      <c r="E79">
        <v>5.6059775094564258E-2</v>
      </c>
      <c r="F79">
        <v>1.8480750722219191E-2</v>
      </c>
      <c r="G79">
        <v>1.6751735233771471E-2</v>
      </c>
      <c r="H79">
        <v>6.6332960336069995E-3</v>
      </c>
      <c r="I79">
        <v>1.8860919367398733E-2</v>
      </c>
      <c r="J79">
        <v>6.7915423882733581E-3</v>
      </c>
      <c r="K79">
        <v>7.4776939188414035E-2</v>
      </c>
      <c r="L79">
        <v>2.8874985890637517E-2</v>
      </c>
    </row>
    <row r="80" spans="1:12" ht="16.5" x14ac:dyDescent="0.35">
      <c r="A80" t="s">
        <v>86</v>
      </c>
      <c r="B80" s="1" t="s">
        <v>149</v>
      </c>
      <c r="C80">
        <v>4.1278163573261126E-2</v>
      </c>
      <c r="D80">
        <v>1.6805033947124969E-2</v>
      </c>
      <c r="E80">
        <v>0.11663489378983927</v>
      </c>
      <c r="F80">
        <v>5.1408720550200682E-2</v>
      </c>
      <c r="G80">
        <v>2.5277818448955162E-2</v>
      </c>
      <c r="H80">
        <v>1.1762558420849095E-2</v>
      </c>
      <c r="I80">
        <v>3.6328192214133533E-2</v>
      </c>
      <c r="J80">
        <v>1.7015869156222715E-2</v>
      </c>
      <c r="K80">
        <v>0.13488923298764477</v>
      </c>
      <c r="L80">
        <v>6.518758418202672E-2</v>
      </c>
    </row>
    <row r="81" spans="1:12" ht="16.5" x14ac:dyDescent="0.35">
      <c r="A81" t="s">
        <v>87</v>
      </c>
      <c r="B81" s="1" t="s">
        <v>149</v>
      </c>
      <c r="C81">
        <v>2.3860776724497559E-3</v>
      </c>
      <c r="D81">
        <v>9.9737537182959315E-4</v>
      </c>
      <c r="E81">
        <v>1.8360061683790271E-3</v>
      </c>
      <c r="F81">
        <v>7.980647899905179E-4</v>
      </c>
      <c r="G81">
        <v>1.3948910807003387E-3</v>
      </c>
      <c r="H81">
        <v>5.8105794230610039E-4</v>
      </c>
      <c r="I81">
        <v>7.3548510634347572E-4</v>
      </c>
      <c r="J81">
        <v>3.1637200759301399E-4</v>
      </c>
      <c r="K81">
        <v>1.9695804425157041E-5</v>
      </c>
      <c r="L81">
        <v>9.010012065839547E-6</v>
      </c>
    </row>
    <row r="82" spans="1:12" ht="16.5" x14ac:dyDescent="0.35">
      <c r="A82" t="s">
        <v>88</v>
      </c>
      <c r="B82" s="1" t="s">
        <v>149</v>
      </c>
      <c r="C82">
        <v>2.9814714507337796E-2</v>
      </c>
      <c r="D82">
        <v>1.185247207289873E-2</v>
      </c>
      <c r="E82">
        <v>0.11197345589719046</v>
      </c>
      <c r="F82">
        <v>4.0617337345091938E-2</v>
      </c>
      <c r="G82">
        <v>3.5949645333006302E-3</v>
      </c>
      <c r="H82">
        <v>2.6814744806048121E-3</v>
      </c>
      <c r="I82">
        <v>1.7700797146495591E-2</v>
      </c>
      <c r="J82">
        <v>6.1618990127125291E-3</v>
      </c>
      <c r="K82">
        <v>1.164802349292842E-3</v>
      </c>
      <c r="L82">
        <v>4.2202641967278945E-4</v>
      </c>
    </row>
    <row r="83" spans="1:12" ht="16.5" x14ac:dyDescent="0.35">
      <c r="A83" t="s">
        <v>89</v>
      </c>
      <c r="B83" s="1" t="s">
        <v>149</v>
      </c>
      <c r="C83">
        <v>3.4009401752803883E-2</v>
      </c>
      <c r="D83">
        <v>1.0036915304614695E-2</v>
      </c>
      <c r="E83">
        <v>1.9325290637842888E-2</v>
      </c>
      <c r="F83">
        <v>8.2908253038526374E-3</v>
      </c>
      <c r="G83">
        <v>2.2848246947790255E-2</v>
      </c>
      <c r="H83">
        <v>4.9497517653022778E-3</v>
      </c>
      <c r="I83">
        <v>1.0157025876223571E-2</v>
      </c>
      <c r="J83">
        <v>3.3424338183751586E-3</v>
      </c>
      <c r="K83">
        <v>2.0622919270717625E-4</v>
      </c>
      <c r="L83">
        <v>9.4188933472063441E-5</v>
      </c>
    </row>
    <row r="84" spans="1:12" ht="16.5" x14ac:dyDescent="0.35">
      <c r="A84" t="s">
        <v>90</v>
      </c>
      <c r="B84" s="1" t="s">
        <v>149</v>
      </c>
      <c r="C84">
        <v>8.1817632244952469E-3</v>
      </c>
      <c r="D84">
        <v>3.3870316183642253E-3</v>
      </c>
      <c r="E84">
        <v>5.8214552906976228E-3</v>
      </c>
      <c r="F84">
        <v>2.6620725926823851E-3</v>
      </c>
      <c r="G84">
        <v>5.0970607488903009E-3</v>
      </c>
      <c r="H84">
        <v>1.9653232586220089E-3</v>
      </c>
      <c r="I84">
        <v>2.5973509865751853E-3</v>
      </c>
      <c r="J84">
        <v>1.0914974530688917E-3</v>
      </c>
      <c r="K84">
        <v>6.6762091840954379E-5</v>
      </c>
      <c r="L84">
        <v>3.0554623888670028E-5</v>
      </c>
    </row>
    <row r="85" spans="1:12" ht="16.5" x14ac:dyDescent="0.35">
      <c r="A85" t="s">
        <v>91</v>
      </c>
      <c r="B85" s="1" t="s">
        <v>149</v>
      </c>
      <c r="C85">
        <v>8.2372515443788347E-2</v>
      </c>
      <c r="D85">
        <v>5.6007187946097159E-2</v>
      </c>
      <c r="E85">
        <v>9.5532993873298777E-2</v>
      </c>
      <c r="F85">
        <v>6.5893468192260829E-2</v>
      </c>
      <c r="G85">
        <v>3.5400712425290221E-2</v>
      </c>
      <c r="H85">
        <v>2.3456326508825155E-2</v>
      </c>
      <c r="I85">
        <v>3.5645390120264457E-2</v>
      </c>
      <c r="J85">
        <v>2.4370532810156026E-2</v>
      </c>
      <c r="K85">
        <v>1.214350391059067E-3</v>
      </c>
      <c r="L85">
        <v>3.0864348471226784E-17</v>
      </c>
    </row>
    <row r="86" spans="1:12" ht="16.5" x14ac:dyDescent="0.35">
      <c r="A86" t="s">
        <v>92</v>
      </c>
      <c r="B86" s="1" t="s">
        <v>149</v>
      </c>
      <c r="C86">
        <v>4.4511399295299098E-2</v>
      </c>
      <c r="D86">
        <v>3.231305089398076E-2</v>
      </c>
      <c r="E86">
        <v>5.5814415990250318E-2</v>
      </c>
      <c r="F86">
        <v>3.9752833090163281E-2</v>
      </c>
      <c r="G86">
        <v>2.0415309455701372E-2</v>
      </c>
      <c r="H86">
        <v>1.4615576810229685E-2</v>
      </c>
      <c r="I86">
        <v>1.9450247282813686E-2</v>
      </c>
      <c r="J86">
        <v>1.3976467898860576E-2</v>
      </c>
      <c r="K86">
        <v>5.806693957599036E-4</v>
      </c>
      <c r="L86">
        <v>3.8857992679602055E-18</v>
      </c>
    </row>
    <row r="87" spans="1:12" ht="16.5" x14ac:dyDescent="0.35">
      <c r="A87" t="s">
        <v>93</v>
      </c>
      <c r="B87" s="1" t="s">
        <v>149</v>
      </c>
      <c r="C87">
        <v>0.10861402986554716</v>
      </c>
      <c r="D87">
        <v>5.2069688146452318E-2</v>
      </c>
      <c r="E87">
        <v>0.2077469284031514</v>
      </c>
      <c r="F87">
        <v>0.1091120914071992</v>
      </c>
      <c r="G87">
        <v>4.2966032759684809E-2</v>
      </c>
      <c r="H87">
        <v>1.8752372320285583E-2</v>
      </c>
      <c r="I87">
        <v>4.6255952752056767E-2</v>
      </c>
      <c r="J87">
        <v>2.2577166156138508E-2</v>
      </c>
      <c r="K87">
        <v>1.9888223465548672E-3</v>
      </c>
      <c r="L87">
        <v>5.443710338429884E-4</v>
      </c>
    </row>
    <row r="88" spans="1:12" ht="16.5" x14ac:dyDescent="0.35">
      <c r="A88" t="s">
        <v>94</v>
      </c>
      <c r="B88" s="1" t="s">
        <v>149</v>
      </c>
      <c r="C88">
        <v>8.3238231270843982E-2</v>
      </c>
      <c r="D88">
        <v>5.6362480127599909E-2</v>
      </c>
      <c r="E88">
        <v>9.4462055652568405E-2</v>
      </c>
      <c r="F88">
        <v>6.4965347008882429E-2</v>
      </c>
      <c r="G88">
        <v>4.6821324822217181E-2</v>
      </c>
      <c r="H88">
        <v>2.1095994739648929E-2</v>
      </c>
      <c r="I88">
        <v>3.5146938533651841E-2</v>
      </c>
      <c r="J88">
        <v>2.5646796938689997E-2</v>
      </c>
      <c r="K88">
        <v>3.6124840008623269E-5</v>
      </c>
      <c r="L88">
        <v>2.4425023970035579E-19</v>
      </c>
    </row>
    <row r="89" spans="1:12" ht="16.5" x14ac:dyDescent="0.35">
      <c r="A89" t="s">
        <v>95</v>
      </c>
      <c r="B89" s="1" t="s">
        <v>149</v>
      </c>
      <c r="C89">
        <v>4.3842804004108019E-2</v>
      </c>
      <c r="D89">
        <v>3.1213747040042289E-2</v>
      </c>
      <c r="E89">
        <v>5.1135335262618618E-2</v>
      </c>
      <c r="F89">
        <v>3.6537780510724246E-2</v>
      </c>
      <c r="G89">
        <v>1.9891658398274833E-2</v>
      </c>
      <c r="H89">
        <v>1.4406836459769383E-2</v>
      </c>
      <c r="I89">
        <v>1.8262469977936534E-2</v>
      </c>
      <c r="J89">
        <v>1.3585467610498319E-2</v>
      </c>
      <c r="K89">
        <v>2.6292043319885112E-5</v>
      </c>
      <c r="L89">
        <v>2.9421051600270128E-19</v>
      </c>
    </row>
    <row r="90" spans="1:12" ht="16.5" x14ac:dyDescent="0.35">
      <c r="A90" t="s">
        <v>96</v>
      </c>
      <c r="B90" s="1" t="s">
        <v>149</v>
      </c>
      <c r="C90">
        <v>1.4156099627740174E-2</v>
      </c>
      <c r="D90">
        <v>3.9391192053177685E-3</v>
      </c>
      <c r="E90">
        <v>5.8011922168993175E-4</v>
      </c>
      <c r="F90">
        <v>3.2577562679395728E-4</v>
      </c>
      <c r="G90">
        <v>3.221325862093282E-5</v>
      </c>
      <c r="H90">
        <v>8.064037371530752E-6</v>
      </c>
      <c r="I90">
        <v>4.4720813563579919E-3</v>
      </c>
      <c r="J90">
        <v>4.0843430831548068E-4</v>
      </c>
      <c r="K90">
        <v>2.3850172003760196E-2</v>
      </c>
      <c r="L90">
        <v>3.9018816720053058E-3</v>
      </c>
    </row>
    <row r="91" spans="1:12" ht="16.5" x14ac:dyDescent="0.35">
      <c r="A91" t="s">
        <v>97</v>
      </c>
      <c r="B91" s="1" t="s">
        <v>149</v>
      </c>
      <c r="C91">
        <v>1.9667112134591158E-4</v>
      </c>
      <c r="D91">
        <v>8.961083925563354E-5</v>
      </c>
      <c r="E91">
        <v>2.4248120915565698E-2</v>
      </c>
      <c r="F91">
        <v>2.7389501932857958E-3</v>
      </c>
      <c r="G91">
        <v>1.7443710196202759E-3</v>
      </c>
      <c r="H91">
        <v>6.3856998791851722E-5</v>
      </c>
      <c r="I91">
        <v>1.0770326575979968E-3</v>
      </c>
      <c r="J91">
        <v>2.6691290061609598E-4</v>
      </c>
      <c r="K91">
        <v>4.2962207848394954E-4</v>
      </c>
      <c r="L91">
        <v>1.9314657085209891E-4</v>
      </c>
    </row>
    <row r="92" spans="1:12" ht="16.5" x14ac:dyDescent="0.35">
      <c r="A92" t="s">
        <v>98</v>
      </c>
      <c r="B92" s="1" t="s">
        <v>149</v>
      </c>
      <c r="C92">
        <v>1.0834180046435222E-4</v>
      </c>
      <c r="D92">
        <v>4.9511821407440859E-5</v>
      </c>
      <c r="E92">
        <v>9.4877516922623559E-3</v>
      </c>
      <c r="F92">
        <v>2.0782839225750665E-3</v>
      </c>
      <c r="G92">
        <v>5.9132756344224306E-4</v>
      </c>
      <c r="H92">
        <v>5.2110580516483965E-5</v>
      </c>
      <c r="I92">
        <v>4.655038386401503E-4</v>
      </c>
      <c r="J92">
        <v>1.5084678105253211E-4</v>
      </c>
      <c r="K92">
        <v>3.0836293828711588E-4</v>
      </c>
      <c r="L92">
        <v>1.0431440032077012E-4</v>
      </c>
    </row>
    <row r="93" spans="1:12" ht="16.5" x14ac:dyDescent="0.35">
      <c r="A93" t="s">
        <v>99</v>
      </c>
      <c r="B93" s="1" t="s">
        <v>149</v>
      </c>
      <c r="C93">
        <v>9.7821931999745484E-5</v>
      </c>
      <c r="D93">
        <v>4.469944160946727E-5</v>
      </c>
      <c r="E93">
        <v>7.9991215571481138E-3</v>
      </c>
      <c r="F93">
        <v>1.893289736552544E-3</v>
      </c>
      <c r="G93">
        <v>4.8574987376851089E-4</v>
      </c>
      <c r="H93">
        <v>4.8401475474520304E-5</v>
      </c>
      <c r="I93">
        <v>4.0830550185132864E-4</v>
      </c>
      <c r="J93">
        <v>1.3757436001392295E-4</v>
      </c>
      <c r="K93">
        <v>2.1175595055566285E-4</v>
      </c>
      <c r="L93">
        <v>9.6669199354788258E-5</v>
      </c>
    </row>
    <row r="94" spans="1:12" ht="16.5" x14ac:dyDescent="0.35">
      <c r="A94" t="s">
        <v>100</v>
      </c>
      <c r="B94" s="1" t="s">
        <v>149</v>
      </c>
      <c r="C94">
        <v>2.1717417509253233E-2</v>
      </c>
      <c r="D94">
        <v>6.0018110178993401E-3</v>
      </c>
      <c r="E94">
        <v>0.16961099185312928</v>
      </c>
      <c r="F94">
        <v>4.3011712252385677E-3</v>
      </c>
      <c r="G94">
        <v>1.22701563711274E-2</v>
      </c>
      <c r="H94">
        <v>3.1679100288859607E-5</v>
      </c>
      <c r="I94">
        <v>2.53954951675988E-2</v>
      </c>
      <c r="J94">
        <v>8.1437780295853216E-4</v>
      </c>
      <c r="K94">
        <v>4.8380943890488727E-2</v>
      </c>
      <c r="L94">
        <v>1.5463200722998394E-2</v>
      </c>
    </row>
    <row r="95" spans="1:12" ht="16.5" x14ac:dyDescent="0.35">
      <c r="A95" t="s">
        <v>101</v>
      </c>
      <c r="B95" s="1" t="s">
        <v>149</v>
      </c>
      <c r="C95">
        <v>1.1369066634083042E-2</v>
      </c>
      <c r="D95">
        <v>3.7096207211145711E-3</v>
      </c>
      <c r="E95">
        <v>3.2090418962043211E-2</v>
      </c>
      <c r="F95">
        <v>4.9638320278597783E-3</v>
      </c>
      <c r="G95">
        <v>1.9305198829060828E-3</v>
      </c>
      <c r="H95">
        <v>3.7480200045639708E-5</v>
      </c>
      <c r="I95">
        <v>5.0581355438177036E-3</v>
      </c>
      <c r="J95">
        <v>9.4166597984352734E-4</v>
      </c>
      <c r="K95">
        <v>2.503588945910035E-2</v>
      </c>
      <c r="L95">
        <v>9.0738102909931756E-3</v>
      </c>
    </row>
    <row r="96" spans="1:12" ht="16.5" x14ac:dyDescent="0.35">
      <c r="A96" t="s">
        <v>102</v>
      </c>
      <c r="B96" s="1" t="s">
        <v>149</v>
      </c>
      <c r="C96">
        <v>1.5889804768571717E-2</v>
      </c>
      <c r="D96">
        <v>6.4817943276190273E-3</v>
      </c>
      <c r="E96">
        <v>3.2526415475190001E-2</v>
      </c>
      <c r="F96">
        <v>5.3900286505533541E-3</v>
      </c>
      <c r="G96">
        <v>1.9306830339991298E-3</v>
      </c>
      <c r="H96">
        <v>3.7712256541123767E-5</v>
      </c>
      <c r="I96">
        <v>5.0840360458607034E-3</v>
      </c>
      <c r="J96">
        <v>9.6652779503587319E-4</v>
      </c>
      <c r="K96">
        <v>3.7963200034843485E-2</v>
      </c>
      <c r="L96">
        <v>1.6352132231569103E-2</v>
      </c>
    </row>
    <row r="97" spans="1:12" ht="16.5" x14ac:dyDescent="0.35">
      <c r="A97" t="s">
        <v>103</v>
      </c>
      <c r="B97" s="1" t="s">
        <v>149</v>
      </c>
      <c r="C97">
        <v>1.5987454663699517E-2</v>
      </c>
      <c r="D97">
        <v>4.7141546259764798E-3</v>
      </c>
      <c r="E97">
        <v>1.6047621494222616E-2</v>
      </c>
      <c r="F97">
        <v>4.6817708438784914E-3</v>
      </c>
      <c r="G97">
        <v>1.3432653417063605E-2</v>
      </c>
      <c r="H97">
        <v>3.9131107382415079E-3</v>
      </c>
      <c r="I97">
        <v>1.2511943265283163E-2</v>
      </c>
      <c r="J97">
        <v>3.5715068257933086E-3</v>
      </c>
      <c r="K97">
        <v>5.627546465557973E-3</v>
      </c>
      <c r="L97">
        <v>1.5817673961117456E-3</v>
      </c>
    </row>
    <row r="98" spans="1:12" ht="16.5" x14ac:dyDescent="0.35">
      <c r="A98" t="s">
        <v>104</v>
      </c>
      <c r="B98" s="1" t="s">
        <v>149</v>
      </c>
      <c r="C98">
        <v>6.7081000229157195E-2</v>
      </c>
      <c r="D98">
        <v>4.5090700879290714E-2</v>
      </c>
      <c r="E98">
        <v>5.7153022671688057E-2</v>
      </c>
      <c r="F98">
        <v>3.9819026434910199E-2</v>
      </c>
      <c r="G98">
        <v>7.7424417516386804E-2</v>
      </c>
      <c r="H98">
        <v>4.0468443983122153E-2</v>
      </c>
      <c r="I98">
        <v>5.4486990035854561E-2</v>
      </c>
      <c r="J98">
        <v>3.3733347488783878E-2</v>
      </c>
      <c r="K98">
        <v>2.6163570566403206E-2</v>
      </c>
      <c r="L98">
        <v>1.8267431292703959E-2</v>
      </c>
    </row>
    <row r="99" spans="1:12" ht="16.5" x14ac:dyDescent="0.35">
      <c r="A99" t="s">
        <v>105</v>
      </c>
      <c r="B99" s="1" t="s">
        <v>149</v>
      </c>
      <c r="C99">
        <v>3.4617001161968426E-2</v>
      </c>
      <c r="D99">
        <v>2.4905723978310944E-2</v>
      </c>
      <c r="E99">
        <v>2.7575454139427028E-2</v>
      </c>
      <c r="F99">
        <v>2.1011447940796152E-2</v>
      </c>
      <c r="G99">
        <v>2.6313920900300693E-2</v>
      </c>
      <c r="H99">
        <v>2.091685251351047E-2</v>
      </c>
      <c r="I99">
        <v>2.6018715074511398E-2</v>
      </c>
      <c r="J99">
        <v>1.853259345719098E-2</v>
      </c>
      <c r="K99">
        <v>1.092549616302803E-2</v>
      </c>
      <c r="L99">
        <v>9.1616621358107039E-3</v>
      </c>
    </row>
    <row r="100" spans="1:12" ht="16.5" x14ac:dyDescent="0.35">
      <c r="A100" t="s">
        <v>106</v>
      </c>
      <c r="B100" s="1" t="s">
        <v>149</v>
      </c>
      <c r="C100">
        <v>6.1668146398438928E-2</v>
      </c>
      <c r="D100">
        <v>4.3364272261468287E-2</v>
      </c>
      <c r="E100">
        <v>5.796639787792604E-2</v>
      </c>
      <c r="F100">
        <v>4.0396893469676586E-2</v>
      </c>
      <c r="G100">
        <v>2.8815833357566344E-2</v>
      </c>
      <c r="H100">
        <v>2.0971757163929454E-2</v>
      </c>
      <c r="I100">
        <v>4.0112602358629623E-2</v>
      </c>
      <c r="J100">
        <v>2.9431823455311569E-2</v>
      </c>
      <c r="K100">
        <v>2.3760805711976953E-2</v>
      </c>
      <c r="L100">
        <v>1.7309021975948063E-2</v>
      </c>
    </row>
    <row r="101" spans="1:12" ht="16.5" x14ac:dyDescent="0.35">
      <c r="A101" t="s">
        <v>107</v>
      </c>
      <c r="B101" s="1" t="s">
        <v>149</v>
      </c>
      <c r="C101">
        <v>3.3505082322297423E-2</v>
      </c>
      <c r="D101">
        <v>2.4587345713273333E-2</v>
      </c>
      <c r="E101">
        <v>2.8273828180613969E-2</v>
      </c>
      <c r="F101">
        <v>2.1675754908342167E-2</v>
      </c>
      <c r="G101">
        <v>3.0181573791962901E-2</v>
      </c>
      <c r="H101">
        <v>2.2456093720814498E-2</v>
      </c>
      <c r="I101">
        <v>2.2695299531235197E-2</v>
      </c>
      <c r="J101">
        <v>1.7275278952423236E-2</v>
      </c>
      <c r="K101">
        <v>1.12469413546663E-2</v>
      </c>
      <c r="L101">
        <v>9.2256564465241636E-3</v>
      </c>
    </row>
    <row r="102" spans="1:12" ht="16.5" x14ac:dyDescent="0.35">
      <c r="A102" t="s">
        <v>108</v>
      </c>
      <c r="B102" s="1" t="s">
        <v>149</v>
      </c>
      <c r="C102">
        <v>7.5183969897546166E-2</v>
      </c>
      <c r="D102">
        <v>3.541377014012069E-2</v>
      </c>
      <c r="E102">
        <v>6.7171757198480148E-2</v>
      </c>
      <c r="F102">
        <v>3.1476182614862881E-2</v>
      </c>
      <c r="G102">
        <v>5.9001517539553953E-2</v>
      </c>
      <c r="H102">
        <v>2.8941048887382904E-2</v>
      </c>
      <c r="I102">
        <v>5.3440718076309138E-2</v>
      </c>
      <c r="J102">
        <v>2.5324904460161481E-2</v>
      </c>
      <c r="K102">
        <v>2.8828643144064789E-2</v>
      </c>
      <c r="L102">
        <v>1.4135625009380114E-2</v>
      </c>
    </row>
    <row r="103" spans="1:12" ht="16.5" x14ac:dyDescent="0.35">
      <c r="A103" t="s">
        <v>109</v>
      </c>
      <c r="B103" s="1" t="s">
        <v>149</v>
      </c>
      <c r="C103">
        <v>3.1116770602588332E-2</v>
      </c>
      <c r="D103">
        <v>2.3016305650188591E-2</v>
      </c>
      <c r="E103">
        <v>2.6826842628751818E-2</v>
      </c>
      <c r="F103">
        <v>1.9783795206652778E-2</v>
      </c>
      <c r="G103">
        <v>2.1986295481153911E-2</v>
      </c>
      <c r="H103">
        <v>1.7154793115064359E-2</v>
      </c>
      <c r="I103">
        <v>2.0957987583485872E-2</v>
      </c>
      <c r="J103">
        <v>1.5802936270908202E-2</v>
      </c>
      <c r="K103">
        <v>1.2152340413842864E-2</v>
      </c>
      <c r="L103">
        <v>8.884474594544103E-3</v>
      </c>
    </row>
    <row r="104" spans="1:12" ht="16.5" x14ac:dyDescent="0.35">
      <c r="A104" t="s">
        <v>110</v>
      </c>
      <c r="B104" s="1" t="s">
        <v>149</v>
      </c>
      <c r="C104">
        <v>8.953655910262653E-3</v>
      </c>
      <c r="D104">
        <v>5.2262649707894024E-3</v>
      </c>
      <c r="E104">
        <v>4.256239474310051E-4</v>
      </c>
      <c r="F104">
        <v>3.0554616269763707E-4</v>
      </c>
      <c r="G104">
        <v>7.3023310285706053E-6</v>
      </c>
      <c r="H104">
        <v>7.0090670017154578E-6</v>
      </c>
      <c r="I104">
        <v>1.521629939637797E-4</v>
      </c>
      <c r="J104">
        <v>1.4776944213528104E-4</v>
      </c>
      <c r="K104">
        <v>1.0577337687645556E-3</v>
      </c>
      <c r="L104">
        <v>7.9535600529749301E-4</v>
      </c>
    </row>
    <row r="105" spans="1:12" ht="16.5" x14ac:dyDescent="0.35">
      <c r="A105" t="s">
        <v>111</v>
      </c>
      <c r="B105" s="1" t="s">
        <v>149</v>
      </c>
      <c r="C105">
        <v>0.21074854415288158</v>
      </c>
      <c r="D105">
        <v>5.8125887085436624E-2</v>
      </c>
      <c r="E105">
        <v>8.939763051696642E-2</v>
      </c>
      <c r="F105">
        <v>3.1537168997361649E-2</v>
      </c>
      <c r="G105">
        <v>6.6775937799838181E-4</v>
      </c>
      <c r="H105">
        <v>3.0074883027082994E-4</v>
      </c>
      <c r="I105">
        <v>0.13775770314477886</v>
      </c>
      <c r="J105">
        <v>3.89754560382118E-2</v>
      </c>
      <c r="K105">
        <v>3.7463584907229393E-4</v>
      </c>
      <c r="L105">
        <v>1.7706732296247406E-4</v>
      </c>
    </row>
    <row r="106" spans="1:12" ht="16.5" x14ac:dyDescent="0.35">
      <c r="A106" t="s">
        <v>112</v>
      </c>
      <c r="B106" s="1" t="s">
        <v>149</v>
      </c>
      <c r="C106">
        <v>0.84043458418396577</v>
      </c>
      <c r="D106">
        <v>0.49579469772251089</v>
      </c>
      <c r="E106">
        <v>0.22819591569794614</v>
      </c>
      <c r="F106">
        <v>0.14233313258942223</v>
      </c>
      <c r="G106">
        <v>1.1940342173815701E-2</v>
      </c>
      <c r="H106">
        <v>5.8339100425925505E-3</v>
      </c>
      <c r="I106">
        <v>0.39881537120198923</v>
      </c>
      <c r="J106">
        <v>0.18273568815262567</v>
      </c>
      <c r="K106">
        <v>2.5102300475157826E-3</v>
      </c>
      <c r="L106">
        <v>2.3536841280216104E-17</v>
      </c>
    </row>
    <row r="107" spans="1:12" ht="16.5" x14ac:dyDescent="0.35">
      <c r="A107" t="s">
        <v>113</v>
      </c>
      <c r="B107" s="1" t="s">
        <v>149</v>
      </c>
      <c r="C107">
        <v>0.42406856171627394</v>
      </c>
      <c r="D107">
        <v>0.29194152810781449</v>
      </c>
      <c r="E107">
        <v>0.15287081125763127</v>
      </c>
      <c r="F107">
        <v>9.4135115694006538E-2</v>
      </c>
      <c r="G107">
        <v>7.0842020409274597E-3</v>
      </c>
      <c r="H107">
        <v>4.4714089823596568E-3</v>
      </c>
      <c r="I107">
        <v>0.21106532016626076</v>
      </c>
      <c r="J107">
        <v>0.1164226653194335</v>
      </c>
      <c r="K107">
        <v>1.3736532919095558E-3</v>
      </c>
      <c r="L107">
        <v>1.7097516779024905E-17</v>
      </c>
    </row>
    <row r="108" spans="1:12" ht="16.5" x14ac:dyDescent="0.35">
      <c r="A108" t="s">
        <v>114</v>
      </c>
      <c r="B108" s="1" t="s">
        <v>149</v>
      </c>
      <c r="C108">
        <v>0.94309579005449395</v>
      </c>
      <c r="D108">
        <v>0.29950225000713654</v>
      </c>
      <c r="E108">
        <v>0.74637128227643079</v>
      </c>
      <c r="F108">
        <v>0.17333054999681194</v>
      </c>
      <c r="G108">
        <v>1.6509089462260408E-2</v>
      </c>
      <c r="H108">
        <v>4.0824945058312873E-3</v>
      </c>
      <c r="I108">
        <v>0.92091080235610401</v>
      </c>
      <c r="J108">
        <v>0.17390112189558785</v>
      </c>
      <c r="K108">
        <v>3.9516970718889355E-3</v>
      </c>
      <c r="L108">
        <v>1.1365274433542511E-3</v>
      </c>
    </row>
    <row r="109" spans="1:12" ht="16.5" x14ac:dyDescent="0.35">
      <c r="A109" t="s">
        <v>115</v>
      </c>
      <c r="B109" s="1" t="s">
        <v>149</v>
      </c>
      <c r="C109">
        <v>0.57130824953830628</v>
      </c>
      <c r="D109">
        <v>0.25982751158702222</v>
      </c>
      <c r="E109">
        <v>0.21046421958547823</v>
      </c>
      <c r="F109">
        <v>8.8304724185614553E-2</v>
      </c>
      <c r="G109">
        <v>1.3002815414131714E-2</v>
      </c>
      <c r="H109">
        <v>4.9714972573296785E-3</v>
      </c>
      <c r="I109">
        <v>0.20801999045344574</v>
      </c>
      <c r="J109">
        <v>8.4601030513447389E-2</v>
      </c>
      <c r="K109">
        <v>1.5551113656166677E-3</v>
      </c>
      <c r="L109">
        <v>8.9128039257249604E-4</v>
      </c>
    </row>
    <row r="110" spans="1:12" ht="16.5" x14ac:dyDescent="0.35">
      <c r="A110" t="s">
        <v>116</v>
      </c>
      <c r="B110" s="1" t="s">
        <v>149</v>
      </c>
      <c r="C110">
        <v>6.8053370035873945E-2</v>
      </c>
      <c r="D110">
        <v>3.1119538066509644E-2</v>
      </c>
      <c r="E110">
        <v>3.4396708151657587E-2</v>
      </c>
      <c r="F110">
        <v>1.5716743670075438E-2</v>
      </c>
      <c r="G110">
        <v>3.271605332138387E-4</v>
      </c>
      <c r="H110">
        <v>1.4925385631329682E-4</v>
      </c>
      <c r="I110">
        <v>4.4892616806064566E-2</v>
      </c>
      <c r="J110">
        <v>2.0598393755611434E-2</v>
      </c>
      <c r="K110">
        <v>1.9160436738803458E-4</v>
      </c>
      <c r="L110">
        <v>8.895479606247259E-5</v>
      </c>
    </row>
    <row r="111" spans="1:12" ht="16.5" x14ac:dyDescent="0.35">
      <c r="A111" t="s">
        <v>117</v>
      </c>
      <c r="B111" s="1" t="s">
        <v>149</v>
      </c>
      <c r="C111">
        <v>0.70768697944117998</v>
      </c>
      <c r="D111">
        <v>0.467012936083674</v>
      </c>
      <c r="E111">
        <v>0.21185990885485412</v>
      </c>
      <c r="F111">
        <v>0.13834157720334836</v>
      </c>
      <c r="G111">
        <v>5.8236966027282663E-3</v>
      </c>
      <c r="H111">
        <v>3.8467763991999943E-3</v>
      </c>
      <c r="I111">
        <v>0.16085101816050035</v>
      </c>
      <c r="J111">
        <v>0.14175866355370975</v>
      </c>
      <c r="K111">
        <v>5.7739834654629988E-5</v>
      </c>
      <c r="L111">
        <v>9.6811913190322855E-19</v>
      </c>
    </row>
    <row r="112" spans="1:12" ht="16.5" x14ac:dyDescent="0.35">
      <c r="A112" t="s">
        <v>118</v>
      </c>
      <c r="B112" s="1" t="s">
        <v>149</v>
      </c>
      <c r="C112">
        <v>0.35939699231089539</v>
      </c>
      <c r="D112">
        <v>0.25974809981853919</v>
      </c>
      <c r="E112">
        <v>0.10919304570637034</v>
      </c>
      <c r="F112">
        <v>8.0844536949601919E-2</v>
      </c>
      <c r="G112">
        <v>3.8503810628836431E-3</v>
      </c>
      <c r="H112">
        <v>2.6766910825843141E-3</v>
      </c>
      <c r="I112">
        <v>0.11388009242074874</v>
      </c>
      <c r="J112">
        <v>9.3080784848204479E-2</v>
      </c>
      <c r="K112">
        <v>4.9862605649379042E-5</v>
      </c>
      <c r="L112">
        <v>9.159383988763344E-19</v>
      </c>
    </row>
    <row r="113" spans="1:12" ht="16.5" x14ac:dyDescent="0.35">
      <c r="A113" t="s">
        <v>119</v>
      </c>
      <c r="B113" s="1" t="s">
        <v>149</v>
      </c>
      <c r="C113">
        <v>0.11189512850010282</v>
      </c>
      <c r="D113">
        <v>3.0738879998662694E-2</v>
      </c>
      <c r="E113">
        <v>5.4211734031208526E-2</v>
      </c>
      <c r="F113">
        <v>1.6330185019957807E-2</v>
      </c>
      <c r="G113">
        <v>4.4093777814019607E-4</v>
      </c>
      <c r="H113">
        <v>1.64589681338453E-4</v>
      </c>
      <c r="I113">
        <v>7.5086148422514085E-2</v>
      </c>
      <c r="J113">
        <v>2.0344284172054521E-2</v>
      </c>
      <c r="K113">
        <v>2.6058528113271479E-4</v>
      </c>
      <c r="L113">
        <v>9.82263638727626E-5</v>
      </c>
    </row>
    <row r="114" spans="1:12" ht="16.5" x14ac:dyDescent="0.35">
      <c r="A114" t="s">
        <v>120</v>
      </c>
      <c r="B114" s="1" t="s">
        <v>149</v>
      </c>
      <c r="C114">
        <v>0.45941312103820042</v>
      </c>
      <c r="D114">
        <v>0.26116553476524201</v>
      </c>
      <c r="E114">
        <v>0.15625248555426979</v>
      </c>
      <c r="F114">
        <v>8.9212170390438467E-2</v>
      </c>
      <c r="G114">
        <v>1.2561877492087791E-2</v>
      </c>
      <c r="H114">
        <v>4.9747033760300938E-3</v>
      </c>
      <c r="I114">
        <v>0.13293384203092418</v>
      </c>
      <c r="J114">
        <v>8.5123821464432356E-2</v>
      </c>
      <c r="K114">
        <v>1.2945260863140723E-3</v>
      </c>
      <c r="L114">
        <v>8.9081675283590267E-4</v>
      </c>
    </row>
    <row r="115" spans="1:12" ht="16.5" x14ac:dyDescent="0.35">
      <c r="A115" t="s">
        <v>121</v>
      </c>
      <c r="B115" s="1" t="s">
        <v>149</v>
      </c>
      <c r="C115">
        <v>1.8812258563475907E-4</v>
      </c>
      <c r="D115">
        <v>8.1990562190692809E-5</v>
      </c>
      <c r="E115">
        <v>7.7609402562093755E-6</v>
      </c>
      <c r="F115">
        <v>3.3946774948181319E-6</v>
      </c>
      <c r="G115">
        <v>2.2107098431876868E-7</v>
      </c>
      <c r="H115">
        <v>9.1504323140197774E-8</v>
      </c>
      <c r="I115">
        <v>2.1813468186088944E-5</v>
      </c>
      <c r="J115">
        <v>8.70282102985979E-6</v>
      </c>
      <c r="K115">
        <v>1.9344071386428042E-4</v>
      </c>
      <c r="L115">
        <v>8.2985712831474084E-5</v>
      </c>
    </row>
    <row r="116" spans="1:12" ht="16.5" x14ac:dyDescent="0.35">
      <c r="A116" t="s">
        <v>122</v>
      </c>
      <c r="B116" s="1" t="s">
        <v>149</v>
      </c>
      <c r="C116">
        <v>3.0321341870540573E-3</v>
      </c>
      <c r="D116">
        <v>7.0179957776824928E-4</v>
      </c>
      <c r="E116">
        <v>1.3094146079956802E-4</v>
      </c>
      <c r="F116">
        <v>2.9658402931259643E-5</v>
      </c>
      <c r="G116">
        <v>5.012526423572411E-6</v>
      </c>
      <c r="H116">
        <v>6.5268190395010575E-7</v>
      </c>
      <c r="I116">
        <v>5.897739192827912E-4</v>
      </c>
      <c r="J116">
        <v>6.4182185812454605E-5</v>
      </c>
      <c r="K116">
        <v>3.2533991131207408E-3</v>
      </c>
      <c r="L116">
        <v>6.3889477456400808E-4</v>
      </c>
    </row>
    <row r="117" spans="1:12" ht="16.5" x14ac:dyDescent="0.35">
      <c r="A117" t="s">
        <v>123</v>
      </c>
      <c r="B117" s="1" t="s">
        <v>149</v>
      </c>
      <c r="C117">
        <v>7.1691486351739336E-4</v>
      </c>
      <c r="D117">
        <v>2.7987791218388587E-4</v>
      </c>
      <c r="E117">
        <v>3.023303189232523E-5</v>
      </c>
      <c r="F117">
        <v>1.1629505901577991E-5</v>
      </c>
      <c r="G117">
        <v>9.6037351025803608E-7</v>
      </c>
      <c r="H117">
        <v>3.1028074221173864E-7</v>
      </c>
      <c r="I117">
        <v>1.0312117774633347E-4</v>
      </c>
      <c r="J117">
        <v>2.9606754473745178E-5</v>
      </c>
      <c r="K117">
        <v>7.3836143573644919E-4</v>
      </c>
      <c r="L117">
        <v>2.7962600878626913E-4</v>
      </c>
    </row>
    <row r="118" spans="1:12" ht="16.5" x14ac:dyDescent="0.35">
      <c r="A118" t="s">
        <v>124</v>
      </c>
      <c r="B118" s="1" t="s">
        <v>149</v>
      </c>
      <c r="C118">
        <v>9.3762421485693685E-3</v>
      </c>
      <c r="D118">
        <v>2.2876218214958831E-3</v>
      </c>
      <c r="E118">
        <v>4.176169215519786E-4</v>
      </c>
      <c r="F118">
        <v>9.7067981806554484E-5</v>
      </c>
      <c r="G118">
        <v>2.1636106389913116E-5</v>
      </c>
      <c r="H118">
        <v>1.6862815181087685E-6</v>
      </c>
      <c r="I118">
        <v>1.7472408451389169E-3</v>
      </c>
      <c r="J118">
        <v>4.8380521970434968E-4</v>
      </c>
      <c r="K118">
        <v>9.587670765535846E-3</v>
      </c>
      <c r="L118">
        <v>2.5718294566267437E-3</v>
      </c>
    </row>
    <row r="119" spans="1:12" ht="16.5" x14ac:dyDescent="0.35">
      <c r="A119" t="s">
        <v>125</v>
      </c>
      <c r="B119" s="1" t="s">
        <v>149</v>
      </c>
      <c r="C119">
        <v>4.3851560557492501E-3</v>
      </c>
      <c r="D119">
        <v>1.7518126258115755E-3</v>
      </c>
      <c r="E119">
        <v>1.905350856820085E-4</v>
      </c>
      <c r="F119">
        <v>7.7279608361290967E-5</v>
      </c>
      <c r="G119">
        <v>5.7859773606743655E-6</v>
      </c>
      <c r="H119">
        <v>1.9105290851004222E-6</v>
      </c>
      <c r="I119">
        <v>8.8674909759734301E-4</v>
      </c>
      <c r="J119">
        <v>3.0021841575563607E-4</v>
      </c>
      <c r="K119">
        <v>4.7437259227002719E-3</v>
      </c>
      <c r="L119">
        <v>1.7313654836060906E-3</v>
      </c>
    </row>
    <row r="120" spans="1:12" ht="16.5" x14ac:dyDescent="0.35">
      <c r="A120" t="s">
        <v>126</v>
      </c>
      <c r="B120" s="1" t="s">
        <v>149</v>
      </c>
      <c r="C120">
        <v>5.4111856974780803E-3</v>
      </c>
      <c r="D120">
        <v>2.7363188953909274E-3</v>
      </c>
      <c r="E120">
        <v>2.2865573673081364E-4</v>
      </c>
      <c r="F120">
        <v>1.1563932991210356E-4</v>
      </c>
      <c r="G120">
        <v>5.8995111169053242E-6</v>
      </c>
      <c r="H120">
        <v>2.0110522938508249E-6</v>
      </c>
      <c r="I120">
        <v>1.2755458479041175E-3</v>
      </c>
      <c r="J120">
        <v>5.2398734488901878E-4</v>
      </c>
      <c r="K120">
        <v>6.3913078215671474E-3</v>
      </c>
      <c r="L120">
        <v>2.9436836816860929E-3</v>
      </c>
    </row>
    <row r="121" spans="1:12" ht="16.5" x14ac:dyDescent="0.35">
      <c r="A121" t="s">
        <v>127</v>
      </c>
      <c r="B121" s="1" t="s">
        <v>149</v>
      </c>
      <c r="C121">
        <v>7.1098311732191843E-3</v>
      </c>
      <c r="D121">
        <v>2.6963443730965942E-3</v>
      </c>
      <c r="E121">
        <v>6.8507711057367851E-3</v>
      </c>
      <c r="F121">
        <v>2.635858580073789E-3</v>
      </c>
      <c r="G121">
        <v>5.6678208309742005E-3</v>
      </c>
      <c r="H121">
        <v>2.1724396794261707E-3</v>
      </c>
      <c r="I121">
        <v>5.115518617559274E-3</v>
      </c>
      <c r="J121">
        <v>1.9874756627362611E-3</v>
      </c>
      <c r="K121">
        <v>2.2339153121649913E-3</v>
      </c>
      <c r="L121">
        <v>8.7382491268299476E-4</v>
      </c>
    </row>
    <row r="122" spans="1:12" ht="16.5" x14ac:dyDescent="0.35">
      <c r="A122" t="s">
        <v>128</v>
      </c>
      <c r="B122" s="1" t="s">
        <v>149</v>
      </c>
      <c r="C122">
        <v>3.5943219802332645E-3</v>
      </c>
      <c r="D122">
        <v>1.5377176268687252E-3</v>
      </c>
      <c r="E122">
        <v>3.4450118634270985E-3</v>
      </c>
      <c r="F122">
        <v>1.4827925327672035E-3</v>
      </c>
      <c r="G122">
        <v>2.8628661253068816E-3</v>
      </c>
      <c r="H122">
        <v>1.2425426839284164E-3</v>
      </c>
      <c r="I122">
        <v>2.5728774921994673E-3</v>
      </c>
      <c r="J122">
        <v>1.1217296287492386E-3</v>
      </c>
      <c r="K122">
        <v>1.1273746995119356E-3</v>
      </c>
      <c r="L122">
        <v>4.9265315253730561E-4</v>
      </c>
    </row>
    <row r="123" spans="1:12" ht="16.5" x14ac:dyDescent="0.35">
      <c r="A123" t="s">
        <v>129</v>
      </c>
      <c r="B123" s="1" t="s">
        <v>149</v>
      </c>
      <c r="C123">
        <v>4.9905311652410928E-3</v>
      </c>
      <c r="D123">
        <v>2.4345110397218316E-3</v>
      </c>
      <c r="E123">
        <v>4.8678816029399429E-3</v>
      </c>
      <c r="F123">
        <v>2.4087884134902536E-3</v>
      </c>
      <c r="G123">
        <v>4.0036861351098827E-3</v>
      </c>
      <c r="H123">
        <v>1.991387827976599E-3</v>
      </c>
      <c r="I123">
        <v>3.5277363526378248E-3</v>
      </c>
      <c r="J123">
        <v>1.7596231585481075E-3</v>
      </c>
      <c r="K123">
        <v>1.5849033796319089E-3</v>
      </c>
      <c r="L123">
        <v>7.8283315354755318E-4</v>
      </c>
    </row>
    <row r="124" spans="1:12" ht="16.5" x14ac:dyDescent="0.35">
      <c r="A124" t="s">
        <v>130</v>
      </c>
      <c r="B124" s="1" t="s">
        <v>149</v>
      </c>
      <c r="C124">
        <v>2.8669706030906112E-3</v>
      </c>
      <c r="D124">
        <v>1.5151000765959719E-3</v>
      </c>
      <c r="E124">
        <v>2.7277240299963704E-3</v>
      </c>
      <c r="F124">
        <v>1.4359587193395807E-3</v>
      </c>
      <c r="G124">
        <v>2.293392477549565E-3</v>
      </c>
      <c r="H124">
        <v>1.2165993759656415E-3</v>
      </c>
      <c r="I124">
        <v>2.0531094335807009E-3</v>
      </c>
      <c r="J124">
        <v>1.1009546385599162E-3</v>
      </c>
      <c r="K124">
        <v>8.9448959017026969E-4</v>
      </c>
      <c r="L124">
        <v>4.8538423739490533E-4</v>
      </c>
    </row>
    <row r="125" spans="1:12" ht="16.5" x14ac:dyDescent="0.35">
      <c r="A125" t="s">
        <v>131</v>
      </c>
      <c r="B125" s="1" t="s">
        <v>149</v>
      </c>
      <c r="C125">
        <v>4.289636182564744E-2</v>
      </c>
      <c r="D125">
        <v>1.6950920505448865E-2</v>
      </c>
      <c r="E125">
        <v>2.4186820021697204E-2</v>
      </c>
      <c r="F125">
        <v>9.1699240125770031E-3</v>
      </c>
      <c r="G125">
        <v>3.9045105079202249E-4</v>
      </c>
      <c r="H125">
        <v>1.2267002815337759E-4</v>
      </c>
      <c r="I125">
        <v>2.8830894833620384E-2</v>
      </c>
      <c r="J125">
        <v>1.1255466188608898E-2</v>
      </c>
      <c r="K125">
        <v>2.1843585258439689E-4</v>
      </c>
      <c r="L125">
        <v>7.9901419687596694E-5</v>
      </c>
    </row>
    <row r="126" spans="1:12" ht="16.5" x14ac:dyDescent="0.35">
      <c r="A126" t="s">
        <v>132</v>
      </c>
      <c r="B126" s="1" t="s">
        <v>149</v>
      </c>
      <c r="C126">
        <v>2.1572280289547684E-2</v>
      </c>
      <c r="D126">
        <v>9.4765643163713543E-3</v>
      </c>
      <c r="E126">
        <v>1.2236721331136281E-2</v>
      </c>
      <c r="F126">
        <v>5.20005182685383E-3</v>
      </c>
      <c r="G126">
        <v>1.9991626317263604E-4</v>
      </c>
      <c r="H126">
        <v>7.5556843164352797E-5</v>
      </c>
      <c r="I126">
        <v>1.4531316215349336E-2</v>
      </c>
      <c r="J126">
        <v>6.3219785666830397E-3</v>
      </c>
      <c r="K126">
        <v>1.1047011173709784E-4</v>
      </c>
      <c r="L126">
        <v>4.6096018506660702E-5</v>
      </c>
    </row>
    <row r="127" spans="1:12" ht="16.5" x14ac:dyDescent="0.35">
      <c r="A127" t="s">
        <v>133</v>
      </c>
      <c r="B127" s="1" t="s">
        <v>149</v>
      </c>
      <c r="C127">
        <v>3.0204959922396801E-2</v>
      </c>
      <c r="D127">
        <v>1.5050533129908806E-2</v>
      </c>
      <c r="E127">
        <v>1.7427925195103968E-2</v>
      </c>
      <c r="F127">
        <v>8.4755272307262194E-3</v>
      </c>
      <c r="G127">
        <v>2.8158994716359078E-4</v>
      </c>
      <c r="H127">
        <v>1.2328407709740637E-4</v>
      </c>
      <c r="I127">
        <v>2.0525714161261668E-2</v>
      </c>
      <c r="J127">
        <v>1.0191084608109571E-2</v>
      </c>
      <c r="K127">
        <v>1.5366605072286458E-4</v>
      </c>
      <c r="L127">
        <v>7.3243867825806025E-5</v>
      </c>
    </row>
    <row r="128" spans="1:12" ht="16.5" x14ac:dyDescent="0.35">
      <c r="A128" t="s">
        <v>134</v>
      </c>
      <c r="B128" s="1" t="s">
        <v>149</v>
      </c>
      <c r="C128">
        <v>1.7329868262974838E-2</v>
      </c>
      <c r="D128">
        <v>9.2781901023777386E-3</v>
      </c>
      <c r="E128">
        <v>9.8480191755337416E-3</v>
      </c>
      <c r="F128">
        <v>5.2436406222756502E-3</v>
      </c>
      <c r="G128">
        <v>1.6030805834778701E-4</v>
      </c>
      <c r="H128">
        <v>7.6920522264410472E-5</v>
      </c>
      <c r="I128">
        <v>1.1663727050923067E-2</v>
      </c>
      <c r="J128">
        <v>6.2276606604787024E-3</v>
      </c>
      <c r="K128">
        <v>8.6376192595781433E-5</v>
      </c>
      <c r="L128">
        <v>4.4918074932177358E-5</v>
      </c>
    </row>
    <row r="129" spans="1:12" ht="16.5" x14ac:dyDescent="0.35">
      <c r="A129" t="s">
        <v>135</v>
      </c>
      <c r="B129" s="1" t="s">
        <v>149</v>
      </c>
      <c r="C129">
        <v>7.6154941195113111</v>
      </c>
      <c r="D129">
        <v>1.4662262318666013</v>
      </c>
      <c r="E129">
        <v>4.2485407313680934</v>
      </c>
      <c r="F129">
        <v>0.72362649647175536</v>
      </c>
      <c r="G129">
        <v>4.8502403540048915</v>
      </c>
      <c r="H129">
        <v>0.63662500607602746</v>
      </c>
      <c r="I129">
        <v>4.6667453190344323</v>
      </c>
      <c r="J129">
        <v>0.70818885375441032</v>
      </c>
      <c r="K129">
        <v>2.9513751807645883</v>
      </c>
      <c r="L129">
        <v>0.51889219356720417</v>
      </c>
    </row>
    <row r="130" spans="1:12" ht="16.5" x14ac:dyDescent="0.35">
      <c r="A130" t="s">
        <v>136</v>
      </c>
      <c r="B130" s="1" t="s">
        <v>149</v>
      </c>
      <c r="C130">
        <v>1.4374429894773688</v>
      </c>
      <c r="D130">
        <v>0.46341374640172506</v>
      </c>
      <c r="E130">
        <v>2.1797388659757027</v>
      </c>
      <c r="F130">
        <v>0.43640883052965868</v>
      </c>
      <c r="G130">
        <v>4.6807339917617448</v>
      </c>
      <c r="H130">
        <v>1.0907550284945653</v>
      </c>
      <c r="I130">
        <v>1.2381566378056221</v>
      </c>
      <c r="J130">
        <v>0.48754203516863015</v>
      </c>
      <c r="K130">
        <v>1.4078031171569418</v>
      </c>
      <c r="L130">
        <v>0.40625094185956007</v>
      </c>
    </row>
    <row r="131" spans="1:12" ht="16.5" x14ac:dyDescent="0.35">
      <c r="A131" t="s">
        <v>137</v>
      </c>
      <c r="B131" s="1" t="s">
        <v>149</v>
      </c>
      <c r="C131">
        <v>0.44442249953623653</v>
      </c>
      <c r="D131">
        <v>0.32143615876682524</v>
      </c>
      <c r="E131">
        <v>0.1069850565444341</v>
      </c>
      <c r="F131">
        <v>7.1223866843391367E-2</v>
      </c>
      <c r="G131">
        <v>0.11204776280599406</v>
      </c>
      <c r="H131">
        <v>9.8543394131386824E-2</v>
      </c>
      <c r="I131">
        <v>1.3964054028635584</v>
      </c>
      <c r="J131">
        <v>0.68589687334228533</v>
      </c>
      <c r="K131">
        <v>0.27575219805477824</v>
      </c>
      <c r="L131">
        <v>0.18819370210527514</v>
      </c>
    </row>
    <row r="132" spans="1:12" ht="16.5" x14ac:dyDescent="0.35">
      <c r="A132" t="s">
        <v>138</v>
      </c>
      <c r="B132" s="1" t="s">
        <v>149</v>
      </c>
      <c r="C132">
        <v>0.58490383333079821</v>
      </c>
      <c r="D132">
        <v>0.46741150730094327</v>
      </c>
      <c r="E132">
        <v>0.17945411038216041</v>
      </c>
      <c r="F132">
        <v>0.17138325935753823</v>
      </c>
      <c r="G132">
        <v>0.58037289378546153</v>
      </c>
      <c r="H132">
        <v>0.50649710752591925</v>
      </c>
      <c r="I132">
        <v>0.29939018846471804</v>
      </c>
      <c r="J132">
        <v>0.27030808702739867</v>
      </c>
      <c r="K132">
        <v>0.19618021180038017</v>
      </c>
      <c r="L132">
        <v>0.17828099447425566</v>
      </c>
    </row>
    <row r="133" spans="1:12" ht="16.5" x14ac:dyDescent="0.35">
      <c r="A133" t="s">
        <v>139</v>
      </c>
      <c r="B133" s="1" t="s">
        <v>149</v>
      </c>
      <c r="C133">
        <v>0.38741920300010319</v>
      </c>
      <c r="D133">
        <v>0.29823236637354128</v>
      </c>
      <c r="E133">
        <v>5.2089632515694574E-2</v>
      </c>
      <c r="F133">
        <v>4.3892106129470941E-2</v>
      </c>
      <c r="G133">
        <v>8.1769730369988192E-2</v>
      </c>
      <c r="H133">
        <v>8.232975580106093E-2</v>
      </c>
      <c r="I133">
        <v>0.24423443198191438</v>
      </c>
      <c r="J133">
        <v>0.22406088072560401</v>
      </c>
      <c r="K133">
        <v>0.10541223288618987</v>
      </c>
      <c r="L133">
        <v>9.7402504082905655E-2</v>
      </c>
    </row>
    <row r="134" spans="1:12" ht="16.5" x14ac:dyDescent="0.35">
      <c r="A134" t="s">
        <v>140</v>
      </c>
      <c r="B134" s="1" t="s">
        <v>149</v>
      </c>
      <c r="C134">
        <v>2.3914434544813301</v>
      </c>
      <c r="D134">
        <v>1.1453484462587844</v>
      </c>
      <c r="E134">
        <v>0.31812342330851046</v>
      </c>
      <c r="F134">
        <v>0.26152708118766932</v>
      </c>
      <c r="G134">
        <v>1.3056156267264376</v>
      </c>
      <c r="H134">
        <v>0.7852021934161566</v>
      </c>
      <c r="I134">
        <v>0.68153584386529287</v>
      </c>
      <c r="J134">
        <v>0.47102055093931838</v>
      </c>
      <c r="K134">
        <v>0.30784359763722879</v>
      </c>
      <c r="L134">
        <v>0.2209138711348515</v>
      </c>
    </row>
    <row r="135" spans="1:12" ht="16.5" x14ac:dyDescent="0.35">
      <c r="A135" t="s">
        <v>141</v>
      </c>
      <c r="B135" s="1" t="s">
        <v>149</v>
      </c>
      <c r="C135" s="2" t="s">
        <v>1</v>
      </c>
      <c r="D135" s="2" t="s">
        <v>1</v>
      </c>
      <c r="E135">
        <v>0.95651858160538938</v>
      </c>
      <c r="F135">
        <v>0.50916667772902602</v>
      </c>
      <c r="G135">
        <v>0.87259430916231839</v>
      </c>
      <c r="H135">
        <v>0.30007432989077776</v>
      </c>
      <c r="I135">
        <v>0.81974551737890489</v>
      </c>
      <c r="J135">
        <v>0.51068329004315749</v>
      </c>
      <c r="K135">
        <v>0.89465979594136047</v>
      </c>
      <c r="L135">
        <v>0.40859266302099861</v>
      </c>
    </row>
    <row r="136" spans="1:12" ht="16.5" x14ac:dyDescent="0.35">
      <c r="A136" t="s">
        <v>142</v>
      </c>
      <c r="B136" s="1" t="s">
        <v>149</v>
      </c>
      <c r="C136">
        <v>0.91108744224349292</v>
      </c>
      <c r="D136">
        <v>0.72671863178273965</v>
      </c>
      <c r="E136">
        <v>6.7441459498902165E-2</v>
      </c>
      <c r="F136">
        <v>6.5386669954281509E-2</v>
      </c>
      <c r="G136">
        <v>0.27607271802348193</v>
      </c>
      <c r="H136">
        <v>0.24266109618232781</v>
      </c>
      <c r="I136">
        <v>0.14732682698452432</v>
      </c>
      <c r="J136">
        <v>0.13772971222627883</v>
      </c>
      <c r="K136">
        <v>9.1639869385106806E-2</v>
      </c>
      <c r="L136">
        <v>8.3183014111601422E-2</v>
      </c>
    </row>
    <row r="137" spans="1:12" ht="16.5" x14ac:dyDescent="0.35">
      <c r="A137" t="s">
        <v>143</v>
      </c>
      <c r="B137" s="1" t="s">
        <v>149</v>
      </c>
      <c r="C137">
        <v>0.33022230882904441</v>
      </c>
      <c r="D137">
        <v>0.2097499675132449</v>
      </c>
      <c r="E137">
        <v>0.61267617409124775</v>
      </c>
      <c r="F137">
        <v>0.21964898025556456</v>
      </c>
      <c r="G137">
        <v>0.42230699041888176</v>
      </c>
      <c r="H137">
        <v>3.6148342989049238E-2</v>
      </c>
      <c r="I137">
        <v>0.20807568005703098</v>
      </c>
      <c r="J137">
        <v>0.18709112528747013</v>
      </c>
      <c r="K137">
        <v>0.1230364870934173</v>
      </c>
      <c r="L137">
        <v>9.5171098858090691E-2</v>
      </c>
    </row>
    <row r="138" spans="1:12" ht="16.5" x14ac:dyDescent="0.35">
      <c r="A138" t="s">
        <v>144</v>
      </c>
      <c r="B138" s="1" t="s">
        <v>149</v>
      </c>
      <c r="C138">
        <v>8.8929440680577301E-2</v>
      </c>
      <c r="D138">
        <v>5.9614354077858388E-2</v>
      </c>
      <c r="E138">
        <v>5.8461525056416004E-2</v>
      </c>
      <c r="F138">
        <v>5.1842263314269194E-2</v>
      </c>
      <c r="G138">
        <v>3.182589577433128E-2</v>
      </c>
      <c r="H138">
        <v>2.3434730070467209E-2</v>
      </c>
      <c r="I138">
        <v>4.4328413774958463E-2</v>
      </c>
      <c r="J138">
        <v>2.9504374560552438E-2</v>
      </c>
      <c r="K138">
        <v>8.2289827653554887E-2</v>
      </c>
      <c r="L138">
        <v>6.1492605509484023E-2</v>
      </c>
    </row>
    <row r="139" spans="1:12" ht="16.5" x14ac:dyDescent="0.35">
      <c r="A139" t="s">
        <v>145</v>
      </c>
      <c r="B139" s="1" t="s">
        <v>149</v>
      </c>
      <c r="C139">
        <v>8.2263743224281455E-2</v>
      </c>
      <c r="D139">
        <v>5.6847452851849924E-2</v>
      </c>
      <c r="E139">
        <v>0.29867536834849545</v>
      </c>
      <c r="F139">
        <v>0.12712409200487523</v>
      </c>
      <c r="G139">
        <v>3.8354524890579778E-2</v>
      </c>
      <c r="H139">
        <v>2.0103262247886652E-2</v>
      </c>
      <c r="I139">
        <v>4.4615313084996666E-2</v>
      </c>
      <c r="J139">
        <v>2.9956745638635724E-2</v>
      </c>
      <c r="K139">
        <v>9.8942735537055765E-2</v>
      </c>
      <c r="L139">
        <v>6.6512376258769684E-2</v>
      </c>
    </row>
    <row r="140" spans="1:12" ht="16.5" x14ac:dyDescent="0.35">
      <c r="A140" t="s">
        <v>146</v>
      </c>
      <c r="B140" s="1" t="s">
        <v>149</v>
      </c>
      <c r="C140">
        <v>0.34709478766420909</v>
      </c>
      <c r="D140">
        <v>0.27567379443994333</v>
      </c>
      <c r="E140">
        <v>7.3371606176110743E-2</v>
      </c>
      <c r="F140">
        <v>7.6603351509616405E-2</v>
      </c>
      <c r="G140">
        <v>4.150231557510869E-3</v>
      </c>
      <c r="H140">
        <v>2.6239662927679606E-3</v>
      </c>
      <c r="I140">
        <v>0.1206099200948208</v>
      </c>
      <c r="J140">
        <v>0.10448673573878275</v>
      </c>
      <c r="K140">
        <v>1.8736392006183213E-3</v>
      </c>
      <c r="L140">
        <v>1.2632188696024178E-3</v>
      </c>
    </row>
    <row r="141" spans="1:12" ht="16.5" x14ac:dyDescent="0.35">
      <c r="A141" t="s">
        <v>147</v>
      </c>
      <c r="B141" s="1" t="s">
        <v>149</v>
      </c>
      <c r="C141">
        <v>0.59600100239028575</v>
      </c>
      <c r="D141">
        <v>0.18619650403023741</v>
      </c>
      <c r="E141">
        <v>0.67299967610031985</v>
      </c>
      <c r="F141">
        <v>0.18250360317421621</v>
      </c>
      <c r="G141">
        <v>1.23588589616161E-2</v>
      </c>
      <c r="H141">
        <v>4.0313859558314159E-3</v>
      </c>
      <c r="I141">
        <v>0.80030088226128127</v>
      </c>
      <c r="J141">
        <v>0.18183938399923111</v>
      </c>
      <c r="K141">
        <v>2.0780578712706107E-3</v>
      </c>
      <c r="L141">
        <v>1.2719000078772911E-3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4F748-A440-4C90-85BA-8B8DAE4EB5DB}">
  <sheetPr codeName="Sheet2"/>
  <dimension ref="A1:L141"/>
  <sheetViews>
    <sheetView topLeftCell="A81" workbookViewId="0">
      <selection activeCell="L108" sqref="L108"/>
    </sheetView>
  </sheetViews>
  <sheetFormatPr defaultRowHeight="14.5" x14ac:dyDescent="0.35"/>
  <cols>
    <col min="1" max="2" width="19.90625" customWidth="1"/>
    <col min="3" max="12" width="15.453125" customWidth="1"/>
  </cols>
  <sheetData>
    <row r="1" spans="1:12" x14ac:dyDescent="0.35">
      <c r="A1" s="4" t="s">
        <v>8</v>
      </c>
      <c r="B1" s="4" t="s">
        <v>148</v>
      </c>
      <c r="C1" s="4" t="s">
        <v>2</v>
      </c>
      <c r="D1" s="4" t="s">
        <v>3</v>
      </c>
      <c r="E1" s="4" t="s">
        <v>4</v>
      </c>
      <c r="F1" s="4" t="s">
        <v>3</v>
      </c>
      <c r="G1" s="4" t="s">
        <v>5</v>
      </c>
      <c r="H1" s="4" t="s">
        <v>3</v>
      </c>
      <c r="I1" s="4" t="s">
        <v>6</v>
      </c>
      <c r="J1" s="4" t="s">
        <v>3</v>
      </c>
      <c r="K1" s="4" t="s">
        <v>7</v>
      </c>
      <c r="L1" s="4" t="s">
        <v>3</v>
      </c>
    </row>
    <row r="2" spans="1:12" ht="16.5" x14ac:dyDescent="0.35">
      <c r="A2" t="s">
        <v>0</v>
      </c>
      <c r="B2" s="1" t="s">
        <v>150</v>
      </c>
      <c r="C2">
        <f>ROUND(Sheet1!C2*1000,1)</f>
        <v>3077.9</v>
      </c>
      <c r="D2">
        <f>ROUND(Sheet1!D2*1000,1)</f>
        <v>639</v>
      </c>
      <c r="E2">
        <f>ROUND(Sheet1!E2*1000,1)</f>
        <v>3129.6</v>
      </c>
      <c r="F2">
        <f>ROUND(Sheet1!F2*1000,1)</f>
        <v>364.9</v>
      </c>
      <c r="G2">
        <f>ROUND(Sheet1!G2*1000,1)</f>
        <v>1376.5</v>
      </c>
      <c r="H2">
        <f>ROUND(Sheet1!H2*1000,1)</f>
        <v>423.9</v>
      </c>
      <c r="I2">
        <f>ROUND(Sheet1!I2*1000,1)</f>
        <v>2276.5</v>
      </c>
      <c r="J2">
        <f>ROUND(Sheet1!J2*1000,1)</f>
        <v>440.5</v>
      </c>
      <c r="K2">
        <f>ROUND(Sheet1!K2*1000,1)</f>
        <v>823.3</v>
      </c>
      <c r="L2">
        <f>ROUND(Sheet1!L2*1000,1)</f>
        <v>258.5</v>
      </c>
    </row>
    <row r="3" spans="1:12" ht="16.5" x14ac:dyDescent="0.35">
      <c r="A3" t="s">
        <v>9</v>
      </c>
      <c r="B3" s="1" t="s">
        <v>150</v>
      </c>
      <c r="C3">
        <f>ROUND(Sheet1!C3*1000,1)</f>
        <v>4378.1000000000004</v>
      </c>
      <c r="D3">
        <f>ROUND(Sheet1!D3*1000,1)</f>
        <v>2473.6</v>
      </c>
      <c r="E3">
        <f>ROUND(Sheet1!E3*1000,1)</f>
        <v>2398.9</v>
      </c>
      <c r="F3">
        <f>ROUND(Sheet1!F3*1000,1)</f>
        <v>1496.2</v>
      </c>
      <c r="G3">
        <f>ROUND(Sheet1!G3*1000,1)</f>
        <v>1463.6</v>
      </c>
      <c r="H3">
        <f>ROUND(Sheet1!H3*1000,1)</f>
        <v>991.1</v>
      </c>
      <c r="I3">
        <f>ROUND(Sheet1!I3*1000,1)</f>
        <v>3182.6</v>
      </c>
      <c r="J3">
        <f>ROUND(Sheet1!J3*1000,1)</f>
        <v>1866.5</v>
      </c>
      <c r="K3">
        <f>ROUND(Sheet1!K3*1000,1)</f>
        <v>2322.1</v>
      </c>
      <c r="L3">
        <f>ROUND(Sheet1!L3*1000,1)</f>
        <v>1105.9000000000001</v>
      </c>
    </row>
    <row r="4" spans="1:12" ht="16.5" x14ac:dyDescent="0.35">
      <c r="A4" t="s">
        <v>10</v>
      </c>
      <c r="B4" s="1" t="s">
        <v>150</v>
      </c>
      <c r="C4">
        <f>ROUND(Sheet1!C4*1000,1)</f>
        <v>1871.9</v>
      </c>
      <c r="D4">
        <f>ROUND(Sheet1!D4*1000,1)</f>
        <v>1159.9000000000001</v>
      </c>
      <c r="E4">
        <f>ROUND(Sheet1!E4*1000,1)</f>
        <v>2155.1</v>
      </c>
      <c r="F4">
        <f>ROUND(Sheet1!F4*1000,1)</f>
        <v>1403.2</v>
      </c>
      <c r="G4">
        <f>ROUND(Sheet1!G4*1000,1)</f>
        <v>7250.2</v>
      </c>
      <c r="H4">
        <f>ROUND(Sheet1!H4*1000,1)</f>
        <v>1213.9000000000001</v>
      </c>
      <c r="I4">
        <f>ROUND(Sheet1!I4*1000,1)</f>
        <v>1271.4000000000001</v>
      </c>
      <c r="J4">
        <f>ROUND(Sheet1!J4*1000,1)</f>
        <v>750.6</v>
      </c>
      <c r="K4">
        <f>ROUND(Sheet1!K4*1000,1)</f>
        <v>1470.5</v>
      </c>
      <c r="L4">
        <f>ROUND(Sheet1!L4*1000,1)</f>
        <v>1007.9</v>
      </c>
    </row>
    <row r="5" spans="1:12" ht="16.5" x14ac:dyDescent="0.35">
      <c r="A5" t="s">
        <v>11</v>
      </c>
      <c r="B5" s="1" t="s">
        <v>150</v>
      </c>
      <c r="C5">
        <f>ROUND(Sheet1!C5*1000,1)</f>
        <v>3150.5</v>
      </c>
      <c r="D5">
        <f>ROUND(Sheet1!D5*1000,1)</f>
        <v>2045.5</v>
      </c>
      <c r="E5">
        <f>ROUND(Sheet1!E5*1000,1)</f>
        <v>638.1</v>
      </c>
      <c r="F5">
        <f>ROUND(Sheet1!F5*1000,1)</f>
        <v>411.3</v>
      </c>
      <c r="G5">
        <f>ROUND(Sheet1!G5*1000,1)</f>
        <v>333.3</v>
      </c>
      <c r="H5">
        <f>ROUND(Sheet1!H5*1000,1)</f>
        <v>249.9</v>
      </c>
      <c r="I5">
        <f>ROUND(Sheet1!I5*1000,1)</f>
        <v>282.5</v>
      </c>
      <c r="J5">
        <f>ROUND(Sheet1!J5*1000,1)</f>
        <v>172.3</v>
      </c>
      <c r="K5">
        <f>ROUND(Sheet1!K5*1000,1)</f>
        <v>313.10000000000002</v>
      </c>
      <c r="L5">
        <f>ROUND(Sheet1!L5*1000,1)</f>
        <v>208.5</v>
      </c>
    </row>
    <row r="6" spans="1:12" ht="16.5" x14ac:dyDescent="0.35">
      <c r="A6" t="s">
        <v>12</v>
      </c>
      <c r="B6" s="1" t="s">
        <v>150</v>
      </c>
      <c r="C6">
        <f>ROUND(Sheet1!C6*1000,1)</f>
        <v>1817.2</v>
      </c>
      <c r="D6">
        <f>ROUND(Sheet1!D6*1000,1)</f>
        <v>1148.4000000000001</v>
      </c>
      <c r="E6">
        <f>ROUND(Sheet1!E6*1000,1)</f>
        <v>1110.2</v>
      </c>
      <c r="F6">
        <f>ROUND(Sheet1!F6*1000,1)</f>
        <v>738.3</v>
      </c>
      <c r="G6">
        <f>ROUND(Sheet1!G6*1000,1)</f>
        <v>343.4</v>
      </c>
      <c r="H6">
        <f>ROUND(Sheet1!H6*1000,1)</f>
        <v>258.60000000000002</v>
      </c>
      <c r="I6">
        <f>ROUND(Sheet1!I6*1000,1)</f>
        <v>2907.2</v>
      </c>
      <c r="J6">
        <f>ROUND(Sheet1!J6*1000,1)</f>
        <v>1805.9</v>
      </c>
      <c r="K6">
        <f>ROUND(Sheet1!K6*1000,1)</f>
        <v>536.4</v>
      </c>
      <c r="L6">
        <f>ROUND(Sheet1!L6*1000,1)</f>
        <v>375.8</v>
      </c>
    </row>
    <row r="7" spans="1:12" ht="16.5" x14ac:dyDescent="0.35">
      <c r="A7" t="s">
        <v>13</v>
      </c>
      <c r="B7" s="1" t="s">
        <v>150</v>
      </c>
      <c r="C7">
        <f>ROUND(Sheet1!C7*1000,1)</f>
        <v>2099.5</v>
      </c>
      <c r="D7">
        <f>ROUND(Sheet1!D7*1000,1)</f>
        <v>1180.5</v>
      </c>
      <c r="E7">
        <f>ROUND(Sheet1!E7*1000,1)</f>
        <v>3445.6</v>
      </c>
      <c r="F7">
        <f>ROUND(Sheet1!F7*1000,1)</f>
        <v>1448.3</v>
      </c>
      <c r="G7">
        <f>ROUND(Sheet1!G7*1000,1)</f>
        <v>1923.5</v>
      </c>
      <c r="H7">
        <f>ROUND(Sheet1!H7*1000,1)</f>
        <v>1140.4000000000001</v>
      </c>
      <c r="I7">
        <f>ROUND(Sheet1!I7*1000,1)</f>
        <v>1339.3</v>
      </c>
      <c r="J7">
        <f>ROUND(Sheet1!J7*1000,1)</f>
        <v>751.7</v>
      </c>
      <c r="K7">
        <f>ROUND(Sheet1!K7*1000,1)</f>
        <v>2231.5</v>
      </c>
      <c r="L7">
        <f>ROUND(Sheet1!L7*1000,1)</f>
        <v>1084.9000000000001</v>
      </c>
    </row>
    <row r="8" spans="1:12" ht="16.5" x14ac:dyDescent="0.35">
      <c r="A8" t="s">
        <v>14</v>
      </c>
      <c r="B8" s="1" t="s">
        <v>150</v>
      </c>
      <c r="C8">
        <f>ROUND(Sheet1!C8*1000,1)</f>
        <v>3542.7</v>
      </c>
      <c r="D8">
        <f>ROUND(Sheet1!D8*1000,1)</f>
        <v>2029.2</v>
      </c>
      <c r="E8">
        <f>ROUND(Sheet1!E8*1000,1)</f>
        <v>721.1</v>
      </c>
      <c r="F8">
        <f>ROUND(Sheet1!F8*1000,1)</f>
        <v>428.7</v>
      </c>
      <c r="G8">
        <f>ROUND(Sheet1!G8*1000,1)</f>
        <v>549.5</v>
      </c>
      <c r="H8">
        <f>ROUND(Sheet1!H8*1000,1)</f>
        <v>265.5</v>
      </c>
      <c r="I8">
        <f>ROUND(Sheet1!I8*1000,1)</f>
        <v>280.10000000000002</v>
      </c>
      <c r="J8">
        <f>ROUND(Sheet1!J8*1000,1)</f>
        <v>171.9</v>
      </c>
      <c r="K8">
        <f>ROUND(Sheet1!K8*1000,1)</f>
        <v>355.6</v>
      </c>
      <c r="L8">
        <f>ROUND(Sheet1!L8*1000,1)</f>
        <v>214.4</v>
      </c>
    </row>
    <row r="9" spans="1:12" ht="16.5" x14ac:dyDescent="0.35">
      <c r="A9" t="s">
        <v>15</v>
      </c>
      <c r="B9" s="1" t="s">
        <v>150</v>
      </c>
      <c r="C9">
        <f>ROUND(Sheet1!C9*1000,1)</f>
        <v>1813.9</v>
      </c>
      <c r="D9">
        <f>ROUND(Sheet1!D9*1000,1)</f>
        <v>1136</v>
      </c>
      <c r="E9">
        <f>ROUND(Sheet1!E9*1000,1)</f>
        <v>1361.7</v>
      </c>
      <c r="F9">
        <f>ROUND(Sheet1!F9*1000,1)</f>
        <v>758.1</v>
      </c>
      <c r="G9">
        <f>ROUND(Sheet1!G9*1000,1)</f>
        <v>367.1</v>
      </c>
      <c r="H9">
        <f>ROUND(Sheet1!H9*1000,1)</f>
        <v>241.9</v>
      </c>
      <c r="I9">
        <f>ROUND(Sheet1!I9*1000,1)</f>
        <v>3839.7</v>
      </c>
      <c r="J9">
        <f>ROUND(Sheet1!J9*1000,1)</f>
        <v>1823.9</v>
      </c>
      <c r="K9">
        <f>ROUND(Sheet1!K9*1000,1)</f>
        <v>558.4</v>
      </c>
      <c r="L9">
        <f>ROUND(Sheet1!L9*1000,1)</f>
        <v>390.6</v>
      </c>
    </row>
    <row r="10" spans="1:12" ht="16.5" x14ac:dyDescent="0.35">
      <c r="A10" t="s">
        <v>16</v>
      </c>
      <c r="B10" s="1" t="s">
        <v>150</v>
      </c>
      <c r="C10">
        <f>ROUND(Sheet1!C10*1000,1)</f>
        <v>332.8</v>
      </c>
      <c r="D10">
        <f>ROUND(Sheet1!D10*1000,1)</f>
        <v>222.5</v>
      </c>
      <c r="E10">
        <f>ROUND(Sheet1!E10*1000,1)</f>
        <v>360.7</v>
      </c>
      <c r="F10">
        <f>ROUND(Sheet1!F10*1000,1)</f>
        <v>230.3</v>
      </c>
      <c r="G10">
        <f>ROUND(Sheet1!G10*1000,1)</f>
        <v>192.3</v>
      </c>
      <c r="H10">
        <f>ROUND(Sheet1!H10*1000,1)</f>
        <v>153.80000000000001</v>
      </c>
      <c r="I10">
        <f>ROUND(Sheet1!I10*1000,1)</f>
        <v>281.89999999999998</v>
      </c>
      <c r="J10">
        <f>ROUND(Sheet1!J10*1000,1)</f>
        <v>216</v>
      </c>
      <c r="K10">
        <f>ROUND(Sheet1!K10*1000,1)</f>
        <v>190.1</v>
      </c>
      <c r="L10">
        <f>ROUND(Sheet1!L10*1000,1)</f>
        <v>133</v>
      </c>
    </row>
    <row r="11" spans="1:12" ht="16.5" x14ac:dyDescent="0.35">
      <c r="A11" t="s">
        <v>17</v>
      </c>
      <c r="B11" s="1" t="s">
        <v>150</v>
      </c>
      <c r="C11">
        <f>ROUND(Sheet1!C11*1000,1)</f>
        <v>372.5</v>
      </c>
      <c r="D11">
        <f>ROUND(Sheet1!D11*1000,1)</f>
        <v>231.9</v>
      </c>
      <c r="E11">
        <f>ROUND(Sheet1!E11*1000,1)</f>
        <v>387.4</v>
      </c>
      <c r="F11">
        <f>ROUND(Sheet1!F11*1000,1)</f>
        <v>239.7</v>
      </c>
      <c r="G11">
        <f>ROUND(Sheet1!G11*1000,1)</f>
        <v>598.29999999999995</v>
      </c>
      <c r="H11">
        <f>ROUND(Sheet1!H11*1000,1)</f>
        <v>226.8</v>
      </c>
      <c r="I11">
        <f>ROUND(Sheet1!I11*1000,1)</f>
        <v>475.5</v>
      </c>
      <c r="J11">
        <f>ROUND(Sheet1!J11*1000,1)</f>
        <v>268.39999999999998</v>
      </c>
      <c r="K11">
        <f>ROUND(Sheet1!K11*1000,1)</f>
        <v>217.4</v>
      </c>
      <c r="L11">
        <f>ROUND(Sheet1!L11*1000,1)</f>
        <v>142.80000000000001</v>
      </c>
    </row>
    <row r="12" spans="1:12" ht="16.5" x14ac:dyDescent="0.35">
      <c r="A12" t="s">
        <v>18</v>
      </c>
      <c r="B12" s="1" t="s">
        <v>150</v>
      </c>
      <c r="C12">
        <f>ROUND(Sheet1!C12*1000,1)</f>
        <v>177.4</v>
      </c>
      <c r="D12">
        <f>ROUND(Sheet1!D12*1000,1)</f>
        <v>150.9</v>
      </c>
      <c r="E12">
        <f>ROUND(Sheet1!E12*1000,1)</f>
        <v>85</v>
      </c>
      <c r="F12">
        <f>ROUND(Sheet1!F12*1000,1)</f>
        <v>74.400000000000006</v>
      </c>
      <c r="G12">
        <f>ROUND(Sheet1!G12*1000,1)</f>
        <v>119.3</v>
      </c>
      <c r="H12">
        <f>ROUND(Sheet1!H12*1000,1)</f>
        <v>25.1</v>
      </c>
      <c r="I12">
        <f>ROUND(Sheet1!I12*1000,1)</f>
        <v>224.7</v>
      </c>
      <c r="J12">
        <f>ROUND(Sheet1!J12*1000,1)</f>
        <v>190.1</v>
      </c>
      <c r="K12">
        <f>ROUND(Sheet1!K12*1000,1)</f>
        <v>129.80000000000001</v>
      </c>
      <c r="L12">
        <f>ROUND(Sheet1!L12*1000,1)</f>
        <v>107.5</v>
      </c>
    </row>
    <row r="13" spans="1:12" ht="16.5" x14ac:dyDescent="0.35">
      <c r="A13" t="s">
        <v>19</v>
      </c>
      <c r="B13" s="1" t="s">
        <v>150</v>
      </c>
      <c r="C13">
        <f>ROUND(Sheet1!C13*1000,1)</f>
        <v>6732.9</v>
      </c>
      <c r="D13">
        <f>ROUND(Sheet1!D13*1000,1)</f>
        <v>1466.4</v>
      </c>
      <c r="E13">
        <f>ROUND(Sheet1!E13*1000,1)</f>
        <v>3415.5</v>
      </c>
      <c r="F13">
        <f>ROUND(Sheet1!F13*1000,1)</f>
        <v>713.2</v>
      </c>
      <c r="G13">
        <f>ROUND(Sheet1!G13*1000,1)</f>
        <v>3940.4</v>
      </c>
      <c r="H13">
        <f>ROUND(Sheet1!H13*1000,1)</f>
        <v>634.70000000000005</v>
      </c>
      <c r="I13">
        <f>ROUND(Sheet1!I13*1000,1)</f>
        <v>3684.6</v>
      </c>
      <c r="J13">
        <f>ROUND(Sheet1!J13*1000,1)</f>
        <v>681.6</v>
      </c>
      <c r="K13">
        <f>ROUND(Sheet1!K13*1000,1)</f>
        <v>2414.1</v>
      </c>
      <c r="L13">
        <f>ROUND(Sheet1!L13*1000,1)</f>
        <v>516.5</v>
      </c>
    </row>
    <row r="14" spans="1:12" ht="16.5" x14ac:dyDescent="0.35">
      <c r="A14" t="s">
        <v>20</v>
      </c>
      <c r="B14" s="1" t="s">
        <v>150</v>
      </c>
      <c r="C14">
        <f>ROUND(Sheet1!C14*1000,1)</f>
        <v>1637.4</v>
      </c>
      <c r="D14">
        <f>ROUND(Sheet1!D14*1000,1)</f>
        <v>425.5</v>
      </c>
      <c r="E14">
        <f>ROUND(Sheet1!E14*1000,1)</f>
        <v>2213.1</v>
      </c>
      <c r="F14">
        <f>ROUND(Sheet1!F14*1000,1)</f>
        <v>470.6</v>
      </c>
      <c r="G14">
        <f>ROUND(Sheet1!G14*1000,1)</f>
        <v>6054</v>
      </c>
      <c r="H14">
        <f>ROUND(Sheet1!H14*1000,1)</f>
        <v>951.3</v>
      </c>
      <c r="I14">
        <f>ROUND(Sheet1!I14*1000,1)</f>
        <v>1314.4</v>
      </c>
      <c r="J14">
        <f>ROUND(Sheet1!J14*1000,1)</f>
        <v>412</v>
      </c>
      <c r="K14">
        <f>ROUND(Sheet1!K14*1000,1)</f>
        <v>1772</v>
      </c>
      <c r="L14">
        <f>ROUND(Sheet1!L14*1000,1)</f>
        <v>376.6</v>
      </c>
    </row>
    <row r="15" spans="1:12" ht="16.5" x14ac:dyDescent="0.35">
      <c r="A15" t="s">
        <v>21</v>
      </c>
      <c r="B15" s="1" t="s">
        <v>150</v>
      </c>
      <c r="C15">
        <f>ROUND(Sheet1!C15*1000,1)</f>
        <v>221</v>
      </c>
      <c r="D15">
        <f>ROUND(Sheet1!D15*1000,1)</f>
        <v>198.1</v>
      </c>
      <c r="E15">
        <f>ROUND(Sheet1!E15*1000,1)</f>
        <v>104.4</v>
      </c>
      <c r="F15">
        <f>ROUND(Sheet1!F15*1000,1)</f>
        <v>82.7</v>
      </c>
      <c r="G15">
        <f>ROUND(Sheet1!G15*1000,1)</f>
        <v>51.1</v>
      </c>
      <c r="H15">
        <f>ROUND(Sheet1!H15*1000,1)</f>
        <v>35.1</v>
      </c>
      <c r="I15">
        <f>ROUND(Sheet1!I15*1000,1)</f>
        <v>291.89999999999998</v>
      </c>
      <c r="J15">
        <f>ROUND(Sheet1!J15*1000,1)</f>
        <v>256.10000000000002</v>
      </c>
      <c r="K15">
        <f>ROUND(Sheet1!K15*1000,1)</f>
        <v>215.4</v>
      </c>
      <c r="L15">
        <f>ROUND(Sheet1!L15*1000,1)</f>
        <v>187.4</v>
      </c>
    </row>
    <row r="16" spans="1:12" ht="16.5" x14ac:dyDescent="0.35">
      <c r="A16" t="s">
        <v>22</v>
      </c>
      <c r="B16" s="1" t="s">
        <v>150</v>
      </c>
      <c r="C16">
        <f>ROUND(Sheet1!C16*1000,1)</f>
        <v>473.3</v>
      </c>
      <c r="D16">
        <f>ROUND(Sheet1!D16*1000,1)</f>
        <v>354.2</v>
      </c>
      <c r="E16">
        <f>ROUND(Sheet1!E16*1000,1)</f>
        <v>853.2</v>
      </c>
      <c r="F16">
        <f>ROUND(Sheet1!F16*1000,1)</f>
        <v>491</v>
      </c>
      <c r="G16">
        <f>ROUND(Sheet1!G16*1000,1)</f>
        <v>239.7</v>
      </c>
      <c r="H16">
        <f>ROUND(Sheet1!H16*1000,1)</f>
        <v>186.5</v>
      </c>
      <c r="I16">
        <f>ROUND(Sheet1!I16*1000,1)</f>
        <v>393.4</v>
      </c>
      <c r="J16">
        <f>ROUND(Sheet1!J16*1000,1)</f>
        <v>304.8</v>
      </c>
      <c r="K16">
        <f>ROUND(Sheet1!K16*1000,1)</f>
        <v>376.7</v>
      </c>
      <c r="L16">
        <f>ROUND(Sheet1!L16*1000,1)</f>
        <v>265</v>
      </c>
    </row>
    <row r="17" spans="1:12" ht="16.5" x14ac:dyDescent="0.35">
      <c r="A17" t="s">
        <v>23</v>
      </c>
      <c r="B17" s="1" t="s">
        <v>150</v>
      </c>
      <c r="C17">
        <f>ROUND(Sheet1!C17*1000,1)</f>
        <v>69.3</v>
      </c>
      <c r="D17">
        <f>ROUND(Sheet1!D17*1000,1)</f>
        <v>33.799999999999997</v>
      </c>
      <c r="E17">
        <f>ROUND(Sheet1!E17*1000,1)</f>
        <v>206.6</v>
      </c>
      <c r="F17">
        <f>ROUND(Sheet1!F17*1000,1)</f>
        <v>124.5</v>
      </c>
      <c r="G17">
        <f>ROUND(Sheet1!G17*1000,1)</f>
        <v>3.8</v>
      </c>
      <c r="H17">
        <f>ROUND(Sheet1!H17*1000,1)</f>
        <v>2.2000000000000002</v>
      </c>
      <c r="I17">
        <f>ROUND(Sheet1!I17*1000,1)</f>
        <v>71.599999999999994</v>
      </c>
      <c r="J17">
        <f>ROUND(Sheet1!J17*1000,1)</f>
        <v>35.9</v>
      </c>
      <c r="K17">
        <f>ROUND(Sheet1!K17*1000,1)</f>
        <v>0.5</v>
      </c>
      <c r="L17">
        <f>ROUND(Sheet1!L17*1000,1)</f>
        <v>0.3</v>
      </c>
    </row>
    <row r="18" spans="1:12" ht="16.5" x14ac:dyDescent="0.35">
      <c r="A18" t="s">
        <v>24</v>
      </c>
      <c r="B18" s="1" t="s">
        <v>150</v>
      </c>
      <c r="C18">
        <f>ROUND(Sheet1!C18*1000,1)</f>
        <v>809.2</v>
      </c>
      <c r="D18">
        <f>ROUND(Sheet1!D18*1000,1)</f>
        <v>417.4</v>
      </c>
      <c r="E18">
        <f>ROUND(Sheet1!E18*1000,1)</f>
        <v>1412.3</v>
      </c>
      <c r="F18">
        <f>ROUND(Sheet1!F18*1000,1)</f>
        <v>601</v>
      </c>
      <c r="G18">
        <f>ROUND(Sheet1!G18*1000,1)</f>
        <v>843.8</v>
      </c>
      <c r="H18">
        <f>ROUND(Sheet1!H18*1000,1)</f>
        <v>617.9</v>
      </c>
      <c r="I18">
        <f>ROUND(Sheet1!I18*1000,1)</f>
        <v>244.9</v>
      </c>
      <c r="J18">
        <f>ROUND(Sheet1!J18*1000,1)</f>
        <v>172</v>
      </c>
      <c r="K18">
        <f>ROUND(Sheet1!K18*1000,1)</f>
        <v>914.1</v>
      </c>
      <c r="L18">
        <f>ROUND(Sheet1!L18*1000,1)</f>
        <v>433.5</v>
      </c>
    </row>
    <row r="19" spans="1:12" ht="16.5" x14ac:dyDescent="0.35">
      <c r="A19" t="s">
        <v>25</v>
      </c>
      <c r="B19" s="1" t="s">
        <v>150</v>
      </c>
      <c r="C19">
        <f>ROUND(Sheet1!C19*1000,1)</f>
        <v>761.2</v>
      </c>
      <c r="D19">
        <f>ROUND(Sheet1!D19*1000,1)</f>
        <v>477.9</v>
      </c>
      <c r="E19">
        <f>ROUND(Sheet1!E19*1000,1)</f>
        <v>811.1</v>
      </c>
      <c r="F19">
        <f>ROUND(Sheet1!F19*1000,1)</f>
        <v>356.1</v>
      </c>
      <c r="G19">
        <f>ROUND(Sheet1!G19*1000,1)</f>
        <v>1981.4</v>
      </c>
      <c r="H19">
        <f>ROUND(Sheet1!H19*1000,1)</f>
        <v>928.8</v>
      </c>
      <c r="I19">
        <f>ROUND(Sheet1!I19*1000,1)</f>
        <v>294.5</v>
      </c>
      <c r="J19">
        <f>ROUND(Sheet1!J19*1000,1)</f>
        <v>253.4</v>
      </c>
      <c r="K19">
        <f>ROUND(Sheet1!K19*1000,1)</f>
        <v>423.3</v>
      </c>
      <c r="L19">
        <f>ROUND(Sheet1!L19*1000,1)</f>
        <v>285.7</v>
      </c>
    </row>
    <row r="20" spans="1:12" ht="16.5" x14ac:dyDescent="0.35">
      <c r="A20" t="s">
        <v>26</v>
      </c>
      <c r="B20" s="1" t="s">
        <v>150</v>
      </c>
      <c r="C20">
        <f>ROUND(Sheet1!C20*1000,1)</f>
        <v>900.2</v>
      </c>
      <c r="D20">
        <f>ROUND(Sheet1!D20*1000,1)</f>
        <v>462</v>
      </c>
      <c r="E20">
        <f>ROUND(Sheet1!E20*1000,1)</f>
        <v>68.400000000000006</v>
      </c>
      <c r="F20">
        <f>ROUND(Sheet1!F20*1000,1)</f>
        <v>32.4</v>
      </c>
      <c r="G20">
        <f>ROUND(Sheet1!G20*1000,1)</f>
        <v>132.80000000000001</v>
      </c>
      <c r="H20">
        <f>ROUND(Sheet1!H20*1000,1)</f>
        <v>108.7</v>
      </c>
      <c r="I20">
        <f>ROUND(Sheet1!I20*1000,1)</f>
        <v>133.1</v>
      </c>
      <c r="J20">
        <f>ROUND(Sheet1!J20*1000,1)</f>
        <v>81.099999999999994</v>
      </c>
      <c r="K20">
        <f>ROUND(Sheet1!K20*1000,1)</f>
        <v>94.9</v>
      </c>
      <c r="L20">
        <f>ROUND(Sheet1!L20*1000,1)</f>
        <v>71.7</v>
      </c>
    </row>
    <row r="21" spans="1:12" ht="16.5" x14ac:dyDescent="0.35">
      <c r="A21" t="s">
        <v>27</v>
      </c>
      <c r="B21" s="1" t="s">
        <v>150</v>
      </c>
      <c r="C21">
        <f>ROUND(Sheet1!C21*1000,1)</f>
        <v>532</v>
      </c>
      <c r="D21">
        <f>ROUND(Sheet1!D21*1000,1)</f>
        <v>303.2</v>
      </c>
      <c r="E21">
        <f>ROUND(Sheet1!E21*1000,1)</f>
        <v>150.69999999999999</v>
      </c>
      <c r="F21">
        <f>ROUND(Sheet1!F21*1000,1)</f>
        <v>133.4</v>
      </c>
      <c r="G21">
        <f>ROUND(Sheet1!G21*1000,1)</f>
        <v>67.099999999999994</v>
      </c>
      <c r="H21">
        <f>ROUND(Sheet1!H21*1000,1)</f>
        <v>57.5</v>
      </c>
      <c r="I21">
        <f>ROUND(Sheet1!I21*1000,1)</f>
        <v>96.4</v>
      </c>
      <c r="J21">
        <f>ROUND(Sheet1!J21*1000,1)</f>
        <v>76.900000000000006</v>
      </c>
      <c r="K21">
        <f>ROUND(Sheet1!K21*1000,1)</f>
        <v>96.1</v>
      </c>
      <c r="L21">
        <f>ROUND(Sheet1!L21*1000,1)</f>
        <v>82.1</v>
      </c>
    </row>
    <row r="22" spans="1:12" ht="16.5" x14ac:dyDescent="0.35">
      <c r="A22" t="s">
        <v>28</v>
      </c>
      <c r="B22" s="1" t="s">
        <v>150</v>
      </c>
      <c r="C22" t="e">
        <f>ROUND(Sheet1!C22*1000,1)</f>
        <v>#VALUE!</v>
      </c>
      <c r="D22" t="e">
        <f>ROUND(Sheet1!D22*1000,1)</f>
        <v>#VALUE!</v>
      </c>
      <c r="E22">
        <f>ROUND(Sheet1!E22*1000,1)</f>
        <v>149.1</v>
      </c>
      <c r="F22">
        <f>ROUND(Sheet1!F22*1000,1)</f>
        <v>130.30000000000001</v>
      </c>
      <c r="G22">
        <f>ROUND(Sheet1!G22*1000,1)</f>
        <v>53.9</v>
      </c>
      <c r="H22">
        <f>ROUND(Sheet1!H22*1000,1)</f>
        <v>42.6</v>
      </c>
      <c r="I22">
        <f>ROUND(Sheet1!I22*1000,1)</f>
        <v>61.4</v>
      </c>
      <c r="J22">
        <f>ROUND(Sheet1!J22*1000,1)</f>
        <v>52.1</v>
      </c>
      <c r="K22">
        <f>ROUND(Sheet1!K22*1000,1)</f>
        <v>89.6</v>
      </c>
      <c r="L22">
        <f>ROUND(Sheet1!L22*1000,1)</f>
        <v>75.7</v>
      </c>
    </row>
    <row r="23" spans="1:12" ht="16.5" x14ac:dyDescent="0.35">
      <c r="A23" t="s">
        <v>29</v>
      </c>
      <c r="B23" s="1" t="s">
        <v>150</v>
      </c>
      <c r="C23">
        <f>ROUND(Sheet1!C23*1000,1)</f>
        <v>19.399999999999999</v>
      </c>
      <c r="D23">
        <f>ROUND(Sheet1!D23*1000,1)</f>
        <v>15.5</v>
      </c>
      <c r="E23">
        <f>ROUND(Sheet1!E23*1000,1)</f>
        <v>41.5</v>
      </c>
      <c r="F23">
        <f>ROUND(Sheet1!F23*1000,1)</f>
        <v>35.4</v>
      </c>
      <c r="G23">
        <f>ROUND(Sheet1!G23*1000,1)</f>
        <v>8.9</v>
      </c>
      <c r="H23">
        <f>ROUND(Sheet1!H23*1000,1)</f>
        <v>6.9</v>
      </c>
      <c r="I23">
        <f>ROUND(Sheet1!I23*1000,1)</f>
        <v>10.7</v>
      </c>
      <c r="J23">
        <f>ROUND(Sheet1!J23*1000,1)</f>
        <v>8.1999999999999993</v>
      </c>
      <c r="K23">
        <f>ROUND(Sheet1!K23*1000,1)</f>
        <v>20.3</v>
      </c>
      <c r="L23">
        <f>ROUND(Sheet1!L23*1000,1)</f>
        <v>16.2</v>
      </c>
    </row>
    <row r="24" spans="1:12" ht="16.5" x14ac:dyDescent="0.35">
      <c r="A24" t="s">
        <v>30</v>
      </c>
      <c r="B24" s="1" t="s">
        <v>150</v>
      </c>
      <c r="C24">
        <f>ROUND(Sheet1!C24*1000,1)</f>
        <v>10.199999999999999</v>
      </c>
      <c r="D24">
        <f>ROUND(Sheet1!D24*1000,1)</f>
        <v>8.1</v>
      </c>
      <c r="E24">
        <f>ROUND(Sheet1!E24*1000,1)</f>
        <v>32.5</v>
      </c>
      <c r="F24">
        <f>ROUND(Sheet1!F24*1000,1)</f>
        <v>27</v>
      </c>
      <c r="G24">
        <f>ROUND(Sheet1!G24*1000,1)</f>
        <v>5</v>
      </c>
      <c r="H24">
        <f>ROUND(Sheet1!H24*1000,1)</f>
        <v>4</v>
      </c>
      <c r="I24">
        <f>ROUND(Sheet1!I24*1000,1)</f>
        <v>6</v>
      </c>
      <c r="J24">
        <f>ROUND(Sheet1!J24*1000,1)</f>
        <v>5</v>
      </c>
      <c r="K24">
        <f>ROUND(Sheet1!K24*1000,1)</f>
        <v>0.9</v>
      </c>
      <c r="L24">
        <f>ROUND(Sheet1!L24*1000,1)</f>
        <v>0.7</v>
      </c>
    </row>
    <row r="25" spans="1:12" ht="16.5" x14ac:dyDescent="0.35">
      <c r="A25" t="s">
        <v>31</v>
      </c>
      <c r="B25" s="1" t="s">
        <v>150</v>
      </c>
      <c r="C25">
        <f>ROUND(Sheet1!C25*1000,1)</f>
        <v>992.4</v>
      </c>
      <c r="D25">
        <f>ROUND(Sheet1!D25*1000,1)</f>
        <v>414</v>
      </c>
      <c r="E25">
        <f>ROUND(Sheet1!E25*1000,1)</f>
        <v>150.6</v>
      </c>
      <c r="F25">
        <f>ROUND(Sheet1!F25*1000,1)</f>
        <v>129.5</v>
      </c>
      <c r="G25">
        <f>ROUND(Sheet1!G25*1000,2)</f>
        <v>0.02</v>
      </c>
      <c r="H25">
        <f>ROUND(Sheet1!H25*1000,2)</f>
        <v>0.01</v>
      </c>
      <c r="I25">
        <f>ROUND(Sheet1!I25*1000,2)</f>
        <v>0.01</v>
      </c>
      <c r="J25">
        <f>ROUND(Sheet1!J25*1000,3)</f>
        <v>5.0000000000000001E-3</v>
      </c>
      <c r="K25">
        <f>ROUND(Sheet1!K25*1000,1)</f>
        <v>1.5</v>
      </c>
      <c r="L25">
        <f>ROUND(Sheet1!L25*1000,1)</f>
        <v>1.1000000000000001</v>
      </c>
    </row>
    <row r="26" spans="1:12" ht="16.5" x14ac:dyDescent="0.35">
      <c r="A26" t="s">
        <v>32</v>
      </c>
      <c r="B26" s="1" t="s">
        <v>150</v>
      </c>
      <c r="C26">
        <f>ROUND(Sheet1!C26*1000,1)</f>
        <v>1580.5</v>
      </c>
      <c r="D26">
        <f>ROUND(Sheet1!D26*1000,1)</f>
        <v>843.5</v>
      </c>
      <c r="E26">
        <f>ROUND(Sheet1!E26*1000,1)</f>
        <v>322.89999999999998</v>
      </c>
      <c r="F26">
        <f>ROUND(Sheet1!F26*1000,1)</f>
        <v>168.9</v>
      </c>
      <c r="G26">
        <f>ROUND(Sheet1!G26*1000,1)</f>
        <v>143.30000000000001</v>
      </c>
      <c r="H26">
        <f>ROUND(Sheet1!H26*1000,1)</f>
        <v>86</v>
      </c>
      <c r="I26">
        <f>ROUND(Sheet1!I26*1000,1)</f>
        <v>107.5</v>
      </c>
      <c r="J26">
        <f>ROUND(Sheet1!J26*1000,1)</f>
        <v>60.4</v>
      </c>
      <c r="K26">
        <f>ROUND(Sheet1!K26*1000,1)</f>
        <v>146.5</v>
      </c>
      <c r="L26">
        <f>ROUND(Sheet1!L26*1000,1)</f>
        <v>78.7</v>
      </c>
    </row>
    <row r="27" spans="1:12" ht="16.5" x14ac:dyDescent="0.35">
      <c r="A27" t="s">
        <v>33</v>
      </c>
      <c r="B27" s="1" t="s">
        <v>150</v>
      </c>
      <c r="C27">
        <f>ROUND(Sheet1!C27*1000,1)</f>
        <v>2658.4</v>
      </c>
      <c r="D27">
        <f>ROUND(Sheet1!D27*1000,1)</f>
        <v>974.8</v>
      </c>
      <c r="E27">
        <f>ROUND(Sheet1!E27*1000,1)</f>
        <v>443.5</v>
      </c>
      <c r="F27">
        <f>ROUND(Sheet1!F27*1000,1)</f>
        <v>234.4</v>
      </c>
      <c r="G27">
        <f>ROUND(Sheet1!G27*1000,1)</f>
        <v>471.9</v>
      </c>
      <c r="H27">
        <f>ROUND(Sheet1!H27*1000,1)</f>
        <v>176.4</v>
      </c>
      <c r="I27">
        <f>ROUND(Sheet1!I27*1000,1)</f>
        <v>147.30000000000001</v>
      </c>
      <c r="J27">
        <f>ROUND(Sheet1!J27*1000,1)</f>
        <v>102.5</v>
      </c>
      <c r="K27">
        <f>ROUND(Sheet1!K27*1000,1)</f>
        <v>218.9</v>
      </c>
      <c r="L27">
        <f>ROUND(Sheet1!L27*1000,1)</f>
        <v>135.19999999999999</v>
      </c>
    </row>
    <row r="28" spans="1:12" ht="16.5" x14ac:dyDescent="0.35">
      <c r="A28" t="s">
        <v>34</v>
      </c>
      <c r="B28" s="1" t="s">
        <v>150</v>
      </c>
      <c r="C28">
        <f>ROUND(Sheet1!C28*1000,1)</f>
        <v>439.9</v>
      </c>
      <c r="D28">
        <f>ROUND(Sheet1!D28*1000,1)</f>
        <v>332.1</v>
      </c>
      <c r="E28">
        <f>ROUND(Sheet1!E28*1000,1)</f>
        <v>101</v>
      </c>
      <c r="F28">
        <f>ROUND(Sheet1!F28*1000,1)</f>
        <v>79.5</v>
      </c>
      <c r="G28">
        <f>ROUND(Sheet1!G28*1000,1)</f>
        <v>403.4</v>
      </c>
      <c r="H28">
        <f>ROUND(Sheet1!H28*1000,1)</f>
        <v>180.7</v>
      </c>
      <c r="I28">
        <f>ROUND(Sheet1!I28*1000,1)</f>
        <v>3531.3</v>
      </c>
      <c r="J28">
        <f>ROUND(Sheet1!J28*1000,1)</f>
        <v>578</v>
      </c>
      <c r="K28">
        <f>ROUND(Sheet1!K28*1000,1)</f>
        <v>588.5</v>
      </c>
      <c r="L28">
        <f>ROUND(Sheet1!L28*1000,1)</f>
        <v>272.8</v>
      </c>
    </row>
    <row r="29" spans="1:12" ht="16.5" x14ac:dyDescent="0.35">
      <c r="A29" t="s">
        <v>35</v>
      </c>
      <c r="B29" s="1" t="s">
        <v>150</v>
      </c>
      <c r="C29">
        <f>ROUND(Sheet1!C29*1000,1)</f>
        <v>455.1</v>
      </c>
      <c r="D29">
        <f>ROUND(Sheet1!D29*1000,1)</f>
        <v>292.7</v>
      </c>
      <c r="E29">
        <f>ROUND(Sheet1!E29*1000,1)</f>
        <v>853</v>
      </c>
      <c r="F29">
        <f>ROUND(Sheet1!F29*1000,1)</f>
        <v>291.3</v>
      </c>
      <c r="G29">
        <f>ROUND(Sheet1!G29*1000,1)</f>
        <v>264.89999999999998</v>
      </c>
      <c r="H29">
        <f>ROUND(Sheet1!H29*1000,1)</f>
        <v>105.8</v>
      </c>
      <c r="I29">
        <f>ROUND(Sheet1!I29*1000,1)</f>
        <v>284.60000000000002</v>
      </c>
      <c r="J29">
        <f>ROUND(Sheet1!J29*1000,1)</f>
        <v>127.9</v>
      </c>
      <c r="K29">
        <f>ROUND(Sheet1!K29*1000,1)</f>
        <v>339.1</v>
      </c>
      <c r="L29">
        <f>ROUND(Sheet1!L29*1000,1)</f>
        <v>155</v>
      </c>
    </row>
    <row r="30" spans="1:12" ht="16.5" x14ac:dyDescent="0.35">
      <c r="A30" t="s">
        <v>36</v>
      </c>
      <c r="B30" s="1" t="s">
        <v>150</v>
      </c>
      <c r="C30" t="e">
        <f>ROUND(Sheet1!C30*1000,1)</f>
        <v>#VALUE!</v>
      </c>
      <c r="D30" t="e">
        <f>ROUND(Sheet1!D30*1000,1)</f>
        <v>#VALUE!</v>
      </c>
      <c r="E30">
        <f>ROUND(Sheet1!E30*1000,1)</f>
        <v>496.9</v>
      </c>
      <c r="F30">
        <f>ROUND(Sheet1!F30*1000,1)</f>
        <v>223.7</v>
      </c>
      <c r="G30">
        <f>ROUND(Sheet1!G30*1000,1)</f>
        <v>96.3</v>
      </c>
      <c r="H30">
        <f>ROUND(Sheet1!H30*1000,1)</f>
        <v>49.6</v>
      </c>
      <c r="I30">
        <f>ROUND(Sheet1!I30*1000,1)</f>
        <v>112.7</v>
      </c>
      <c r="J30">
        <f>ROUND(Sheet1!J30*1000,1)</f>
        <v>79.5</v>
      </c>
      <c r="K30">
        <f>ROUND(Sheet1!K30*1000,1)</f>
        <v>250.2</v>
      </c>
      <c r="L30">
        <f>ROUND(Sheet1!L30*1000,1)</f>
        <v>127.4</v>
      </c>
    </row>
    <row r="31" spans="1:12" ht="16.5" x14ac:dyDescent="0.35">
      <c r="A31" t="s">
        <v>37</v>
      </c>
      <c r="B31" s="1" t="s">
        <v>150</v>
      </c>
      <c r="C31">
        <f>ROUND(Sheet1!C31*1000,1)</f>
        <v>18.600000000000001</v>
      </c>
      <c r="D31">
        <f>ROUND(Sheet1!D31*1000,1)</f>
        <v>14.3</v>
      </c>
      <c r="E31">
        <f>ROUND(Sheet1!E31*1000,1)</f>
        <v>53.2</v>
      </c>
      <c r="F31">
        <f>ROUND(Sheet1!F31*1000,1)</f>
        <v>39.799999999999997</v>
      </c>
      <c r="G31">
        <f>ROUND(Sheet1!G31*1000,1)</f>
        <v>7.7</v>
      </c>
      <c r="H31">
        <f>ROUND(Sheet1!H31*1000,1)</f>
        <v>6</v>
      </c>
      <c r="I31">
        <f>ROUND(Sheet1!I31*1000,1)</f>
        <v>9.6</v>
      </c>
      <c r="J31">
        <f>ROUND(Sheet1!J31*1000,1)</f>
        <v>7.7</v>
      </c>
      <c r="K31">
        <f>ROUND(Sheet1!K31*1000,1)</f>
        <v>23.6</v>
      </c>
      <c r="L31">
        <f>ROUND(Sheet1!L31*1000,1)</f>
        <v>17.8</v>
      </c>
    </row>
    <row r="32" spans="1:12" ht="16.5" x14ac:dyDescent="0.35">
      <c r="A32" t="s">
        <v>38</v>
      </c>
      <c r="B32" s="1" t="s">
        <v>150</v>
      </c>
      <c r="C32">
        <f>ROUND(Sheet1!C32*1000,1)</f>
        <v>10.1</v>
      </c>
      <c r="D32">
        <f>ROUND(Sheet1!D32*1000,1)</f>
        <v>8.1999999999999993</v>
      </c>
      <c r="E32">
        <f>ROUND(Sheet1!E32*1000,1)</f>
        <v>38.799999999999997</v>
      </c>
      <c r="F32">
        <f>ROUND(Sheet1!F32*1000,1)</f>
        <v>30.7</v>
      </c>
      <c r="G32">
        <f>ROUND(Sheet1!G32*1000,1)</f>
        <v>5.7</v>
      </c>
      <c r="H32">
        <f>ROUND(Sheet1!H32*1000,1)</f>
        <v>4.4000000000000004</v>
      </c>
      <c r="I32">
        <f>ROUND(Sheet1!I32*1000,1)</f>
        <v>7.1</v>
      </c>
      <c r="J32">
        <f>ROUND(Sheet1!J32*1000,1)</f>
        <v>5.9</v>
      </c>
      <c r="K32">
        <f>ROUND(Sheet1!K32*1000,1)</f>
        <v>0.8</v>
      </c>
      <c r="L32">
        <f>ROUND(Sheet1!L32*1000,1)</f>
        <v>0.7</v>
      </c>
    </row>
    <row r="33" spans="1:12" ht="16.5" x14ac:dyDescent="0.35">
      <c r="A33" t="s">
        <v>39</v>
      </c>
      <c r="B33" s="1" t="s">
        <v>150</v>
      </c>
      <c r="C33">
        <f>ROUND(Sheet1!C33*1000,1)</f>
        <v>2415.8000000000002</v>
      </c>
      <c r="D33">
        <f>ROUND(Sheet1!D33*1000,1)</f>
        <v>607.4</v>
      </c>
      <c r="E33">
        <f>ROUND(Sheet1!E33*1000,1)</f>
        <v>1227.8</v>
      </c>
      <c r="F33">
        <f>ROUND(Sheet1!F33*1000,1)</f>
        <v>368.2</v>
      </c>
      <c r="G33">
        <f>ROUND(Sheet1!G33*1000,1)</f>
        <v>34.299999999999997</v>
      </c>
      <c r="H33">
        <f>ROUND(Sheet1!H33*1000,1)</f>
        <v>13.7</v>
      </c>
      <c r="I33">
        <f>ROUND(Sheet1!I33*1000,1)</f>
        <v>1770</v>
      </c>
      <c r="J33">
        <f>ROUND(Sheet1!J33*1000,1)</f>
        <v>389.5</v>
      </c>
      <c r="K33">
        <f>ROUND(Sheet1!K33*1000,1)</f>
        <v>7.9</v>
      </c>
      <c r="L33">
        <f>ROUND(Sheet1!L33*1000,1)</f>
        <v>1.8</v>
      </c>
    </row>
    <row r="34" spans="1:12" ht="16.5" x14ac:dyDescent="0.35">
      <c r="A34" t="s">
        <v>40</v>
      </c>
      <c r="B34" s="1" t="s">
        <v>150</v>
      </c>
      <c r="C34">
        <f>ROUND(Sheet1!C34*1000,1)</f>
        <v>862.5</v>
      </c>
      <c r="D34">
        <f>ROUND(Sheet1!D34*1000,1)</f>
        <v>457</v>
      </c>
      <c r="E34">
        <f>ROUND(Sheet1!E34*1000,1)</f>
        <v>629</v>
      </c>
      <c r="F34">
        <f>ROUND(Sheet1!F34*1000,1)</f>
        <v>276.10000000000002</v>
      </c>
      <c r="G34">
        <f>ROUND(Sheet1!G34*1000,1)</f>
        <v>176.7</v>
      </c>
      <c r="H34">
        <f>ROUND(Sheet1!H34*1000,1)</f>
        <v>92.9</v>
      </c>
      <c r="I34">
        <f>ROUND(Sheet1!I34*1000,1)</f>
        <v>1494.6</v>
      </c>
      <c r="J34">
        <f>ROUND(Sheet1!J34*1000,1)</f>
        <v>654.29999999999995</v>
      </c>
      <c r="K34">
        <f>ROUND(Sheet1!K34*1000,1)</f>
        <v>272.89999999999998</v>
      </c>
      <c r="L34">
        <f>ROUND(Sheet1!L34*1000,1)</f>
        <v>149.80000000000001</v>
      </c>
    </row>
    <row r="35" spans="1:12" ht="16.5" x14ac:dyDescent="0.35">
      <c r="A35" t="s">
        <v>41</v>
      </c>
      <c r="B35" s="1" t="s">
        <v>150</v>
      </c>
      <c r="C35">
        <f>ROUND(Sheet1!C35*1000,1)</f>
        <v>235</v>
      </c>
      <c r="D35">
        <f>ROUND(Sheet1!D35*1000,1)</f>
        <v>154</v>
      </c>
      <c r="E35">
        <f>ROUND(Sheet1!E35*1000,1)</f>
        <v>286</v>
      </c>
      <c r="F35">
        <f>ROUND(Sheet1!F35*1000,1)</f>
        <v>157.1</v>
      </c>
      <c r="G35">
        <f>ROUND(Sheet1!G35*1000,1)</f>
        <v>153.4</v>
      </c>
      <c r="H35">
        <f>ROUND(Sheet1!H35*1000,1)</f>
        <v>101</v>
      </c>
      <c r="I35">
        <f>ROUND(Sheet1!I35*1000,1)</f>
        <v>212.1</v>
      </c>
      <c r="J35">
        <f>ROUND(Sheet1!J35*1000,1)</f>
        <v>140.5</v>
      </c>
      <c r="K35">
        <f>ROUND(Sheet1!K35*1000,1)</f>
        <v>178.6</v>
      </c>
      <c r="L35">
        <f>ROUND(Sheet1!L35*1000,1)</f>
        <v>115.1</v>
      </c>
    </row>
    <row r="36" spans="1:12" ht="16.5" x14ac:dyDescent="0.35">
      <c r="A36" t="s">
        <v>42</v>
      </c>
      <c r="B36" s="1" t="s">
        <v>150</v>
      </c>
      <c r="C36">
        <f>ROUND(Sheet1!C36*1000,1)</f>
        <v>211.7</v>
      </c>
      <c r="D36">
        <f>ROUND(Sheet1!D36*1000,1)</f>
        <v>183.1</v>
      </c>
      <c r="E36">
        <f>ROUND(Sheet1!E36*1000,1)</f>
        <v>65.5</v>
      </c>
      <c r="F36">
        <f>ROUND(Sheet1!F36*1000,1)</f>
        <v>57.2</v>
      </c>
      <c r="G36">
        <f>ROUND(Sheet1!G36*1000,1)</f>
        <v>89.2</v>
      </c>
      <c r="H36">
        <f>ROUND(Sheet1!H36*1000,1)</f>
        <v>110.7</v>
      </c>
      <c r="I36">
        <f>ROUND(Sheet1!I36*1000,1)</f>
        <v>178.7</v>
      </c>
      <c r="J36">
        <f>ROUND(Sheet1!J36*1000,1)</f>
        <v>168.6</v>
      </c>
      <c r="K36">
        <f>ROUND(Sheet1!K36*1000,1)</f>
        <v>126.5</v>
      </c>
      <c r="L36">
        <f>ROUND(Sheet1!L36*1000,1)</f>
        <v>117.9</v>
      </c>
    </row>
    <row r="37" spans="1:12" ht="16.5" x14ac:dyDescent="0.35">
      <c r="A37" t="s">
        <v>43</v>
      </c>
      <c r="B37" s="1" t="s">
        <v>150</v>
      </c>
      <c r="C37">
        <f>ROUND(Sheet1!C37*1000,1)</f>
        <v>345.7</v>
      </c>
      <c r="D37">
        <f>ROUND(Sheet1!D37*1000,1)</f>
        <v>259.2</v>
      </c>
      <c r="E37">
        <f>ROUND(Sheet1!E37*1000,1)</f>
        <v>294.5</v>
      </c>
      <c r="F37">
        <f>ROUND(Sheet1!F37*1000,1)</f>
        <v>250.4</v>
      </c>
      <c r="G37">
        <f>ROUND(Sheet1!G37*1000,1)</f>
        <v>2431.3000000000002</v>
      </c>
      <c r="H37">
        <f>ROUND(Sheet1!H37*1000,1)</f>
        <v>863.3</v>
      </c>
      <c r="I37">
        <f>ROUND(Sheet1!I37*1000,1)</f>
        <v>300.39999999999998</v>
      </c>
      <c r="J37">
        <f>ROUND(Sheet1!J37*1000,1)</f>
        <v>232.5</v>
      </c>
      <c r="K37">
        <f>ROUND(Sheet1!K37*1000,1)</f>
        <v>296.10000000000002</v>
      </c>
      <c r="L37">
        <f>ROUND(Sheet1!L37*1000,1)</f>
        <v>222.5</v>
      </c>
    </row>
    <row r="38" spans="1:12" ht="16.5" x14ac:dyDescent="0.35">
      <c r="A38" t="s">
        <v>44</v>
      </c>
      <c r="B38" s="1" t="s">
        <v>150</v>
      </c>
      <c r="C38" t="e">
        <f>ROUND(Sheet1!C38*1000,1)</f>
        <v>#VALUE!</v>
      </c>
      <c r="D38" t="e">
        <f>ROUND(Sheet1!D38*1000,1)</f>
        <v>#VALUE!</v>
      </c>
      <c r="E38">
        <f>ROUND(Sheet1!E38*1000,1)</f>
        <v>898.7</v>
      </c>
      <c r="F38">
        <f>ROUND(Sheet1!F38*1000,1)</f>
        <v>372.8</v>
      </c>
      <c r="G38">
        <f>ROUND(Sheet1!G38*1000,1)</f>
        <v>1500.5</v>
      </c>
      <c r="H38">
        <f>ROUND(Sheet1!H38*1000,1)</f>
        <v>765.9</v>
      </c>
      <c r="I38">
        <f>ROUND(Sheet1!I38*1000,1)</f>
        <v>316.89999999999998</v>
      </c>
      <c r="J38">
        <f>ROUND(Sheet1!J38*1000,1)</f>
        <v>246.2</v>
      </c>
      <c r="K38">
        <f>ROUND(Sheet1!K38*1000,1)</f>
        <v>640.6</v>
      </c>
      <c r="L38">
        <f>ROUND(Sheet1!L38*1000,1)</f>
        <v>293.10000000000002</v>
      </c>
    </row>
    <row r="39" spans="1:12" ht="16.5" x14ac:dyDescent="0.35">
      <c r="A39" t="s">
        <v>45</v>
      </c>
      <c r="B39" s="1" t="s">
        <v>150</v>
      </c>
      <c r="C39">
        <f>ROUND(Sheet1!C39*1000,1)</f>
        <v>27.1</v>
      </c>
      <c r="D39">
        <f>ROUND(Sheet1!D39*1000,1)</f>
        <v>21.6</v>
      </c>
      <c r="E39">
        <f>ROUND(Sheet1!E39*1000,1)</f>
        <v>90.2</v>
      </c>
      <c r="F39">
        <f>ROUND(Sheet1!F39*1000,1)</f>
        <v>70.7</v>
      </c>
      <c r="G39">
        <f>ROUND(Sheet1!G39*1000,1)</f>
        <v>19.600000000000001</v>
      </c>
      <c r="H39">
        <f>ROUND(Sheet1!H39*1000,1)</f>
        <v>13.5</v>
      </c>
      <c r="I39">
        <f>ROUND(Sheet1!I39*1000,1)</f>
        <v>21.6</v>
      </c>
      <c r="J39">
        <f>ROUND(Sheet1!J39*1000,1)</f>
        <v>18.5</v>
      </c>
      <c r="K39">
        <f>ROUND(Sheet1!K39*1000,1)</f>
        <v>121.5</v>
      </c>
      <c r="L39">
        <f>ROUND(Sheet1!L39*1000,1)</f>
        <v>95.2</v>
      </c>
    </row>
    <row r="40" spans="1:12" ht="16.5" x14ac:dyDescent="0.35">
      <c r="A40" t="s">
        <v>46</v>
      </c>
      <c r="B40" s="1" t="s">
        <v>150</v>
      </c>
      <c r="C40">
        <f>ROUND(Sheet1!C40*1000,1)</f>
        <v>154.30000000000001</v>
      </c>
      <c r="D40">
        <f>ROUND(Sheet1!D40*1000,1)</f>
        <v>105.3</v>
      </c>
      <c r="E40">
        <f>ROUND(Sheet1!E40*1000,1)</f>
        <v>294.10000000000002</v>
      </c>
      <c r="F40">
        <f>ROUND(Sheet1!F40*1000,1)</f>
        <v>181.7</v>
      </c>
      <c r="G40">
        <f>ROUND(Sheet1!G40*1000,1)</f>
        <v>28.3</v>
      </c>
      <c r="H40">
        <f>ROUND(Sheet1!H40*1000,1)</f>
        <v>16</v>
      </c>
      <c r="I40">
        <f>ROUND(Sheet1!I40*1000,1)</f>
        <v>47.2</v>
      </c>
      <c r="J40">
        <f>ROUND(Sheet1!J40*1000,1)</f>
        <v>36.4</v>
      </c>
      <c r="K40">
        <f>ROUND(Sheet1!K40*1000,1)</f>
        <v>0.9</v>
      </c>
      <c r="L40">
        <f>ROUND(Sheet1!L40*1000,1)</f>
        <v>0.7</v>
      </c>
    </row>
    <row r="41" spans="1:12" ht="16.5" x14ac:dyDescent="0.35">
      <c r="A41" t="s">
        <v>47</v>
      </c>
      <c r="B41" s="1" t="s">
        <v>150</v>
      </c>
      <c r="C41">
        <f>ROUND(Sheet1!C41*1000,1)</f>
        <v>328.7</v>
      </c>
      <c r="D41">
        <f>ROUND(Sheet1!D41*1000,1)</f>
        <v>251.6</v>
      </c>
      <c r="E41">
        <f>ROUND(Sheet1!E41*1000,1)</f>
        <v>161.19999999999999</v>
      </c>
      <c r="F41">
        <f>ROUND(Sheet1!F41*1000,1)</f>
        <v>146.4</v>
      </c>
      <c r="G41">
        <f>ROUND(Sheet1!G41*1000,1)</f>
        <v>9.6</v>
      </c>
      <c r="H41">
        <f>ROUND(Sheet1!H41*1000,1)</f>
        <v>7.5</v>
      </c>
      <c r="I41">
        <f>ROUND(Sheet1!I41*1000,1)</f>
        <v>145.1</v>
      </c>
      <c r="J41">
        <f>ROUND(Sheet1!J41*1000,1)</f>
        <v>129.69999999999999</v>
      </c>
      <c r="K41">
        <f>ROUND(Sheet1!K41*1000,1)</f>
        <v>0.6</v>
      </c>
      <c r="L41">
        <f>ROUND(Sheet1!L41*1000,1)</f>
        <v>0.5</v>
      </c>
    </row>
    <row r="42" spans="1:12" ht="16.5" x14ac:dyDescent="0.35">
      <c r="A42" t="s">
        <v>48</v>
      </c>
      <c r="B42" s="1" t="s">
        <v>150</v>
      </c>
      <c r="C42">
        <f>ROUND(Sheet1!C42*1000,1)</f>
        <v>1009</v>
      </c>
      <c r="D42">
        <f>ROUND(Sheet1!D42*1000,1)</f>
        <v>297.2</v>
      </c>
      <c r="E42">
        <f>ROUND(Sheet1!E42*1000,1)</f>
        <v>1113.3</v>
      </c>
      <c r="F42">
        <f>ROUND(Sheet1!F42*1000,1)</f>
        <v>203.4</v>
      </c>
      <c r="G42">
        <f>ROUND(Sheet1!G42*1000,1)</f>
        <v>2732.6</v>
      </c>
      <c r="H42">
        <f>ROUND(Sheet1!H42*1000,1)</f>
        <v>435.3</v>
      </c>
      <c r="I42">
        <f>ROUND(Sheet1!I42*1000,1)</f>
        <v>797.1</v>
      </c>
      <c r="J42">
        <f>ROUND(Sheet1!J42*1000,1)</f>
        <v>233.6</v>
      </c>
      <c r="K42">
        <f>ROUND(Sheet1!K42*1000,1)</f>
        <v>841.3</v>
      </c>
      <c r="L42">
        <f>ROUND(Sheet1!L42*1000,1)</f>
        <v>175.1</v>
      </c>
    </row>
    <row r="43" spans="1:12" ht="16.5" x14ac:dyDescent="0.35">
      <c r="A43" t="s">
        <v>49</v>
      </c>
      <c r="B43" s="1" t="s">
        <v>150</v>
      </c>
      <c r="C43">
        <f>ROUND(Sheet1!C43*1000,1)</f>
        <v>553.29999999999995</v>
      </c>
      <c r="D43">
        <f>ROUND(Sheet1!D43*1000,1)</f>
        <v>185.7</v>
      </c>
      <c r="E43">
        <f>ROUND(Sheet1!E43*1000,1)</f>
        <v>621.29999999999995</v>
      </c>
      <c r="F43">
        <f>ROUND(Sheet1!F43*1000,1)</f>
        <v>143.80000000000001</v>
      </c>
      <c r="G43">
        <f>ROUND(Sheet1!G43*1000,1)</f>
        <v>1515.5</v>
      </c>
      <c r="H43">
        <f>ROUND(Sheet1!H43*1000,1)</f>
        <v>329.4</v>
      </c>
      <c r="I43">
        <f>ROUND(Sheet1!I43*1000,1)</f>
        <v>453</v>
      </c>
      <c r="J43">
        <f>ROUND(Sheet1!J43*1000,1)</f>
        <v>154.5</v>
      </c>
      <c r="K43">
        <f>ROUND(Sheet1!K43*1000,1)</f>
        <v>476.4</v>
      </c>
      <c r="L43">
        <f>ROUND(Sheet1!L43*1000,1)</f>
        <v>124.3</v>
      </c>
    </row>
    <row r="44" spans="1:12" ht="16.5" x14ac:dyDescent="0.35">
      <c r="A44" t="s">
        <v>50</v>
      </c>
      <c r="B44" s="1" t="s">
        <v>150</v>
      </c>
      <c r="C44">
        <f>ROUND(Sheet1!C44*1000,1)</f>
        <v>817.6</v>
      </c>
      <c r="D44">
        <f>ROUND(Sheet1!D44*1000,1)</f>
        <v>360.6</v>
      </c>
      <c r="E44">
        <f>ROUND(Sheet1!E44*1000,1)</f>
        <v>1241.5</v>
      </c>
      <c r="F44">
        <f>ROUND(Sheet1!F44*1000,1)</f>
        <v>333.2</v>
      </c>
      <c r="G44">
        <f>ROUND(Sheet1!G44*1000,1)</f>
        <v>3006.3</v>
      </c>
      <c r="H44">
        <f>ROUND(Sheet1!H44*1000,1)</f>
        <v>940.9</v>
      </c>
      <c r="I44">
        <f>ROUND(Sheet1!I44*1000,1)</f>
        <v>767.9</v>
      </c>
      <c r="J44">
        <f>ROUND(Sheet1!J44*1000,1)</f>
        <v>336.5</v>
      </c>
      <c r="K44">
        <f>ROUND(Sheet1!K44*1000,1)</f>
        <v>893.3</v>
      </c>
      <c r="L44">
        <f>ROUND(Sheet1!L44*1000,1)</f>
        <v>322.5</v>
      </c>
    </row>
    <row r="45" spans="1:12" ht="16.5" x14ac:dyDescent="0.35">
      <c r="A45" t="s">
        <v>51</v>
      </c>
      <c r="B45" s="1" t="s">
        <v>150</v>
      </c>
      <c r="C45">
        <f>ROUND(Sheet1!C45*1000,1)</f>
        <v>307.5</v>
      </c>
      <c r="D45">
        <f>ROUND(Sheet1!D45*1000,1)</f>
        <v>213.1</v>
      </c>
      <c r="E45">
        <f>ROUND(Sheet1!E45*1000,1)</f>
        <v>37.299999999999997</v>
      </c>
      <c r="F45">
        <f>ROUND(Sheet1!F45*1000,1)</f>
        <v>32.1</v>
      </c>
      <c r="G45">
        <f>ROUND(Sheet1!G45*1000,1)</f>
        <v>94.8</v>
      </c>
      <c r="H45">
        <f>ROUND(Sheet1!H45*1000,1)</f>
        <v>63.9</v>
      </c>
      <c r="I45">
        <f>ROUND(Sheet1!I45*1000,1)</f>
        <v>874.5</v>
      </c>
      <c r="J45">
        <f>ROUND(Sheet1!J45*1000,1)</f>
        <v>480.2</v>
      </c>
      <c r="K45">
        <f>ROUND(Sheet1!K45*1000,1)</f>
        <v>162.6</v>
      </c>
      <c r="L45">
        <f>ROUND(Sheet1!L45*1000,1)</f>
        <v>121.7</v>
      </c>
    </row>
    <row r="46" spans="1:12" ht="16.5" x14ac:dyDescent="0.35">
      <c r="A46" t="s">
        <v>52</v>
      </c>
      <c r="B46" s="1" t="s">
        <v>150</v>
      </c>
      <c r="C46" t="e">
        <f>ROUND(Sheet1!C46*1000,1)</f>
        <v>#VALUE!</v>
      </c>
      <c r="D46" t="e">
        <f>ROUND(Sheet1!D46*1000,1)</f>
        <v>#VALUE!</v>
      </c>
      <c r="E46">
        <f>ROUND(Sheet1!E46*1000,1)</f>
        <v>45.7</v>
      </c>
      <c r="F46">
        <f>ROUND(Sheet1!F46*1000,1)</f>
        <v>36.299999999999997</v>
      </c>
      <c r="G46">
        <f>ROUND(Sheet1!G46*1000,1)</f>
        <v>70.2</v>
      </c>
      <c r="H46">
        <f>ROUND(Sheet1!H46*1000,1)</f>
        <v>40</v>
      </c>
      <c r="I46">
        <f>ROUND(Sheet1!I46*1000,1)</f>
        <v>907.2</v>
      </c>
      <c r="J46">
        <f>ROUND(Sheet1!J46*1000,1)</f>
        <v>469.3</v>
      </c>
      <c r="K46">
        <f>ROUND(Sheet1!K46*1000,1)</f>
        <v>233.2</v>
      </c>
      <c r="L46">
        <f>ROUND(Sheet1!L46*1000,1)</f>
        <v>140.4</v>
      </c>
    </row>
    <row r="47" spans="1:12" ht="16.5" x14ac:dyDescent="0.35">
      <c r="A47" t="s">
        <v>53</v>
      </c>
      <c r="B47" s="1" t="s">
        <v>150</v>
      </c>
      <c r="C47">
        <f>ROUND(Sheet1!C47*1000,1)</f>
        <v>28.1</v>
      </c>
      <c r="D47">
        <f>ROUND(Sheet1!D47*1000,1)</f>
        <v>22.9</v>
      </c>
      <c r="E47">
        <f>ROUND(Sheet1!E47*1000,1)</f>
        <v>32.200000000000003</v>
      </c>
      <c r="F47">
        <f>ROUND(Sheet1!F47*1000,1)</f>
        <v>27.5</v>
      </c>
      <c r="G47">
        <f>ROUND(Sheet1!G47*1000,1)</f>
        <v>13.6</v>
      </c>
      <c r="H47">
        <f>ROUND(Sheet1!H47*1000,1)</f>
        <v>10.4</v>
      </c>
      <c r="I47">
        <f>ROUND(Sheet1!I47*1000,1)</f>
        <v>21</v>
      </c>
      <c r="J47">
        <f>ROUND(Sheet1!J47*1000,1)</f>
        <v>18.5</v>
      </c>
      <c r="K47">
        <f>ROUND(Sheet1!K47*1000,1)</f>
        <v>84.6</v>
      </c>
      <c r="L47">
        <f>ROUND(Sheet1!L47*1000,1)</f>
        <v>69.099999999999994</v>
      </c>
    </row>
    <row r="48" spans="1:12" ht="16.5" x14ac:dyDescent="0.35">
      <c r="A48" t="s">
        <v>54</v>
      </c>
      <c r="B48" s="1" t="s">
        <v>150</v>
      </c>
      <c r="C48">
        <f>ROUND(Sheet1!C48*1000,1)</f>
        <v>167.2</v>
      </c>
      <c r="D48">
        <f>ROUND(Sheet1!D48*1000,1)</f>
        <v>108.1</v>
      </c>
      <c r="E48">
        <f>ROUND(Sheet1!E48*1000,1)</f>
        <v>40.700000000000003</v>
      </c>
      <c r="F48">
        <f>ROUND(Sheet1!F48*1000,1)</f>
        <v>35.1</v>
      </c>
      <c r="G48">
        <f>ROUND(Sheet1!G48*1000,1)</f>
        <v>65.5</v>
      </c>
      <c r="H48">
        <f>ROUND(Sheet1!H48*1000,1)</f>
        <v>23.1</v>
      </c>
      <c r="I48">
        <f>ROUND(Sheet1!I48*1000,1)</f>
        <v>52.6</v>
      </c>
      <c r="J48">
        <f>ROUND(Sheet1!J48*1000,1)</f>
        <v>38.6</v>
      </c>
      <c r="K48">
        <f>ROUND(Sheet1!K48*1000,1)</f>
        <v>0.9</v>
      </c>
      <c r="L48">
        <f>ROUND(Sheet1!L48*1000,1)</f>
        <v>0.8</v>
      </c>
    </row>
    <row r="49" spans="1:12" ht="16.5" x14ac:dyDescent="0.35">
      <c r="A49" t="s">
        <v>55</v>
      </c>
      <c r="B49" s="1" t="s">
        <v>150</v>
      </c>
      <c r="C49">
        <f>ROUND(Sheet1!C49*1000,1)</f>
        <v>327.60000000000002</v>
      </c>
      <c r="D49">
        <f>ROUND(Sheet1!D49*1000,1)</f>
        <v>216.2</v>
      </c>
      <c r="E49">
        <f>ROUND(Sheet1!E49*1000,1)</f>
        <v>37</v>
      </c>
      <c r="F49">
        <f>ROUND(Sheet1!F49*1000,1)</f>
        <v>33.799999999999997</v>
      </c>
      <c r="G49">
        <f>ROUND(Sheet1!G49*1000,1)</f>
        <v>11.5</v>
      </c>
      <c r="H49">
        <f>ROUND(Sheet1!H49*1000,1)</f>
        <v>9.9</v>
      </c>
      <c r="I49">
        <f>ROUND(Sheet1!I49*1000,1)</f>
        <v>209.6</v>
      </c>
      <c r="J49">
        <f>ROUND(Sheet1!J49*1000,1)</f>
        <v>176.1</v>
      </c>
      <c r="K49">
        <f>ROUND(Sheet1!K49*1000,1)</f>
        <v>0.6</v>
      </c>
      <c r="L49">
        <f>ROUND(Sheet1!L49*1000,1)</f>
        <v>0.5</v>
      </c>
    </row>
    <row r="50" spans="1:12" ht="16.5" x14ac:dyDescent="0.35">
      <c r="A50" t="s">
        <v>56</v>
      </c>
      <c r="B50" s="1" t="s">
        <v>150</v>
      </c>
      <c r="C50">
        <f>ROUND(Sheet1!C50*1000,1)</f>
        <v>836.8</v>
      </c>
      <c r="D50">
        <f>ROUND(Sheet1!D50*1000,1)</f>
        <v>213.4</v>
      </c>
      <c r="E50">
        <f>ROUND(Sheet1!E50*1000,1)</f>
        <v>169.4</v>
      </c>
      <c r="F50">
        <f>ROUND(Sheet1!F50*1000,1)</f>
        <v>39.9</v>
      </c>
      <c r="G50">
        <f>ROUND(Sheet1!G50*1000,1)</f>
        <v>331.2</v>
      </c>
      <c r="H50">
        <f>ROUND(Sheet1!H50*1000,1)</f>
        <v>88.5</v>
      </c>
      <c r="I50">
        <f>ROUND(Sheet1!I50*1000,1)</f>
        <v>1451.5</v>
      </c>
      <c r="J50">
        <f>ROUND(Sheet1!J50*1000,1)</f>
        <v>274.89999999999998</v>
      </c>
      <c r="K50">
        <f>ROUND(Sheet1!K50*1000,1)</f>
        <v>430.7</v>
      </c>
      <c r="L50">
        <f>ROUND(Sheet1!L50*1000,1)</f>
        <v>104</v>
      </c>
    </row>
    <row r="51" spans="1:12" ht="16.5" x14ac:dyDescent="0.35">
      <c r="A51" t="s">
        <v>57</v>
      </c>
      <c r="B51" s="1" t="s">
        <v>150</v>
      </c>
      <c r="C51">
        <f>ROUND(Sheet1!C51*1000,1)</f>
        <v>461.9</v>
      </c>
      <c r="D51">
        <f>ROUND(Sheet1!D51*1000,1)</f>
        <v>137.6</v>
      </c>
      <c r="E51">
        <f>ROUND(Sheet1!E51*1000,1)</f>
        <v>93.6</v>
      </c>
      <c r="F51">
        <f>ROUND(Sheet1!F51*1000,1)</f>
        <v>26.5</v>
      </c>
      <c r="G51">
        <f>ROUND(Sheet1!G51*1000,1)</f>
        <v>170.9</v>
      </c>
      <c r="H51">
        <f>ROUND(Sheet1!H51*1000,1)</f>
        <v>53.7</v>
      </c>
      <c r="I51">
        <f>ROUND(Sheet1!I51*1000,1)</f>
        <v>824.6</v>
      </c>
      <c r="J51">
        <f>ROUND(Sheet1!J51*1000,1)</f>
        <v>202.1</v>
      </c>
      <c r="K51">
        <f>ROUND(Sheet1!K51*1000,1)</f>
        <v>239.2</v>
      </c>
      <c r="L51">
        <f>ROUND(Sheet1!L51*1000,1)</f>
        <v>68.7</v>
      </c>
    </row>
    <row r="52" spans="1:12" ht="16.5" x14ac:dyDescent="0.35">
      <c r="A52" t="s">
        <v>58</v>
      </c>
      <c r="B52" s="1" t="s">
        <v>150</v>
      </c>
      <c r="C52">
        <f>ROUND(Sheet1!C52*1000,1)</f>
        <v>653</v>
      </c>
      <c r="D52">
        <f>ROUND(Sheet1!D52*1000,1)</f>
        <v>248.1</v>
      </c>
      <c r="E52">
        <f>ROUND(Sheet1!E52*1000,1)</f>
        <v>127.6</v>
      </c>
      <c r="F52">
        <f>ROUND(Sheet1!F52*1000,1)</f>
        <v>45.9</v>
      </c>
      <c r="G52">
        <f>ROUND(Sheet1!G52*1000,1)</f>
        <v>232</v>
      </c>
      <c r="H52">
        <f>ROUND(Sheet1!H52*1000,1)</f>
        <v>96</v>
      </c>
      <c r="I52">
        <f>ROUND(Sheet1!I52*1000,1)</f>
        <v>1659.5</v>
      </c>
      <c r="J52">
        <f>ROUND(Sheet1!J52*1000,1)</f>
        <v>493.8</v>
      </c>
      <c r="K52">
        <f>ROUND(Sheet1!K52*1000,1)</f>
        <v>384.5</v>
      </c>
      <c r="L52">
        <f>ROUND(Sheet1!L52*1000,1)</f>
        <v>138.1</v>
      </c>
    </row>
    <row r="53" spans="1:12" ht="16.5" x14ac:dyDescent="0.35">
      <c r="A53" t="s">
        <v>59</v>
      </c>
      <c r="B53" s="1" t="s">
        <v>150</v>
      </c>
      <c r="C53">
        <f>ROUND(Sheet1!C53*1000,1)</f>
        <v>1605.6</v>
      </c>
      <c r="D53">
        <f>ROUND(Sheet1!D53*1000,1)</f>
        <v>921</v>
      </c>
      <c r="E53">
        <f>ROUND(Sheet1!E53*1000,1)</f>
        <v>150.9</v>
      </c>
      <c r="F53">
        <f>ROUND(Sheet1!F53*1000,1)</f>
        <v>133.1</v>
      </c>
      <c r="G53">
        <f>ROUND(Sheet1!G53*1000,1)</f>
        <v>325.7</v>
      </c>
      <c r="H53">
        <f>ROUND(Sheet1!H53*1000,1)</f>
        <v>206.2</v>
      </c>
      <c r="I53">
        <f>ROUND(Sheet1!I53*1000,1)</f>
        <v>306</v>
      </c>
      <c r="J53">
        <f>ROUND(Sheet1!J53*1000,1)</f>
        <v>287.7</v>
      </c>
      <c r="K53">
        <f>ROUND(Sheet1!K53*1000,1)</f>
        <v>144.4</v>
      </c>
      <c r="L53">
        <f>ROUND(Sheet1!L53*1000,1)</f>
        <v>120.2</v>
      </c>
    </row>
    <row r="54" spans="1:12" ht="16.5" x14ac:dyDescent="0.35">
      <c r="A54" t="s">
        <v>60</v>
      </c>
      <c r="B54" s="1" t="s">
        <v>150</v>
      </c>
      <c r="C54" t="e">
        <f>ROUND(Sheet1!C54*1000,1)</f>
        <v>#VALUE!</v>
      </c>
      <c r="D54" t="e">
        <f>ROUND(Sheet1!D54*1000,1)</f>
        <v>#VALUE!</v>
      </c>
      <c r="E54">
        <f>ROUND(Sheet1!E54*1000,1)</f>
        <v>203.9</v>
      </c>
      <c r="F54">
        <f>ROUND(Sheet1!F54*1000,1)</f>
        <v>155.6</v>
      </c>
      <c r="G54">
        <f>ROUND(Sheet1!G54*1000,1)</f>
        <v>651.6</v>
      </c>
      <c r="H54">
        <f>ROUND(Sheet1!H54*1000,1)</f>
        <v>382.5</v>
      </c>
      <c r="I54">
        <f>ROUND(Sheet1!I54*1000,1)</f>
        <v>335.4</v>
      </c>
      <c r="J54">
        <f>ROUND(Sheet1!J54*1000,1)</f>
        <v>218.9</v>
      </c>
      <c r="K54">
        <f>ROUND(Sheet1!K54*1000,1)</f>
        <v>190.3</v>
      </c>
      <c r="L54">
        <f>ROUND(Sheet1!L54*1000,1)</f>
        <v>148.4</v>
      </c>
    </row>
    <row r="55" spans="1:12" ht="16.5" x14ac:dyDescent="0.35">
      <c r="A55" t="s">
        <v>61</v>
      </c>
      <c r="B55" s="1" t="s">
        <v>150</v>
      </c>
      <c r="C55">
        <f>ROUND(Sheet1!C55*1000,1)</f>
        <v>23.2</v>
      </c>
      <c r="D55">
        <f>ROUND(Sheet1!D55*1000,1)</f>
        <v>18.5</v>
      </c>
      <c r="E55">
        <f>ROUND(Sheet1!E55*1000,1)</f>
        <v>61.9</v>
      </c>
      <c r="F55">
        <f>ROUND(Sheet1!F55*1000,1)</f>
        <v>53.4</v>
      </c>
      <c r="G55">
        <f>ROUND(Sheet1!G55*1000,1)</f>
        <v>19.899999999999999</v>
      </c>
      <c r="H55">
        <f>ROUND(Sheet1!H55*1000,1)</f>
        <v>15.9</v>
      </c>
      <c r="I55">
        <f>ROUND(Sheet1!I55*1000,1)</f>
        <v>20.8</v>
      </c>
      <c r="J55">
        <f>ROUND(Sheet1!J55*1000,1)</f>
        <v>17.399999999999999</v>
      </c>
      <c r="K55">
        <f>ROUND(Sheet1!K55*1000,1)</f>
        <v>83</v>
      </c>
      <c r="L55">
        <f>ROUND(Sheet1!L55*1000,1)</f>
        <v>68.2</v>
      </c>
    </row>
    <row r="56" spans="1:12" ht="16.5" x14ac:dyDescent="0.35">
      <c r="A56" t="s">
        <v>62</v>
      </c>
      <c r="B56" s="1" t="s">
        <v>150</v>
      </c>
      <c r="C56">
        <f>ROUND(Sheet1!C56*1000,1)</f>
        <v>95.1</v>
      </c>
      <c r="D56">
        <f>ROUND(Sheet1!D56*1000,1)</f>
        <v>72.900000000000006</v>
      </c>
      <c r="E56">
        <f>ROUND(Sheet1!E56*1000,1)</f>
        <v>107.4</v>
      </c>
      <c r="F56">
        <f>ROUND(Sheet1!F56*1000,1)</f>
        <v>89.2</v>
      </c>
      <c r="G56">
        <f>ROUND(Sheet1!G56*1000,1)</f>
        <v>47.1</v>
      </c>
      <c r="H56">
        <f>ROUND(Sheet1!H56*1000,1)</f>
        <v>34.700000000000003</v>
      </c>
      <c r="I56">
        <f>ROUND(Sheet1!I56*1000,1)</f>
        <v>37.5</v>
      </c>
      <c r="J56">
        <f>ROUND(Sheet1!J56*1000,1)</f>
        <v>30</v>
      </c>
      <c r="K56">
        <f>ROUND(Sheet1!K56*1000,1)</f>
        <v>0.9</v>
      </c>
      <c r="L56">
        <f>ROUND(Sheet1!L56*1000,1)</f>
        <v>0.8</v>
      </c>
    </row>
    <row r="57" spans="1:12" ht="16.5" x14ac:dyDescent="0.35">
      <c r="A57" t="s">
        <v>63</v>
      </c>
      <c r="B57" s="1" t="s">
        <v>150</v>
      </c>
      <c r="C57">
        <f>ROUND(Sheet1!C57*1000,1)</f>
        <v>9.5</v>
      </c>
      <c r="D57">
        <f>ROUND(Sheet1!D57*1000,1)</f>
        <v>8.3000000000000007</v>
      </c>
      <c r="E57">
        <f>ROUND(Sheet1!E57*1000,1)</f>
        <v>42</v>
      </c>
      <c r="F57">
        <f>ROUND(Sheet1!F57*1000,1)</f>
        <v>33.799999999999997</v>
      </c>
      <c r="G57">
        <f>ROUND(Sheet1!G57*1000,1)</f>
        <v>2.1</v>
      </c>
      <c r="H57">
        <f>ROUND(Sheet1!H57*1000,1)</f>
        <v>1.9</v>
      </c>
      <c r="I57">
        <f>ROUND(Sheet1!I57*1000,1)</f>
        <v>3.7</v>
      </c>
      <c r="J57">
        <f>ROUND(Sheet1!J57*1000,1)</f>
        <v>3.4</v>
      </c>
      <c r="K57">
        <f>ROUND(Sheet1!K57*1000,1)</f>
        <v>27.6</v>
      </c>
      <c r="L57">
        <f>ROUND(Sheet1!L57*1000,1)</f>
        <v>22.1</v>
      </c>
    </row>
    <row r="58" spans="1:12" ht="16.5" x14ac:dyDescent="0.35">
      <c r="A58" t="s">
        <v>64</v>
      </c>
      <c r="B58" s="1" t="s">
        <v>150</v>
      </c>
      <c r="C58">
        <f>ROUND(Sheet1!C58*1000,1)</f>
        <v>69.8</v>
      </c>
      <c r="D58">
        <f>ROUND(Sheet1!D58*1000,1)</f>
        <v>27.9</v>
      </c>
      <c r="E58">
        <f>ROUND(Sheet1!E58*1000,1)</f>
        <v>31.9</v>
      </c>
      <c r="F58">
        <f>ROUND(Sheet1!F58*1000,1)</f>
        <v>14.4</v>
      </c>
      <c r="G58">
        <f>ROUND(Sheet1!G58*1000,1)</f>
        <v>103</v>
      </c>
      <c r="H58">
        <f>ROUND(Sheet1!H58*1000,1)</f>
        <v>39.799999999999997</v>
      </c>
      <c r="I58">
        <f>ROUND(Sheet1!I58*1000,1)</f>
        <v>46.6</v>
      </c>
      <c r="J58">
        <f>ROUND(Sheet1!J58*1000,1)</f>
        <v>19.8</v>
      </c>
      <c r="K58">
        <f>ROUND(Sheet1!K58*1000,1)</f>
        <v>8.1</v>
      </c>
      <c r="L58">
        <f>ROUND(Sheet1!L58*1000,1)</f>
        <v>3.6</v>
      </c>
    </row>
    <row r="59" spans="1:12" ht="16.5" x14ac:dyDescent="0.35">
      <c r="A59" t="s">
        <v>65</v>
      </c>
      <c r="B59" s="1" t="s">
        <v>150</v>
      </c>
      <c r="C59">
        <f>ROUND(Sheet1!C59*1000,1)</f>
        <v>6.3</v>
      </c>
      <c r="D59">
        <f>ROUND(Sheet1!D59*1000,1)</f>
        <v>2.9</v>
      </c>
      <c r="E59">
        <f>ROUND(Sheet1!E59*1000,1)</f>
        <v>3.3</v>
      </c>
      <c r="F59">
        <f>ROUND(Sheet1!F59*1000,1)</f>
        <v>1.5</v>
      </c>
      <c r="G59">
        <f>ROUND(Sheet1!G59*1000,1)</f>
        <v>9.1</v>
      </c>
      <c r="H59">
        <f>ROUND(Sheet1!H59*1000,1)</f>
        <v>4.3</v>
      </c>
      <c r="I59">
        <f>ROUND(Sheet1!I59*1000,1)</f>
        <v>4.5</v>
      </c>
      <c r="J59">
        <f>ROUND(Sheet1!J59*1000,1)</f>
        <v>2.1</v>
      </c>
      <c r="K59">
        <f>ROUND(Sheet1!K59*1000,1)</f>
        <v>0.8</v>
      </c>
      <c r="L59">
        <f>ROUND(Sheet1!L59*1000,1)</f>
        <v>0.4</v>
      </c>
    </row>
    <row r="60" spans="1:12" ht="16.5" x14ac:dyDescent="0.35">
      <c r="A60" t="s">
        <v>66</v>
      </c>
      <c r="B60" s="1" t="s">
        <v>150</v>
      </c>
      <c r="C60">
        <f>ROUND(Sheet1!C60*1000,1)</f>
        <v>1588.9</v>
      </c>
      <c r="D60">
        <f>ROUND(Sheet1!D60*1000,1)</f>
        <v>558.5</v>
      </c>
      <c r="E60">
        <f>ROUND(Sheet1!E60*1000,1)</f>
        <v>462.7</v>
      </c>
      <c r="F60">
        <f>ROUND(Sheet1!F60*1000,1)</f>
        <v>105.6</v>
      </c>
      <c r="G60">
        <f>ROUND(Sheet1!G60*1000,1)</f>
        <v>1306.5</v>
      </c>
      <c r="H60">
        <f>ROUND(Sheet1!H60*1000,1)</f>
        <v>234.9</v>
      </c>
      <c r="I60">
        <f>ROUND(Sheet1!I60*1000,1)</f>
        <v>709.5</v>
      </c>
      <c r="J60">
        <f>ROUND(Sheet1!J60*1000,1)</f>
        <v>179.7</v>
      </c>
      <c r="K60">
        <f>ROUND(Sheet1!K60*1000,1)</f>
        <v>353.4</v>
      </c>
      <c r="L60">
        <f>ROUND(Sheet1!L60*1000,1)</f>
        <v>64</v>
      </c>
    </row>
    <row r="61" spans="1:12" ht="16.5" x14ac:dyDescent="0.35">
      <c r="A61" t="s">
        <v>67</v>
      </c>
      <c r="B61" s="1" t="s">
        <v>150</v>
      </c>
      <c r="C61">
        <f>ROUND(Sheet1!C61*1000,1)</f>
        <v>877.3</v>
      </c>
      <c r="D61">
        <f>ROUND(Sheet1!D61*1000,1)</f>
        <v>368</v>
      </c>
      <c r="E61">
        <f>ROUND(Sheet1!E61*1000,1)</f>
        <v>257.60000000000002</v>
      </c>
      <c r="F61">
        <f>ROUND(Sheet1!F61*1000,1)</f>
        <v>71.2</v>
      </c>
      <c r="G61">
        <f>ROUND(Sheet1!G61*1000,1)</f>
        <v>674.8</v>
      </c>
      <c r="H61">
        <f>ROUND(Sheet1!H61*1000,1)</f>
        <v>223.9</v>
      </c>
      <c r="I61">
        <f>ROUND(Sheet1!I61*1000,1)</f>
        <v>392.3</v>
      </c>
      <c r="J61">
        <f>ROUND(Sheet1!J61*1000,1)</f>
        <v>124.2</v>
      </c>
      <c r="K61">
        <f>ROUND(Sheet1!K61*1000,1)</f>
        <v>215.2</v>
      </c>
      <c r="L61">
        <f>ROUND(Sheet1!L61*1000,1)</f>
        <v>63.9</v>
      </c>
    </row>
    <row r="62" spans="1:12" ht="16.5" x14ac:dyDescent="0.35">
      <c r="A62" t="s">
        <v>68</v>
      </c>
      <c r="B62" s="1" t="s">
        <v>150</v>
      </c>
      <c r="C62">
        <f>ROUND(Sheet1!C62*1000,1)</f>
        <v>1361.8</v>
      </c>
      <c r="D62">
        <f>ROUND(Sheet1!D62*1000,1)</f>
        <v>661</v>
      </c>
      <c r="E62">
        <f>ROUND(Sheet1!E62*1000,1)</f>
        <v>654.6</v>
      </c>
      <c r="F62">
        <f>ROUND(Sheet1!F62*1000,1)</f>
        <v>231.7</v>
      </c>
      <c r="G62">
        <f>ROUND(Sheet1!G62*1000,1)</f>
        <v>1549.8</v>
      </c>
      <c r="H62">
        <f>ROUND(Sheet1!H62*1000,1)</f>
        <v>759.6</v>
      </c>
      <c r="I62">
        <f>ROUND(Sheet1!I62*1000,1)</f>
        <v>953</v>
      </c>
      <c r="J62">
        <f>ROUND(Sheet1!J62*1000,1)</f>
        <v>407.1</v>
      </c>
      <c r="K62">
        <f>ROUND(Sheet1!K62*1000,1)</f>
        <v>473.6</v>
      </c>
      <c r="L62">
        <f>ROUND(Sheet1!L62*1000,1)</f>
        <v>174.9</v>
      </c>
    </row>
    <row r="63" spans="1:12" ht="16.5" x14ac:dyDescent="0.35">
      <c r="A63" t="s">
        <v>69</v>
      </c>
      <c r="B63" s="1" t="s">
        <v>150</v>
      </c>
      <c r="C63" t="e">
        <f>ROUND(Sheet1!C63*1000,1)</f>
        <v>#VALUE!</v>
      </c>
      <c r="D63" t="e">
        <f>ROUND(Sheet1!D63*1000,1)</f>
        <v>#VALUE!</v>
      </c>
      <c r="E63">
        <f>ROUND(Sheet1!E63*1000,1)</f>
        <v>171.5</v>
      </c>
      <c r="F63">
        <f>ROUND(Sheet1!F63*1000,1)</f>
        <v>148.5</v>
      </c>
      <c r="G63">
        <f>ROUND(Sheet1!G63*1000,1)</f>
        <v>200.2</v>
      </c>
      <c r="H63">
        <f>ROUND(Sheet1!H63*1000,1)</f>
        <v>147</v>
      </c>
      <c r="I63">
        <f>ROUND(Sheet1!I63*1000,1)</f>
        <v>265.7</v>
      </c>
      <c r="J63">
        <f>ROUND(Sheet1!J63*1000,1)</f>
        <v>208.5</v>
      </c>
      <c r="K63">
        <f>ROUND(Sheet1!K63*1000,1)</f>
        <v>151.30000000000001</v>
      </c>
      <c r="L63">
        <f>ROUND(Sheet1!L63*1000,1)</f>
        <v>127.3</v>
      </c>
    </row>
    <row r="64" spans="1:12" ht="16.5" x14ac:dyDescent="0.35">
      <c r="A64" t="s">
        <v>70</v>
      </c>
      <c r="B64" s="1" t="s">
        <v>150</v>
      </c>
      <c r="C64" t="e">
        <f>ROUND(Sheet1!C64*1000,1)</f>
        <v>#VALUE!</v>
      </c>
      <c r="D64" t="e">
        <f>ROUND(Sheet1!D64*1000,1)</f>
        <v>#VALUE!</v>
      </c>
      <c r="E64">
        <f>ROUND(Sheet1!E64*1000,1)</f>
        <v>400.1</v>
      </c>
      <c r="F64">
        <f>ROUND(Sheet1!F64*1000,1)</f>
        <v>285.39999999999998</v>
      </c>
      <c r="G64">
        <f>ROUND(Sheet1!G64*1000,1)</f>
        <v>485.2</v>
      </c>
      <c r="H64">
        <f>ROUND(Sheet1!H64*1000,1)</f>
        <v>245.9</v>
      </c>
      <c r="I64">
        <f>ROUND(Sheet1!I64*1000,1)</f>
        <v>548.1</v>
      </c>
      <c r="J64">
        <f>ROUND(Sheet1!J64*1000,1)</f>
        <v>394.6</v>
      </c>
      <c r="K64">
        <f>ROUND(Sheet1!K64*1000,1)</f>
        <v>513.70000000000005</v>
      </c>
      <c r="L64">
        <f>ROUND(Sheet1!L64*1000,1)</f>
        <v>306</v>
      </c>
    </row>
    <row r="65" spans="1:12" ht="16.5" x14ac:dyDescent="0.35">
      <c r="A65" t="s">
        <v>71</v>
      </c>
      <c r="B65" s="1" t="s">
        <v>150</v>
      </c>
      <c r="C65" t="e">
        <f>ROUND(Sheet1!C65*1000,1)</f>
        <v>#VALUE!</v>
      </c>
      <c r="D65" t="e">
        <f>ROUND(Sheet1!D65*1000,1)</f>
        <v>#VALUE!</v>
      </c>
      <c r="E65">
        <f>ROUND(Sheet1!E65*1000,1)</f>
        <v>66.3</v>
      </c>
      <c r="F65">
        <f>ROUND(Sheet1!F65*1000,1)</f>
        <v>56</v>
      </c>
      <c r="G65">
        <f>ROUND(Sheet1!G65*1000,1)</f>
        <v>20.9</v>
      </c>
      <c r="H65">
        <f>ROUND(Sheet1!H65*1000,1)</f>
        <v>16.2</v>
      </c>
      <c r="I65">
        <f>ROUND(Sheet1!I65*1000,1)</f>
        <v>19.600000000000001</v>
      </c>
      <c r="J65">
        <f>ROUND(Sheet1!J65*1000,1)</f>
        <v>16.2</v>
      </c>
      <c r="K65">
        <f>ROUND(Sheet1!K65*1000,1)</f>
        <v>89.2</v>
      </c>
      <c r="L65">
        <f>ROUND(Sheet1!L65*1000,1)</f>
        <v>73.900000000000006</v>
      </c>
    </row>
    <row r="66" spans="1:12" ht="16.5" x14ac:dyDescent="0.35">
      <c r="A66" t="s">
        <v>72</v>
      </c>
      <c r="B66" s="1" t="s">
        <v>150</v>
      </c>
      <c r="C66" t="e">
        <f>ROUND(Sheet1!C66*1000,1)</f>
        <v>#VALUE!</v>
      </c>
      <c r="D66" t="e">
        <f>ROUND(Sheet1!D66*1000,1)</f>
        <v>#VALUE!</v>
      </c>
      <c r="E66">
        <f>ROUND(Sheet1!E66*1000,1)</f>
        <v>130.30000000000001</v>
      </c>
      <c r="F66">
        <f>ROUND(Sheet1!F66*1000,1)</f>
        <v>108.3</v>
      </c>
      <c r="G66">
        <f>ROUND(Sheet1!G66*1000,1)</f>
        <v>46.9</v>
      </c>
      <c r="H66">
        <f>ROUND(Sheet1!H66*1000,1)</f>
        <v>33.4</v>
      </c>
      <c r="I66">
        <f>ROUND(Sheet1!I66*1000,1)</f>
        <v>35.5</v>
      </c>
      <c r="J66">
        <f>ROUND(Sheet1!J66*1000,1)</f>
        <v>28.3</v>
      </c>
      <c r="K66">
        <f>ROUND(Sheet1!K66*1000,1)</f>
        <v>0.9</v>
      </c>
      <c r="L66">
        <f>ROUND(Sheet1!L66*1000,1)</f>
        <v>0.8</v>
      </c>
    </row>
    <row r="67" spans="1:12" ht="16.5" x14ac:dyDescent="0.35">
      <c r="A67" t="s">
        <v>73</v>
      </c>
      <c r="B67" s="1" t="s">
        <v>150</v>
      </c>
      <c r="C67" t="e">
        <f>ROUND(Sheet1!C67*1000,1)</f>
        <v>#VALUE!</v>
      </c>
      <c r="D67" t="e">
        <f>ROUND(Sheet1!D67*1000,1)</f>
        <v>#VALUE!</v>
      </c>
      <c r="E67">
        <f>ROUND(Sheet1!E67*1000,1)</f>
        <v>43.8</v>
      </c>
      <c r="F67">
        <f>ROUND(Sheet1!F67*1000,1)</f>
        <v>34.9</v>
      </c>
      <c r="G67">
        <f>ROUND(Sheet1!G67*1000,1)</f>
        <v>2.1</v>
      </c>
      <c r="H67">
        <f>ROUND(Sheet1!H67*1000,1)</f>
        <v>1.9</v>
      </c>
      <c r="I67">
        <f>ROUND(Sheet1!I67*1000,1)</f>
        <v>3.7</v>
      </c>
      <c r="J67">
        <f>ROUND(Sheet1!J67*1000,1)</f>
        <v>3.4</v>
      </c>
      <c r="K67">
        <f>ROUND(Sheet1!K67*1000,1)</f>
        <v>28.6</v>
      </c>
      <c r="L67">
        <f>ROUND(Sheet1!L67*1000,1)</f>
        <v>22.6</v>
      </c>
    </row>
    <row r="68" spans="1:12" ht="16.5" x14ac:dyDescent="0.35">
      <c r="A68" t="s">
        <v>74</v>
      </c>
      <c r="B68" s="1" t="s">
        <v>150</v>
      </c>
      <c r="C68" t="e">
        <f>ROUND(Sheet1!C68*1000,1)</f>
        <v>#VALUE!</v>
      </c>
      <c r="D68" t="e">
        <f>ROUND(Sheet1!D68*1000,1)</f>
        <v>#VALUE!</v>
      </c>
      <c r="E68">
        <f>ROUND(Sheet1!E68*1000,1)</f>
        <v>111.4</v>
      </c>
      <c r="F68">
        <f>ROUND(Sheet1!F68*1000,1)</f>
        <v>43.8</v>
      </c>
      <c r="G68">
        <f>ROUND(Sheet1!G68*1000,1)</f>
        <v>125.5</v>
      </c>
      <c r="H68">
        <f>ROUND(Sheet1!H68*1000,1)</f>
        <v>44.7</v>
      </c>
      <c r="I68">
        <f>ROUND(Sheet1!I68*1000,1)</f>
        <v>32.6</v>
      </c>
      <c r="J68">
        <f>ROUND(Sheet1!J68*1000,1)</f>
        <v>14.1</v>
      </c>
      <c r="K68">
        <f>ROUND(Sheet1!K68*1000,1)</f>
        <v>98.8</v>
      </c>
      <c r="L68">
        <f>ROUND(Sheet1!L68*1000,1)</f>
        <v>26.7</v>
      </c>
    </row>
    <row r="69" spans="1:12" ht="16.5" x14ac:dyDescent="0.35">
      <c r="A69" t="s">
        <v>75</v>
      </c>
      <c r="B69" s="1" t="s">
        <v>150</v>
      </c>
      <c r="C69" t="e">
        <f>ROUND(Sheet1!C69*1000,1)</f>
        <v>#VALUE!</v>
      </c>
      <c r="D69" t="e">
        <f>ROUND(Sheet1!D69*1000,1)</f>
        <v>#VALUE!</v>
      </c>
      <c r="E69">
        <f>ROUND(Sheet1!E69*1000,1)</f>
        <v>10.4</v>
      </c>
      <c r="F69">
        <f>ROUND(Sheet1!F69*1000,1)</f>
        <v>5</v>
      </c>
      <c r="G69">
        <f>ROUND(Sheet1!G69*1000,1)</f>
        <v>10.6</v>
      </c>
      <c r="H69">
        <f>ROUND(Sheet1!H69*1000,1)</f>
        <v>5</v>
      </c>
      <c r="I69">
        <f>ROUND(Sheet1!I69*1000,1)</f>
        <v>3.2</v>
      </c>
      <c r="J69">
        <f>ROUND(Sheet1!J69*1000,1)</f>
        <v>1.5</v>
      </c>
      <c r="K69">
        <f>ROUND(Sheet1!K69*1000,1)</f>
        <v>7</v>
      </c>
      <c r="L69">
        <f>ROUND(Sheet1!L69*1000,1)</f>
        <v>3.3</v>
      </c>
    </row>
    <row r="70" spans="1:12" ht="16.5" x14ac:dyDescent="0.35">
      <c r="A70" t="s">
        <v>76</v>
      </c>
      <c r="B70" s="1" t="s">
        <v>150</v>
      </c>
      <c r="C70" t="e">
        <f>ROUND(Sheet1!C70*1000,1)</f>
        <v>#VALUE!</v>
      </c>
      <c r="D70" t="e">
        <f>ROUND(Sheet1!D70*1000,1)</f>
        <v>#VALUE!</v>
      </c>
      <c r="E70">
        <f>ROUND(Sheet1!E70*1000,1)</f>
        <v>502.7</v>
      </c>
      <c r="F70">
        <f>ROUND(Sheet1!F70*1000,1)</f>
        <v>267</v>
      </c>
      <c r="G70">
        <f>ROUND(Sheet1!G70*1000,1)</f>
        <v>909.7</v>
      </c>
      <c r="H70">
        <f>ROUND(Sheet1!H70*1000,1)</f>
        <v>382.7</v>
      </c>
      <c r="I70">
        <f>ROUND(Sheet1!I70*1000,1)</f>
        <v>455.5</v>
      </c>
      <c r="J70">
        <f>ROUND(Sheet1!J70*1000,1)</f>
        <v>261.8</v>
      </c>
      <c r="K70">
        <f>ROUND(Sheet1!K70*1000,1)</f>
        <v>390.7</v>
      </c>
      <c r="L70">
        <f>ROUND(Sheet1!L70*1000,1)</f>
        <v>213.8</v>
      </c>
    </row>
    <row r="71" spans="1:12" ht="16.5" x14ac:dyDescent="0.35">
      <c r="A71" t="s">
        <v>77</v>
      </c>
      <c r="B71" s="1" t="s">
        <v>150</v>
      </c>
      <c r="C71" t="e">
        <f>ROUND(Sheet1!C71*1000,1)</f>
        <v>#VALUE!</v>
      </c>
      <c r="D71" t="e">
        <f>ROUND(Sheet1!D71*1000,1)</f>
        <v>#VALUE!</v>
      </c>
      <c r="E71">
        <f>ROUND(Sheet1!E71*1000,1)</f>
        <v>208.4</v>
      </c>
      <c r="F71">
        <f>ROUND(Sheet1!F71*1000,1)</f>
        <v>128.80000000000001</v>
      </c>
      <c r="G71">
        <f>ROUND(Sheet1!G71*1000,1)</f>
        <v>360.3</v>
      </c>
      <c r="H71">
        <f>ROUND(Sheet1!H71*1000,1)</f>
        <v>221.5</v>
      </c>
      <c r="I71">
        <f>ROUND(Sheet1!I71*1000,1)</f>
        <v>256.8</v>
      </c>
      <c r="J71">
        <f>ROUND(Sheet1!J71*1000,1)</f>
        <v>151.80000000000001</v>
      </c>
      <c r="K71">
        <f>ROUND(Sheet1!K71*1000,1)</f>
        <v>197.7</v>
      </c>
      <c r="L71">
        <f>ROUND(Sheet1!L71*1000,1)</f>
        <v>124.3</v>
      </c>
    </row>
    <row r="72" spans="1:12" ht="16.5" x14ac:dyDescent="0.35">
      <c r="A72" t="s">
        <v>78</v>
      </c>
      <c r="B72" s="1" t="s">
        <v>150</v>
      </c>
      <c r="C72" t="e">
        <f>ROUND(Sheet1!C72*1000,1)</f>
        <v>#VALUE!</v>
      </c>
      <c r="D72" t="e">
        <f>ROUND(Sheet1!D72*1000,1)</f>
        <v>#VALUE!</v>
      </c>
      <c r="E72">
        <f>ROUND(Sheet1!E72*1000,1)</f>
        <v>908.8</v>
      </c>
      <c r="F72">
        <f>ROUND(Sheet1!F72*1000,1)</f>
        <v>443.4</v>
      </c>
      <c r="G72">
        <f>ROUND(Sheet1!G72*1000,1)</f>
        <v>936.6</v>
      </c>
      <c r="H72">
        <f>ROUND(Sheet1!H72*1000,1)</f>
        <v>427.9</v>
      </c>
      <c r="I72">
        <f>ROUND(Sheet1!I72*1000,1)</f>
        <v>1000.5</v>
      </c>
      <c r="J72">
        <f>ROUND(Sheet1!J72*1000,1)</f>
        <v>427.3</v>
      </c>
      <c r="K72">
        <f>ROUND(Sheet1!K72*1000,1)</f>
        <v>830.1</v>
      </c>
      <c r="L72">
        <f>ROUND(Sheet1!L72*1000,1)</f>
        <v>339.9</v>
      </c>
    </row>
    <row r="73" spans="1:12" ht="16.5" x14ac:dyDescent="0.35">
      <c r="A73" t="s">
        <v>79</v>
      </c>
      <c r="B73" s="1" t="s">
        <v>150</v>
      </c>
      <c r="C73" t="e">
        <f>ROUND(Sheet1!C73*1000,1)</f>
        <v>#VALUE!</v>
      </c>
      <c r="D73" t="e">
        <f>ROUND(Sheet1!D73*1000,1)</f>
        <v>#VALUE!</v>
      </c>
      <c r="E73">
        <f>ROUND(Sheet1!E73*1000,1)</f>
        <v>418.5</v>
      </c>
      <c r="F73">
        <f>ROUND(Sheet1!F73*1000,1)</f>
        <v>267</v>
      </c>
      <c r="G73">
        <f>ROUND(Sheet1!G73*1000,1)</f>
        <v>397.7</v>
      </c>
      <c r="H73">
        <f>ROUND(Sheet1!H73*1000,1)</f>
        <v>338.2</v>
      </c>
      <c r="I73">
        <f>ROUND(Sheet1!I73*1000,1)</f>
        <v>308.60000000000002</v>
      </c>
      <c r="J73">
        <f>ROUND(Sheet1!J73*1000,1)</f>
        <v>240.8</v>
      </c>
      <c r="K73">
        <f>ROUND(Sheet1!K73*1000,1)</f>
        <v>324.3</v>
      </c>
      <c r="L73">
        <f>ROUND(Sheet1!L73*1000,1)</f>
        <v>210</v>
      </c>
    </row>
    <row r="74" spans="1:12" ht="16.5" x14ac:dyDescent="0.35">
      <c r="A74" t="s">
        <v>80</v>
      </c>
      <c r="B74" s="1" t="s">
        <v>150</v>
      </c>
      <c r="C74" t="e">
        <f>ROUND(Sheet1!C74*1000,1)</f>
        <v>#VALUE!</v>
      </c>
      <c r="D74" t="e">
        <f>ROUND(Sheet1!D74*1000,1)</f>
        <v>#VALUE!</v>
      </c>
      <c r="E74">
        <f>ROUND(Sheet1!E74*1000,1)</f>
        <v>178.6</v>
      </c>
      <c r="F74">
        <f>ROUND(Sheet1!F74*1000,1)</f>
        <v>121.3</v>
      </c>
      <c r="G74">
        <f>ROUND(Sheet1!G74*1000,1)</f>
        <v>234.5</v>
      </c>
      <c r="H74">
        <f>ROUND(Sheet1!H74*1000,1)</f>
        <v>191.4</v>
      </c>
      <c r="I74">
        <f>ROUND(Sheet1!I74*1000,1)</f>
        <v>171.5</v>
      </c>
      <c r="J74">
        <f>ROUND(Sheet1!J74*1000,1)</f>
        <v>123</v>
      </c>
      <c r="K74">
        <f>ROUND(Sheet1!K74*1000,1)</f>
        <v>179.9</v>
      </c>
      <c r="L74">
        <f>ROUND(Sheet1!L74*1000,1)</f>
        <v>119.2</v>
      </c>
    </row>
    <row r="75" spans="1:12" ht="16.5" x14ac:dyDescent="0.35">
      <c r="A75" t="s">
        <v>81</v>
      </c>
      <c r="B75" s="1" t="s">
        <v>150</v>
      </c>
      <c r="C75">
        <f>ROUND(Sheet1!C75*1000,1)</f>
        <v>24.2</v>
      </c>
      <c r="D75">
        <f>ROUND(Sheet1!D75*1000,1)</f>
        <v>8.8000000000000007</v>
      </c>
      <c r="E75">
        <f>ROUND(Sheet1!E75*1000,1)</f>
        <v>78.8</v>
      </c>
      <c r="F75">
        <f>ROUND(Sheet1!F75*1000,1)</f>
        <v>29.2</v>
      </c>
      <c r="G75">
        <f>ROUND(Sheet1!G75*1000,1)</f>
        <v>11.1</v>
      </c>
      <c r="H75">
        <f>ROUND(Sheet1!H75*1000,1)</f>
        <v>3.1</v>
      </c>
      <c r="I75">
        <f>ROUND(Sheet1!I75*1000,1)</f>
        <v>16.899999999999999</v>
      </c>
      <c r="J75">
        <f>ROUND(Sheet1!J75*1000,1)</f>
        <v>5</v>
      </c>
      <c r="K75">
        <f>ROUND(Sheet1!K75*1000,1)</f>
        <v>78.7</v>
      </c>
      <c r="L75">
        <f>ROUND(Sheet1!L75*1000,1)</f>
        <v>25.2</v>
      </c>
    </row>
    <row r="76" spans="1:12" ht="16.5" x14ac:dyDescent="0.35">
      <c r="A76" t="s">
        <v>82</v>
      </c>
      <c r="B76" s="1" t="s">
        <v>150</v>
      </c>
      <c r="C76">
        <f>ROUND(Sheet1!C76*1000,1)</f>
        <v>1.4</v>
      </c>
      <c r="D76">
        <f>ROUND(Sheet1!D76*1000,1)</f>
        <v>0.6</v>
      </c>
      <c r="E76">
        <f>ROUND(Sheet1!E76*1000,1)</f>
        <v>4.5999999999999996</v>
      </c>
      <c r="F76">
        <f>ROUND(Sheet1!F76*1000,1)</f>
        <v>2.1</v>
      </c>
      <c r="G76">
        <f>ROUND(Sheet1!G76*1000,1)</f>
        <v>3.4</v>
      </c>
      <c r="H76">
        <f>ROUND(Sheet1!H76*1000,1)</f>
        <v>1.3</v>
      </c>
      <c r="I76">
        <f>ROUND(Sheet1!I76*1000,1)</f>
        <v>1.4</v>
      </c>
      <c r="J76">
        <f>ROUND(Sheet1!J76*1000,1)</f>
        <v>0.6</v>
      </c>
      <c r="K76">
        <f>ROUND(Sheet1!K76*1000,1)</f>
        <v>7.6</v>
      </c>
      <c r="L76">
        <f>ROUND(Sheet1!L76*1000,1)</f>
        <v>3.3</v>
      </c>
    </row>
    <row r="77" spans="1:12" ht="16.5" x14ac:dyDescent="0.35">
      <c r="A77" t="s">
        <v>83</v>
      </c>
      <c r="B77" s="1" t="s">
        <v>150</v>
      </c>
      <c r="C77">
        <f>ROUND(Sheet1!C77*1000,1)</f>
        <v>0.4</v>
      </c>
      <c r="D77">
        <f>ROUND(Sheet1!D77*1000,1)</f>
        <v>0.2</v>
      </c>
      <c r="E77">
        <f>ROUND(Sheet1!E77*1000,1)</f>
        <v>1.5</v>
      </c>
      <c r="F77">
        <f>ROUND(Sheet1!F77*1000,1)</f>
        <v>0.7</v>
      </c>
      <c r="G77">
        <f>ROUND(Sheet1!G77*1000,1)</f>
        <v>0.9</v>
      </c>
      <c r="H77">
        <f>ROUND(Sheet1!H77*1000,1)</f>
        <v>0.4</v>
      </c>
      <c r="I77">
        <f>ROUND(Sheet1!I77*1000,1)</f>
        <v>0.4</v>
      </c>
      <c r="J77">
        <f>ROUND(Sheet1!J77*1000,1)</f>
        <v>0.2</v>
      </c>
      <c r="K77">
        <f>ROUND(Sheet1!K77*1000,1)</f>
        <v>2.2999999999999998</v>
      </c>
      <c r="L77">
        <f>ROUND(Sheet1!L77*1000,1)</f>
        <v>1</v>
      </c>
    </row>
    <row r="78" spans="1:12" ht="16.5" x14ac:dyDescent="0.35">
      <c r="A78" t="s">
        <v>84</v>
      </c>
      <c r="B78" s="1" t="s">
        <v>150</v>
      </c>
      <c r="C78">
        <f>ROUND(Sheet1!C78*1000,1)</f>
        <v>29.2</v>
      </c>
      <c r="D78">
        <f>ROUND(Sheet1!D78*1000,1)</f>
        <v>4.3</v>
      </c>
      <c r="E78">
        <f>ROUND(Sheet1!E78*1000,1)</f>
        <v>87.7</v>
      </c>
      <c r="F78">
        <f>ROUND(Sheet1!F78*1000,1)</f>
        <v>16.600000000000001</v>
      </c>
      <c r="G78">
        <f>ROUND(Sheet1!G78*1000,1)</f>
        <v>33.200000000000003</v>
      </c>
      <c r="H78">
        <f>ROUND(Sheet1!H78*1000,1)</f>
        <v>11.9</v>
      </c>
      <c r="I78">
        <f>ROUND(Sheet1!I78*1000,1)</f>
        <v>29.3</v>
      </c>
      <c r="J78">
        <f>ROUND(Sheet1!J78*1000,1)</f>
        <v>6</v>
      </c>
      <c r="K78">
        <f>ROUND(Sheet1!K78*1000,1)</f>
        <v>124</v>
      </c>
      <c r="L78">
        <f>ROUND(Sheet1!L78*1000,1)</f>
        <v>31.5</v>
      </c>
    </row>
    <row r="79" spans="1:12" ht="16.5" x14ac:dyDescent="0.35">
      <c r="A79" t="s">
        <v>85</v>
      </c>
      <c r="B79" s="1" t="s">
        <v>150</v>
      </c>
      <c r="C79">
        <f>ROUND(Sheet1!C79*1000,1)</f>
        <v>19.899999999999999</v>
      </c>
      <c r="D79">
        <f>ROUND(Sheet1!D79*1000,1)</f>
        <v>6.1</v>
      </c>
      <c r="E79">
        <f>ROUND(Sheet1!E79*1000,1)</f>
        <v>56.1</v>
      </c>
      <c r="F79">
        <f>ROUND(Sheet1!F79*1000,1)</f>
        <v>18.5</v>
      </c>
      <c r="G79">
        <f>ROUND(Sheet1!G79*1000,1)</f>
        <v>16.8</v>
      </c>
      <c r="H79">
        <f>ROUND(Sheet1!H79*1000,1)</f>
        <v>6.6</v>
      </c>
      <c r="I79">
        <f>ROUND(Sheet1!I79*1000,1)</f>
        <v>18.899999999999999</v>
      </c>
      <c r="J79">
        <f>ROUND(Sheet1!J79*1000,1)</f>
        <v>6.8</v>
      </c>
      <c r="K79">
        <f>ROUND(Sheet1!K79*1000,1)</f>
        <v>74.8</v>
      </c>
      <c r="L79">
        <f>ROUND(Sheet1!L79*1000,1)</f>
        <v>28.9</v>
      </c>
    </row>
    <row r="80" spans="1:12" ht="16.5" x14ac:dyDescent="0.35">
      <c r="A80" t="s">
        <v>86</v>
      </c>
      <c r="B80" s="1" t="s">
        <v>150</v>
      </c>
      <c r="C80">
        <f>ROUND(Sheet1!C80*1000,1)</f>
        <v>41.3</v>
      </c>
      <c r="D80">
        <f>ROUND(Sheet1!D80*1000,1)</f>
        <v>16.8</v>
      </c>
      <c r="E80">
        <f>ROUND(Sheet1!E80*1000,1)</f>
        <v>116.6</v>
      </c>
      <c r="F80">
        <f>ROUND(Sheet1!F80*1000,1)</f>
        <v>51.4</v>
      </c>
      <c r="G80">
        <f>ROUND(Sheet1!G80*1000,1)</f>
        <v>25.3</v>
      </c>
      <c r="H80">
        <f>ROUND(Sheet1!H80*1000,1)</f>
        <v>11.8</v>
      </c>
      <c r="I80">
        <f>ROUND(Sheet1!I80*1000,1)</f>
        <v>36.299999999999997</v>
      </c>
      <c r="J80">
        <f>ROUND(Sheet1!J80*1000,1)</f>
        <v>17</v>
      </c>
      <c r="K80">
        <f>ROUND(Sheet1!K80*1000,1)</f>
        <v>134.9</v>
      </c>
      <c r="L80">
        <f>ROUND(Sheet1!L80*1000,1)</f>
        <v>65.2</v>
      </c>
    </row>
    <row r="81" spans="1:12" ht="16.5" x14ac:dyDescent="0.35">
      <c r="A81" t="s">
        <v>87</v>
      </c>
      <c r="B81" s="1" t="s">
        <v>150</v>
      </c>
      <c r="C81">
        <f>ROUND(Sheet1!C81*1000,1)</f>
        <v>2.4</v>
      </c>
      <c r="D81">
        <f>ROUND(Sheet1!D81*1000,1)</f>
        <v>1</v>
      </c>
      <c r="E81">
        <f>ROUND(Sheet1!E81*1000,1)</f>
        <v>1.8</v>
      </c>
      <c r="F81">
        <f>ROUND(Sheet1!F81*1000,1)</f>
        <v>0.8</v>
      </c>
      <c r="G81">
        <f>ROUND(Sheet1!G81*1000,1)</f>
        <v>1.4</v>
      </c>
      <c r="H81">
        <f>ROUND(Sheet1!H81*1000,1)</f>
        <v>0.6</v>
      </c>
      <c r="I81">
        <f>ROUND(Sheet1!I81*1000,1)</f>
        <v>0.7</v>
      </c>
      <c r="J81">
        <f>ROUND(Sheet1!J81*1000,1)</f>
        <v>0.3</v>
      </c>
      <c r="K81">
        <f>ROUND(Sheet1!K81*1000,2)</f>
        <v>0.02</v>
      </c>
      <c r="L81">
        <f>ROUND(Sheet1!L81*1000,2)</f>
        <v>0.01</v>
      </c>
    </row>
    <row r="82" spans="1:12" ht="16.5" x14ac:dyDescent="0.35">
      <c r="A82" t="s">
        <v>88</v>
      </c>
      <c r="B82" s="1" t="s">
        <v>150</v>
      </c>
      <c r="C82">
        <f>ROUND(Sheet1!C82*1000,1)</f>
        <v>29.8</v>
      </c>
      <c r="D82">
        <f>ROUND(Sheet1!D82*1000,1)</f>
        <v>11.9</v>
      </c>
      <c r="E82">
        <f>ROUND(Sheet1!E82*1000,1)</f>
        <v>112</v>
      </c>
      <c r="F82">
        <f>ROUND(Sheet1!F82*1000,1)</f>
        <v>40.6</v>
      </c>
      <c r="G82">
        <f>ROUND(Sheet1!G82*1000,1)</f>
        <v>3.6</v>
      </c>
      <c r="H82">
        <f>ROUND(Sheet1!H82*1000,1)</f>
        <v>2.7</v>
      </c>
      <c r="I82">
        <f>ROUND(Sheet1!I82*1000,1)</f>
        <v>17.7</v>
      </c>
      <c r="J82">
        <f>ROUND(Sheet1!J82*1000,1)</f>
        <v>6.2</v>
      </c>
      <c r="K82">
        <f>ROUND(Sheet1!K82*1000,1)</f>
        <v>1.2</v>
      </c>
      <c r="L82">
        <f>ROUND(Sheet1!L82*1000,1)</f>
        <v>0.4</v>
      </c>
    </row>
    <row r="83" spans="1:12" ht="16.5" x14ac:dyDescent="0.35">
      <c r="A83" t="s">
        <v>89</v>
      </c>
      <c r="B83" s="1" t="s">
        <v>150</v>
      </c>
      <c r="C83">
        <f>ROUND(Sheet1!C83*1000,1)</f>
        <v>34</v>
      </c>
      <c r="D83">
        <f>ROUND(Sheet1!D83*1000,1)</f>
        <v>10</v>
      </c>
      <c r="E83">
        <f>ROUND(Sheet1!E83*1000,1)</f>
        <v>19.3</v>
      </c>
      <c r="F83">
        <f>ROUND(Sheet1!F83*1000,1)</f>
        <v>8.3000000000000007</v>
      </c>
      <c r="G83">
        <f>ROUND(Sheet1!G83*1000,1)</f>
        <v>22.8</v>
      </c>
      <c r="H83">
        <f>ROUND(Sheet1!H83*1000,1)</f>
        <v>4.9000000000000004</v>
      </c>
      <c r="I83">
        <f>ROUND(Sheet1!I83*1000,1)</f>
        <v>10.199999999999999</v>
      </c>
      <c r="J83">
        <f>ROUND(Sheet1!J83*1000,1)</f>
        <v>3.3</v>
      </c>
      <c r="K83">
        <f>ROUND(Sheet1!K83*1000,1)</f>
        <v>0.2</v>
      </c>
      <c r="L83">
        <f>ROUND(Sheet1!L83*1000,1)</f>
        <v>0.1</v>
      </c>
    </row>
    <row r="84" spans="1:12" ht="16.5" x14ac:dyDescent="0.35">
      <c r="A84" t="s">
        <v>90</v>
      </c>
      <c r="B84" s="1" t="s">
        <v>150</v>
      </c>
      <c r="C84">
        <f>ROUND(Sheet1!C84*1000,1)</f>
        <v>8.1999999999999993</v>
      </c>
      <c r="D84">
        <f>ROUND(Sheet1!D84*1000,1)</f>
        <v>3.4</v>
      </c>
      <c r="E84">
        <f>ROUND(Sheet1!E84*1000,1)</f>
        <v>5.8</v>
      </c>
      <c r="F84">
        <f>ROUND(Sheet1!F84*1000,1)</f>
        <v>2.7</v>
      </c>
      <c r="G84">
        <f>ROUND(Sheet1!G84*1000,1)</f>
        <v>5.0999999999999996</v>
      </c>
      <c r="H84">
        <f>ROUND(Sheet1!H84*1000,1)</f>
        <v>2</v>
      </c>
      <c r="I84">
        <f>ROUND(Sheet1!I84*1000,1)</f>
        <v>2.6</v>
      </c>
      <c r="J84">
        <f>ROUND(Sheet1!J84*1000,1)</f>
        <v>1.1000000000000001</v>
      </c>
      <c r="K84">
        <f>ROUND(Sheet1!K84*1000,1)</f>
        <v>0.1</v>
      </c>
      <c r="L84">
        <f>ROUND(Sheet1!L84*1000,2)</f>
        <v>0.03</v>
      </c>
    </row>
    <row r="85" spans="1:12" ht="16.5" x14ac:dyDescent="0.35">
      <c r="A85" t="s">
        <v>91</v>
      </c>
      <c r="B85" s="1" t="s">
        <v>150</v>
      </c>
      <c r="C85">
        <f>ROUND(Sheet1!C85*1000,1)</f>
        <v>82.4</v>
      </c>
      <c r="D85">
        <f>ROUND(Sheet1!D85*1000,1)</f>
        <v>56</v>
      </c>
      <c r="E85">
        <f>ROUND(Sheet1!E85*1000,1)</f>
        <v>95.5</v>
      </c>
      <c r="F85">
        <f>ROUND(Sheet1!F85*1000,1)</f>
        <v>65.900000000000006</v>
      </c>
      <c r="G85">
        <f>ROUND(Sheet1!G85*1000,1)</f>
        <v>35.4</v>
      </c>
      <c r="H85">
        <f>ROUND(Sheet1!H85*1000,1)</f>
        <v>23.5</v>
      </c>
      <c r="I85">
        <f>ROUND(Sheet1!I85*1000,1)</f>
        <v>35.6</v>
      </c>
      <c r="J85">
        <f>ROUND(Sheet1!J85*1000,1)</f>
        <v>24.4</v>
      </c>
      <c r="K85">
        <f>ROUND(Sheet1!K85*1000,1)</f>
        <v>1.2</v>
      </c>
      <c r="L85" s="5">
        <v>3.1E-14</v>
      </c>
    </row>
    <row r="86" spans="1:12" ht="16.5" x14ac:dyDescent="0.35">
      <c r="A86" t="s">
        <v>92</v>
      </c>
      <c r="B86" s="1" t="s">
        <v>150</v>
      </c>
      <c r="C86">
        <f>ROUND(Sheet1!C86*1000,1)</f>
        <v>44.5</v>
      </c>
      <c r="D86">
        <f>ROUND(Sheet1!D86*1000,1)</f>
        <v>32.299999999999997</v>
      </c>
      <c r="E86">
        <f>ROUND(Sheet1!E86*1000,1)</f>
        <v>55.8</v>
      </c>
      <c r="F86">
        <f>ROUND(Sheet1!F86*1000,1)</f>
        <v>39.799999999999997</v>
      </c>
      <c r="G86">
        <f>ROUND(Sheet1!G86*1000,1)</f>
        <v>20.399999999999999</v>
      </c>
      <c r="H86">
        <f>ROUND(Sheet1!H86*1000,1)</f>
        <v>14.6</v>
      </c>
      <c r="I86">
        <f>ROUND(Sheet1!I86*1000,1)</f>
        <v>19.5</v>
      </c>
      <c r="J86">
        <f>ROUND(Sheet1!J86*1000,1)</f>
        <v>14</v>
      </c>
      <c r="K86">
        <f>ROUND(Sheet1!K86*1000,1)</f>
        <v>0.6</v>
      </c>
      <c r="L86" s="5">
        <v>3.9000000000000003E-15</v>
      </c>
    </row>
    <row r="87" spans="1:12" ht="16.5" x14ac:dyDescent="0.35">
      <c r="A87" t="s">
        <v>93</v>
      </c>
      <c r="B87" s="1" t="s">
        <v>150</v>
      </c>
      <c r="C87">
        <f>ROUND(Sheet1!C87*1000,1)</f>
        <v>108.6</v>
      </c>
      <c r="D87">
        <f>ROUND(Sheet1!D87*1000,1)</f>
        <v>52.1</v>
      </c>
      <c r="E87">
        <f>ROUND(Sheet1!E87*1000,1)</f>
        <v>207.7</v>
      </c>
      <c r="F87">
        <f>ROUND(Sheet1!F87*1000,1)</f>
        <v>109.1</v>
      </c>
      <c r="G87">
        <f>ROUND(Sheet1!G87*1000,1)</f>
        <v>43</v>
      </c>
      <c r="H87">
        <f>ROUND(Sheet1!H87*1000,1)</f>
        <v>18.8</v>
      </c>
      <c r="I87">
        <f>ROUND(Sheet1!I87*1000,1)</f>
        <v>46.3</v>
      </c>
      <c r="J87">
        <f>ROUND(Sheet1!J87*1000,1)</f>
        <v>22.6</v>
      </c>
      <c r="K87">
        <f>ROUND(Sheet1!K87*1000,1)</f>
        <v>2</v>
      </c>
      <c r="L87">
        <f>ROUND(Sheet1!L87*1000,1)</f>
        <v>0.5</v>
      </c>
    </row>
    <row r="88" spans="1:12" ht="16.5" x14ac:dyDescent="0.35">
      <c r="A88" t="s">
        <v>94</v>
      </c>
      <c r="B88" s="1" t="s">
        <v>150</v>
      </c>
      <c r="C88">
        <f>ROUND(Sheet1!C88*1000,1)</f>
        <v>83.2</v>
      </c>
      <c r="D88">
        <f>ROUND(Sheet1!D88*1000,1)</f>
        <v>56.4</v>
      </c>
      <c r="E88">
        <f>ROUND(Sheet1!E88*1000,1)</f>
        <v>94.5</v>
      </c>
      <c r="F88">
        <f>ROUND(Sheet1!F88*1000,1)</f>
        <v>65</v>
      </c>
      <c r="G88">
        <f>ROUND(Sheet1!G88*1000,1)</f>
        <v>46.8</v>
      </c>
      <c r="H88">
        <f>ROUND(Sheet1!H88*1000,1)</f>
        <v>21.1</v>
      </c>
      <c r="I88">
        <f>ROUND(Sheet1!I88*1000,1)</f>
        <v>35.1</v>
      </c>
      <c r="J88">
        <f>ROUND(Sheet1!J88*1000,1)</f>
        <v>25.6</v>
      </c>
      <c r="K88">
        <f>ROUND(Sheet1!K88*1000,2)</f>
        <v>0.04</v>
      </c>
      <c r="L88" s="5">
        <v>2.4E-16</v>
      </c>
    </row>
    <row r="89" spans="1:12" ht="16.5" x14ac:dyDescent="0.35">
      <c r="A89" t="s">
        <v>95</v>
      </c>
      <c r="B89" s="1" t="s">
        <v>150</v>
      </c>
      <c r="C89">
        <f>ROUND(Sheet1!C89*1000,1)</f>
        <v>43.8</v>
      </c>
      <c r="D89">
        <f>ROUND(Sheet1!D89*1000,1)</f>
        <v>31.2</v>
      </c>
      <c r="E89">
        <f>ROUND(Sheet1!E89*1000,1)</f>
        <v>51.1</v>
      </c>
      <c r="F89">
        <f>ROUND(Sheet1!F89*1000,1)</f>
        <v>36.5</v>
      </c>
      <c r="G89">
        <f>ROUND(Sheet1!G89*1000,1)</f>
        <v>19.899999999999999</v>
      </c>
      <c r="H89">
        <f>ROUND(Sheet1!H89*1000,1)</f>
        <v>14.4</v>
      </c>
      <c r="I89">
        <f>ROUND(Sheet1!I89*1000,1)</f>
        <v>18.3</v>
      </c>
      <c r="J89">
        <f>ROUND(Sheet1!J89*1000,1)</f>
        <v>13.6</v>
      </c>
      <c r="K89">
        <f>ROUND(Sheet1!K89*1000,2)</f>
        <v>0.03</v>
      </c>
      <c r="L89" s="5">
        <v>2.8999999999999998E-16</v>
      </c>
    </row>
    <row r="90" spans="1:12" ht="16.5" x14ac:dyDescent="0.35">
      <c r="A90" t="s">
        <v>96</v>
      </c>
      <c r="B90" s="1" t="s">
        <v>150</v>
      </c>
      <c r="C90">
        <f>ROUND(Sheet1!C90*1000,1)</f>
        <v>14.2</v>
      </c>
      <c r="D90">
        <f>ROUND(Sheet1!D90*1000,1)</f>
        <v>3.9</v>
      </c>
      <c r="E90">
        <f>ROUND(Sheet1!E90*1000,1)</f>
        <v>0.6</v>
      </c>
      <c r="F90">
        <f>ROUND(Sheet1!F90*1000,1)</f>
        <v>0.3</v>
      </c>
      <c r="G90">
        <f>ROUND(Sheet1!G90*1000,2)</f>
        <v>0.03</v>
      </c>
      <c r="H90">
        <f>ROUND(Sheet1!H90*1000,2)</f>
        <v>0.01</v>
      </c>
      <c r="I90">
        <f>ROUND(Sheet1!I90*1000,1)</f>
        <v>4.5</v>
      </c>
      <c r="J90">
        <f>ROUND(Sheet1!J90*1000,1)</f>
        <v>0.4</v>
      </c>
      <c r="K90">
        <f>ROUND(Sheet1!K90*1000,1)</f>
        <v>23.9</v>
      </c>
      <c r="L90">
        <f>ROUND(Sheet1!L90*1000,1)</f>
        <v>3.9</v>
      </c>
    </row>
    <row r="91" spans="1:12" ht="16.5" x14ac:dyDescent="0.35">
      <c r="A91" t="s">
        <v>97</v>
      </c>
      <c r="B91" s="1" t="s">
        <v>150</v>
      </c>
      <c r="C91">
        <f>ROUND(Sheet1!C91*1000,1)</f>
        <v>0.2</v>
      </c>
      <c r="D91">
        <f>ROUND(Sheet1!D91*1000,1)</f>
        <v>0.1</v>
      </c>
      <c r="E91">
        <f>ROUND(Sheet1!E91*1000,1)</f>
        <v>24.2</v>
      </c>
      <c r="F91">
        <f>ROUND(Sheet1!F91*1000,1)</f>
        <v>2.7</v>
      </c>
      <c r="G91">
        <f>ROUND(Sheet1!G91*1000,1)</f>
        <v>1.7</v>
      </c>
      <c r="H91">
        <f>ROUND(Sheet1!H91*1000,1)</f>
        <v>0.1</v>
      </c>
      <c r="I91">
        <f>ROUND(Sheet1!I91*1000,1)</f>
        <v>1.1000000000000001</v>
      </c>
      <c r="J91">
        <f>ROUND(Sheet1!J91*1000,1)</f>
        <v>0.3</v>
      </c>
      <c r="K91">
        <f>ROUND(Sheet1!K91*1000,1)</f>
        <v>0.4</v>
      </c>
      <c r="L91">
        <f>ROUND(Sheet1!L91*1000,1)</f>
        <v>0.2</v>
      </c>
    </row>
    <row r="92" spans="1:12" ht="16.5" x14ac:dyDescent="0.35">
      <c r="A92" t="s">
        <v>98</v>
      </c>
      <c r="B92" s="1" t="s">
        <v>150</v>
      </c>
      <c r="C92">
        <f>ROUND(Sheet1!C92*1000,1)</f>
        <v>0.1</v>
      </c>
      <c r="D92">
        <f>ROUND(Sheet1!D92*1000,2)</f>
        <v>0.05</v>
      </c>
      <c r="E92">
        <f>ROUND(Sheet1!E92*1000,1)</f>
        <v>9.5</v>
      </c>
      <c r="F92">
        <f>ROUND(Sheet1!F92*1000,1)</f>
        <v>2.1</v>
      </c>
      <c r="G92">
        <f>ROUND(Sheet1!G92*1000,1)</f>
        <v>0.6</v>
      </c>
      <c r="H92">
        <f>ROUND(Sheet1!H92*1000,1)</f>
        <v>0.1</v>
      </c>
      <c r="I92">
        <f>ROUND(Sheet1!I92*1000,1)</f>
        <v>0.5</v>
      </c>
      <c r="J92">
        <f>ROUND(Sheet1!J92*1000,1)</f>
        <v>0.2</v>
      </c>
      <c r="K92">
        <f>ROUND(Sheet1!K92*1000,1)</f>
        <v>0.3</v>
      </c>
      <c r="L92">
        <f>ROUND(Sheet1!L92*1000,1)</f>
        <v>0.1</v>
      </c>
    </row>
    <row r="93" spans="1:12" ht="16.5" x14ac:dyDescent="0.35">
      <c r="A93" t="s">
        <v>99</v>
      </c>
      <c r="B93" s="1" t="s">
        <v>150</v>
      </c>
      <c r="C93">
        <f>ROUND(Sheet1!C93*1000,1)</f>
        <v>0.1</v>
      </c>
      <c r="D93">
        <f>ROUND(Sheet1!D93*1000,2)</f>
        <v>0.04</v>
      </c>
      <c r="E93">
        <f>ROUND(Sheet1!E93*1000,1)</f>
        <v>8</v>
      </c>
      <c r="F93">
        <f>ROUND(Sheet1!F93*1000,1)</f>
        <v>1.9</v>
      </c>
      <c r="G93">
        <f>ROUND(Sheet1!G93*1000,1)</f>
        <v>0.5</v>
      </c>
      <c r="H93">
        <f>ROUND(Sheet1!H93*1000,2)</f>
        <v>0.05</v>
      </c>
      <c r="I93">
        <f>ROUND(Sheet1!I93*1000,1)</f>
        <v>0.4</v>
      </c>
      <c r="J93">
        <f>ROUND(Sheet1!J93*1000,1)</f>
        <v>0.1</v>
      </c>
      <c r="K93">
        <f>ROUND(Sheet1!K93*1000,1)</f>
        <v>0.2</v>
      </c>
      <c r="L93">
        <f>ROUND(Sheet1!L93*1000,1)</f>
        <v>0.1</v>
      </c>
    </row>
    <row r="94" spans="1:12" ht="16.5" x14ac:dyDescent="0.35">
      <c r="A94" t="s">
        <v>100</v>
      </c>
      <c r="B94" s="1" t="s">
        <v>150</v>
      </c>
      <c r="C94">
        <f>ROUND(Sheet1!C94*1000,1)</f>
        <v>21.7</v>
      </c>
      <c r="D94">
        <f>ROUND(Sheet1!D94*1000,1)</f>
        <v>6</v>
      </c>
      <c r="E94">
        <f>ROUND(Sheet1!E94*1000,1)</f>
        <v>169.6</v>
      </c>
      <c r="F94">
        <f>ROUND(Sheet1!F94*1000,1)</f>
        <v>4.3</v>
      </c>
      <c r="G94">
        <f>ROUND(Sheet1!G94*1000,1)</f>
        <v>12.3</v>
      </c>
      <c r="H94">
        <f>ROUND(Sheet1!H94*1000,2)</f>
        <v>0.03</v>
      </c>
      <c r="I94">
        <f>ROUND(Sheet1!I94*1000,1)</f>
        <v>25.4</v>
      </c>
      <c r="J94">
        <f>ROUND(Sheet1!J94*1000,1)</f>
        <v>0.8</v>
      </c>
      <c r="K94">
        <f>ROUND(Sheet1!K94*1000,1)</f>
        <v>48.4</v>
      </c>
      <c r="L94">
        <f>ROUND(Sheet1!L94*1000,1)</f>
        <v>15.5</v>
      </c>
    </row>
    <row r="95" spans="1:12" ht="16.5" x14ac:dyDescent="0.35">
      <c r="A95" t="s">
        <v>101</v>
      </c>
      <c r="B95" s="1" t="s">
        <v>150</v>
      </c>
      <c r="C95">
        <f>ROUND(Sheet1!C95*1000,1)</f>
        <v>11.4</v>
      </c>
      <c r="D95">
        <f>ROUND(Sheet1!D95*1000,1)</f>
        <v>3.7</v>
      </c>
      <c r="E95">
        <f>ROUND(Sheet1!E95*1000,1)</f>
        <v>32.1</v>
      </c>
      <c r="F95">
        <f>ROUND(Sheet1!F95*1000,1)</f>
        <v>5</v>
      </c>
      <c r="G95">
        <f>ROUND(Sheet1!G95*1000,1)</f>
        <v>1.9</v>
      </c>
      <c r="H95">
        <f>ROUND(Sheet1!H95*1000,2)</f>
        <v>0.04</v>
      </c>
      <c r="I95">
        <f>ROUND(Sheet1!I95*1000,1)</f>
        <v>5.0999999999999996</v>
      </c>
      <c r="J95">
        <f>ROUND(Sheet1!J95*1000,1)</f>
        <v>0.9</v>
      </c>
      <c r="K95">
        <f>ROUND(Sheet1!K95*1000,1)</f>
        <v>25</v>
      </c>
      <c r="L95">
        <f>ROUND(Sheet1!L95*1000,1)</f>
        <v>9.1</v>
      </c>
    </row>
    <row r="96" spans="1:12" ht="16.5" x14ac:dyDescent="0.35">
      <c r="A96" t="s">
        <v>102</v>
      </c>
      <c r="B96" s="1" t="s">
        <v>150</v>
      </c>
      <c r="C96">
        <f>ROUND(Sheet1!C96*1000,1)</f>
        <v>15.9</v>
      </c>
      <c r="D96">
        <f>ROUND(Sheet1!D96*1000,1)</f>
        <v>6.5</v>
      </c>
      <c r="E96">
        <f>ROUND(Sheet1!E96*1000,1)</f>
        <v>32.5</v>
      </c>
      <c r="F96">
        <f>ROUND(Sheet1!F96*1000,1)</f>
        <v>5.4</v>
      </c>
      <c r="G96">
        <f>ROUND(Sheet1!G96*1000,1)</f>
        <v>1.9</v>
      </c>
      <c r="H96">
        <f>ROUND(Sheet1!H96*1000,2)</f>
        <v>0.04</v>
      </c>
      <c r="I96">
        <f>ROUND(Sheet1!I96*1000,1)</f>
        <v>5.0999999999999996</v>
      </c>
      <c r="J96">
        <f>ROUND(Sheet1!J96*1000,1)</f>
        <v>1</v>
      </c>
      <c r="K96">
        <f>ROUND(Sheet1!K96*1000,1)</f>
        <v>38</v>
      </c>
      <c r="L96">
        <f>ROUND(Sheet1!L96*1000,1)</f>
        <v>16.399999999999999</v>
      </c>
    </row>
    <row r="97" spans="1:12" ht="16.5" x14ac:dyDescent="0.35">
      <c r="A97" t="s">
        <v>103</v>
      </c>
      <c r="B97" s="1" t="s">
        <v>150</v>
      </c>
      <c r="C97">
        <f>ROUND(Sheet1!C97*1000,1)</f>
        <v>16</v>
      </c>
      <c r="D97">
        <f>ROUND(Sheet1!D97*1000,1)</f>
        <v>4.7</v>
      </c>
      <c r="E97">
        <f>ROUND(Sheet1!E97*1000,1)</f>
        <v>16</v>
      </c>
      <c r="F97">
        <f>ROUND(Sheet1!F97*1000,1)</f>
        <v>4.7</v>
      </c>
      <c r="G97">
        <f>ROUND(Sheet1!G97*1000,1)</f>
        <v>13.4</v>
      </c>
      <c r="H97">
        <f>ROUND(Sheet1!H97*1000,1)</f>
        <v>3.9</v>
      </c>
      <c r="I97">
        <f>ROUND(Sheet1!I97*1000,1)</f>
        <v>12.5</v>
      </c>
      <c r="J97">
        <f>ROUND(Sheet1!J97*1000,1)</f>
        <v>3.6</v>
      </c>
      <c r="K97">
        <f>ROUND(Sheet1!K97*1000,1)</f>
        <v>5.6</v>
      </c>
      <c r="L97">
        <f>ROUND(Sheet1!L97*1000,1)</f>
        <v>1.6</v>
      </c>
    </row>
    <row r="98" spans="1:12" ht="16.5" x14ac:dyDescent="0.35">
      <c r="A98" t="s">
        <v>104</v>
      </c>
      <c r="B98" s="1" t="s">
        <v>150</v>
      </c>
      <c r="C98">
        <f>ROUND(Sheet1!C98*1000,1)</f>
        <v>67.099999999999994</v>
      </c>
      <c r="D98">
        <f>ROUND(Sheet1!D98*1000,1)</f>
        <v>45.1</v>
      </c>
      <c r="E98">
        <f>ROUND(Sheet1!E98*1000,1)</f>
        <v>57.2</v>
      </c>
      <c r="F98">
        <f>ROUND(Sheet1!F98*1000,1)</f>
        <v>39.799999999999997</v>
      </c>
      <c r="G98">
        <f>ROUND(Sheet1!G98*1000,1)</f>
        <v>77.400000000000006</v>
      </c>
      <c r="H98">
        <f>ROUND(Sheet1!H98*1000,1)</f>
        <v>40.5</v>
      </c>
      <c r="I98">
        <f>ROUND(Sheet1!I98*1000,1)</f>
        <v>54.5</v>
      </c>
      <c r="J98">
        <f>ROUND(Sheet1!J98*1000,1)</f>
        <v>33.700000000000003</v>
      </c>
      <c r="K98">
        <f>ROUND(Sheet1!K98*1000,1)</f>
        <v>26.2</v>
      </c>
      <c r="L98">
        <f>ROUND(Sheet1!L98*1000,1)</f>
        <v>18.3</v>
      </c>
    </row>
    <row r="99" spans="1:12" ht="16.5" x14ac:dyDescent="0.35">
      <c r="A99" t="s">
        <v>105</v>
      </c>
      <c r="B99" s="1" t="s">
        <v>150</v>
      </c>
      <c r="C99">
        <f>ROUND(Sheet1!C99*1000,1)</f>
        <v>34.6</v>
      </c>
      <c r="D99">
        <f>ROUND(Sheet1!D99*1000,1)</f>
        <v>24.9</v>
      </c>
      <c r="E99">
        <f>ROUND(Sheet1!E99*1000,1)</f>
        <v>27.6</v>
      </c>
      <c r="F99">
        <f>ROUND(Sheet1!F99*1000,1)</f>
        <v>21</v>
      </c>
      <c r="G99">
        <f>ROUND(Sheet1!G99*1000,1)</f>
        <v>26.3</v>
      </c>
      <c r="H99">
        <f>ROUND(Sheet1!H99*1000,1)</f>
        <v>20.9</v>
      </c>
      <c r="I99">
        <f>ROUND(Sheet1!I99*1000,1)</f>
        <v>26</v>
      </c>
      <c r="J99">
        <f>ROUND(Sheet1!J99*1000,1)</f>
        <v>18.5</v>
      </c>
      <c r="K99">
        <f>ROUND(Sheet1!K99*1000,1)</f>
        <v>10.9</v>
      </c>
      <c r="L99">
        <f>ROUND(Sheet1!L99*1000,1)</f>
        <v>9.1999999999999993</v>
      </c>
    </row>
    <row r="100" spans="1:12" ht="16.5" x14ac:dyDescent="0.35">
      <c r="A100" t="s">
        <v>106</v>
      </c>
      <c r="B100" s="1" t="s">
        <v>150</v>
      </c>
      <c r="C100">
        <f>ROUND(Sheet1!C100*1000,1)</f>
        <v>61.7</v>
      </c>
      <c r="D100">
        <f>ROUND(Sheet1!D100*1000,1)</f>
        <v>43.4</v>
      </c>
      <c r="E100">
        <f>ROUND(Sheet1!E100*1000,1)</f>
        <v>58</v>
      </c>
      <c r="F100">
        <f>ROUND(Sheet1!F100*1000,1)</f>
        <v>40.4</v>
      </c>
      <c r="G100">
        <f>ROUND(Sheet1!G100*1000,1)</f>
        <v>28.8</v>
      </c>
      <c r="H100">
        <f>ROUND(Sheet1!H100*1000,1)</f>
        <v>21</v>
      </c>
      <c r="I100">
        <f>ROUND(Sheet1!I100*1000,1)</f>
        <v>40.1</v>
      </c>
      <c r="J100">
        <f>ROUND(Sheet1!J100*1000,1)</f>
        <v>29.4</v>
      </c>
      <c r="K100">
        <f>ROUND(Sheet1!K100*1000,1)</f>
        <v>23.8</v>
      </c>
      <c r="L100">
        <f>ROUND(Sheet1!L100*1000,1)</f>
        <v>17.3</v>
      </c>
    </row>
    <row r="101" spans="1:12" ht="16.5" x14ac:dyDescent="0.35">
      <c r="A101" t="s">
        <v>107</v>
      </c>
      <c r="B101" s="1" t="s">
        <v>150</v>
      </c>
      <c r="C101">
        <f>ROUND(Sheet1!C101*1000,1)</f>
        <v>33.5</v>
      </c>
      <c r="D101">
        <f>ROUND(Sheet1!D101*1000,1)</f>
        <v>24.6</v>
      </c>
      <c r="E101">
        <f>ROUND(Sheet1!E101*1000,1)</f>
        <v>28.3</v>
      </c>
      <c r="F101">
        <f>ROUND(Sheet1!F101*1000,1)</f>
        <v>21.7</v>
      </c>
      <c r="G101">
        <f>ROUND(Sheet1!G101*1000,1)</f>
        <v>30.2</v>
      </c>
      <c r="H101">
        <f>ROUND(Sheet1!H101*1000,1)</f>
        <v>22.5</v>
      </c>
      <c r="I101">
        <f>ROUND(Sheet1!I101*1000,1)</f>
        <v>22.7</v>
      </c>
      <c r="J101">
        <f>ROUND(Sheet1!J101*1000,1)</f>
        <v>17.3</v>
      </c>
      <c r="K101">
        <f>ROUND(Sheet1!K101*1000,1)</f>
        <v>11.2</v>
      </c>
      <c r="L101">
        <f>ROUND(Sheet1!L101*1000,1)</f>
        <v>9.1999999999999993</v>
      </c>
    </row>
    <row r="102" spans="1:12" ht="16.5" x14ac:dyDescent="0.35">
      <c r="A102" t="s">
        <v>108</v>
      </c>
      <c r="B102" s="1" t="s">
        <v>150</v>
      </c>
      <c r="C102">
        <f>ROUND(Sheet1!C102*1000,1)</f>
        <v>75.2</v>
      </c>
      <c r="D102">
        <f>ROUND(Sheet1!D102*1000,1)</f>
        <v>35.4</v>
      </c>
      <c r="E102">
        <f>ROUND(Sheet1!E102*1000,1)</f>
        <v>67.2</v>
      </c>
      <c r="F102">
        <f>ROUND(Sheet1!F102*1000,1)</f>
        <v>31.5</v>
      </c>
      <c r="G102">
        <f>ROUND(Sheet1!G102*1000,1)</f>
        <v>59</v>
      </c>
      <c r="H102">
        <f>ROUND(Sheet1!H102*1000,1)</f>
        <v>28.9</v>
      </c>
      <c r="I102">
        <f>ROUND(Sheet1!I102*1000,1)</f>
        <v>53.4</v>
      </c>
      <c r="J102">
        <f>ROUND(Sheet1!J102*1000,1)</f>
        <v>25.3</v>
      </c>
      <c r="K102">
        <f>ROUND(Sheet1!K102*1000,1)</f>
        <v>28.8</v>
      </c>
      <c r="L102">
        <f>ROUND(Sheet1!L102*1000,1)</f>
        <v>14.1</v>
      </c>
    </row>
    <row r="103" spans="1:12" ht="16.5" x14ac:dyDescent="0.35">
      <c r="A103" t="s">
        <v>109</v>
      </c>
      <c r="B103" s="1" t="s">
        <v>150</v>
      </c>
      <c r="C103">
        <f>ROUND(Sheet1!C103*1000,1)</f>
        <v>31.1</v>
      </c>
      <c r="D103">
        <f>ROUND(Sheet1!D103*1000,1)</f>
        <v>23</v>
      </c>
      <c r="E103">
        <f>ROUND(Sheet1!E103*1000,1)</f>
        <v>26.8</v>
      </c>
      <c r="F103">
        <f>ROUND(Sheet1!F103*1000,1)</f>
        <v>19.8</v>
      </c>
      <c r="G103">
        <f>ROUND(Sheet1!G103*1000,1)</f>
        <v>22</v>
      </c>
      <c r="H103">
        <f>ROUND(Sheet1!H103*1000,1)</f>
        <v>17.2</v>
      </c>
      <c r="I103">
        <f>ROUND(Sheet1!I103*1000,1)</f>
        <v>21</v>
      </c>
      <c r="J103">
        <f>ROUND(Sheet1!J103*1000,1)</f>
        <v>15.8</v>
      </c>
      <c r="K103">
        <f>ROUND(Sheet1!K103*1000,1)</f>
        <v>12.2</v>
      </c>
      <c r="L103">
        <f>ROUND(Sheet1!L103*1000,1)</f>
        <v>8.9</v>
      </c>
    </row>
    <row r="104" spans="1:12" ht="16.5" x14ac:dyDescent="0.35">
      <c r="A104" t="s">
        <v>110</v>
      </c>
      <c r="B104" s="1" t="s">
        <v>150</v>
      </c>
      <c r="C104">
        <f>ROUND(Sheet1!C104*1000,1)</f>
        <v>9</v>
      </c>
      <c r="D104">
        <f>ROUND(Sheet1!D104*1000,1)</f>
        <v>5.2</v>
      </c>
      <c r="E104">
        <f>ROUND(Sheet1!E104*1000,1)</f>
        <v>0.4</v>
      </c>
      <c r="F104">
        <f>ROUND(Sheet1!F104*1000,1)</f>
        <v>0.3</v>
      </c>
      <c r="G104">
        <f>ROUND(Sheet1!G104*1000,2)</f>
        <v>0.01</v>
      </c>
      <c r="H104">
        <f>ROUND(Sheet1!H104*1000,2)</f>
        <v>0.01</v>
      </c>
      <c r="I104">
        <f>ROUND(Sheet1!I104*1000,1)</f>
        <v>0.2</v>
      </c>
      <c r="J104">
        <f>ROUND(Sheet1!J104*1000,1)</f>
        <v>0.1</v>
      </c>
      <c r="K104">
        <f>ROUND(Sheet1!K104*1000,1)</f>
        <v>1.1000000000000001</v>
      </c>
      <c r="L104">
        <f>ROUND(Sheet1!L104*1000,1)</f>
        <v>0.8</v>
      </c>
    </row>
    <row r="105" spans="1:12" ht="16.5" x14ac:dyDescent="0.35">
      <c r="A105" t="s">
        <v>111</v>
      </c>
      <c r="B105" s="1" t="s">
        <v>150</v>
      </c>
      <c r="C105">
        <f>ROUND(Sheet1!C105*1000,1)</f>
        <v>210.7</v>
      </c>
      <c r="D105">
        <f>ROUND(Sheet1!D105*1000,1)</f>
        <v>58.1</v>
      </c>
      <c r="E105">
        <f>ROUND(Sheet1!E105*1000,1)</f>
        <v>89.4</v>
      </c>
      <c r="F105">
        <f>ROUND(Sheet1!F105*1000,1)</f>
        <v>31.5</v>
      </c>
      <c r="G105">
        <f>ROUND(Sheet1!G105*1000,1)</f>
        <v>0.7</v>
      </c>
      <c r="H105">
        <f>ROUND(Sheet1!H105*1000,1)</f>
        <v>0.3</v>
      </c>
      <c r="I105">
        <f>ROUND(Sheet1!I105*1000,1)</f>
        <v>137.80000000000001</v>
      </c>
      <c r="J105">
        <f>ROUND(Sheet1!J105*1000,1)</f>
        <v>39</v>
      </c>
      <c r="K105">
        <f>ROUND(Sheet1!K105*1000,1)</f>
        <v>0.4</v>
      </c>
      <c r="L105">
        <f>ROUND(Sheet1!L105*1000,1)</f>
        <v>0.2</v>
      </c>
    </row>
    <row r="106" spans="1:12" ht="16.5" x14ac:dyDescent="0.35">
      <c r="A106" t="s">
        <v>112</v>
      </c>
      <c r="B106" s="1" t="s">
        <v>150</v>
      </c>
      <c r="C106">
        <f>ROUND(Sheet1!C106*1000,1)</f>
        <v>840.4</v>
      </c>
      <c r="D106">
        <f>ROUND(Sheet1!D106*1000,1)</f>
        <v>495.8</v>
      </c>
      <c r="E106">
        <f>ROUND(Sheet1!E106*1000,1)</f>
        <v>228.2</v>
      </c>
      <c r="F106">
        <f>ROUND(Sheet1!F106*1000,1)</f>
        <v>142.30000000000001</v>
      </c>
      <c r="G106">
        <f>ROUND(Sheet1!G106*1000,1)</f>
        <v>11.9</v>
      </c>
      <c r="H106">
        <f>ROUND(Sheet1!H106*1000,1)</f>
        <v>5.8</v>
      </c>
      <c r="I106">
        <f>ROUND(Sheet1!I106*1000,1)</f>
        <v>398.8</v>
      </c>
      <c r="J106">
        <f>ROUND(Sheet1!J106*1000,1)</f>
        <v>182.7</v>
      </c>
      <c r="K106">
        <f>ROUND(Sheet1!K106*1000,1)</f>
        <v>2.5</v>
      </c>
      <c r="L106" s="5">
        <v>2.3999999999999999E-14</v>
      </c>
    </row>
    <row r="107" spans="1:12" ht="16.5" x14ac:dyDescent="0.35">
      <c r="A107" t="s">
        <v>113</v>
      </c>
      <c r="B107" s="1" t="s">
        <v>150</v>
      </c>
      <c r="C107">
        <f>ROUND(Sheet1!C107*1000,1)</f>
        <v>424.1</v>
      </c>
      <c r="D107">
        <f>ROUND(Sheet1!D107*1000,1)</f>
        <v>291.89999999999998</v>
      </c>
      <c r="E107">
        <f>ROUND(Sheet1!E107*1000,1)</f>
        <v>152.9</v>
      </c>
      <c r="F107">
        <f>ROUND(Sheet1!F107*1000,1)</f>
        <v>94.1</v>
      </c>
      <c r="G107">
        <f>ROUND(Sheet1!G107*1000,1)</f>
        <v>7.1</v>
      </c>
      <c r="H107">
        <f>ROUND(Sheet1!H107*1000,1)</f>
        <v>4.5</v>
      </c>
      <c r="I107">
        <f>ROUND(Sheet1!I107*1000,1)</f>
        <v>211.1</v>
      </c>
      <c r="J107">
        <f>ROUND(Sheet1!J107*1000,1)</f>
        <v>116.4</v>
      </c>
      <c r="K107">
        <f>ROUND(Sheet1!K107*1000,1)</f>
        <v>1.4</v>
      </c>
      <c r="L107" s="5">
        <v>1.7E-14</v>
      </c>
    </row>
    <row r="108" spans="1:12" ht="16.5" x14ac:dyDescent="0.35">
      <c r="A108" t="s">
        <v>114</v>
      </c>
      <c r="B108" s="1" t="s">
        <v>150</v>
      </c>
      <c r="C108">
        <f>ROUND(Sheet1!C108*1000,1)</f>
        <v>943.1</v>
      </c>
      <c r="D108">
        <f>ROUND(Sheet1!D108*1000,1)</f>
        <v>299.5</v>
      </c>
      <c r="E108">
        <f>ROUND(Sheet1!E108*1000,1)</f>
        <v>746.4</v>
      </c>
      <c r="F108">
        <f>ROUND(Sheet1!F108*1000,1)</f>
        <v>173.3</v>
      </c>
      <c r="G108">
        <f>ROUND(Sheet1!G108*1000,1)</f>
        <v>16.5</v>
      </c>
      <c r="H108">
        <f>ROUND(Sheet1!H108*1000,1)</f>
        <v>4.0999999999999996</v>
      </c>
      <c r="I108">
        <f>ROUND(Sheet1!I108*1000,1)</f>
        <v>920.9</v>
      </c>
      <c r="J108">
        <f>ROUND(Sheet1!J108*1000,1)</f>
        <v>173.9</v>
      </c>
      <c r="K108">
        <f>ROUND(Sheet1!K108*1000,1)</f>
        <v>4</v>
      </c>
      <c r="L108">
        <f>ROUND(Sheet1!L108*1000,1)</f>
        <v>1.1000000000000001</v>
      </c>
    </row>
    <row r="109" spans="1:12" ht="16.5" x14ac:dyDescent="0.35">
      <c r="A109" t="s">
        <v>115</v>
      </c>
      <c r="B109" s="1" t="s">
        <v>150</v>
      </c>
      <c r="C109">
        <f>ROUND(Sheet1!C109*1000,1)</f>
        <v>571.29999999999995</v>
      </c>
      <c r="D109">
        <f>ROUND(Sheet1!D109*1000,1)</f>
        <v>259.8</v>
      </c>
      <c r="E109">
        <f>ROUND(Sheet1!E109*1000,1)</f>
        <v>210.5</v>
      </c>
      <c r="F109">
        <f>ROUND(Sheet1!F109*1000,1)</f>
        <v>88.3</v>
      </c>
      <c r="G109">
        <f>ROUND(Sheet1!G109*1000,1)</f>
        <v>13</v>
      </c>
      <c r="H109">
        <f>ROUND(Sheet1!H109*1000,1)</f>
        <v>5</v>
      </c>
      <c r="I109">
        <f>ROUND(Sheet1!I109*1000,1)</f>
        <v>208</v>
      </c>
      <c r="J109">
        <f>ROUND(Sheet1!J109*1000,1)</f>
        <v>84.6</v>
      </c>
      <c r="K109">
        <f>ROUND(Sheet1!K109*1000,1)</f>
        <v>1.6</v>
      </c>
      <c r="L109">
        <f>ROUND(Sheet1!L109*1000,1)</f>
        <v>0.9</v>
      </c>
    </row>
    <row r="110" spans="1:12" ht="16.5" x14ac:dyDescent="0.35">
      <c r="A110" t="s">
        <v>116</v>
      </c>
      <c r="B110" s="1" t="s">
        <v>150</v>
      </c>
      <c r="C110">
        <f>ROUND(Sheet1!C110*1000,1)</f>
        <v>68.099999999999994</v>
      </c>
      <c r="D110">
        <f>ROUND(Sheet1!D110*1000,1)</f>
        <v>31.1</v>
      </c>
      <c r="E110">
        <f>ROUND(Sheet1!E110*1000,1)</f>
        <v>34.4</v>
      </c>
      <c r="F110">
        <f>ROUND(Sheet1!F110*1000,1)</f>
        <v>15.7</v>
      </c>
      <c r="G110">
        <f>ROUND(Sheet1!G110*1000,1)</f>
        <v>0.3</v>
      </c>
      <c r="H110">
        <f>ROUND(Sheet1!H110*1000,1)</f>
        <v>0.1</v>
      </c>
      <c r="I110">
        <f>ROUND(Sheet1!I110*1000,1)</f>
        <v>44.9</v>
      </c>
      <c r="J110">
        <f>ROUND(Sheet1!J110*1000,1)</f>
        <v>20.6</v>
      </c>
      <c r="K110">
        <f>ROUND(Sheet1!K110*1000,1)</f>
        <v>0.2</v>
      </c>
      <c r="L110">
        <f>ROUND(Sheet1!L110*1000,1)</f>
        <v>0.1</v>
      </c>
    </row>
    <row r="111" spans="1:12" ht="16.5" x14ac:dyDescent="0.35">
      <c r="A111" t="s">
        <v>117</v>
      </c>
      <c r="B111" s="1" t="s">
        <v>150</v>
      </c>
      <c r="C111">
        <f>ROUND(Sheet1!C111*1000,1)</f>
        <v>707.7</v>
      </c>
      <c r="D111">
        <f>ROUND(Sheet1!D111*1000,1)</f>
        <v>467</v>
      </c>
      <c r="E111">
        <f>ROUND(Sheet1!E111*1000,1)</f>
        <v>211.9</v>
      </c>
      <c r="F111">
        <f>ROUND(Sheet1!F111*1000,1)</f>
        <v>138.30000000000001</v>
      </c>
      <c r="G111">
        <f>ROUND(Sheet1!G111*1000,1)</f>
        <v>5.8</v>
      </c>
      <c r="H111">
        <f>ROUND(Sheet1!H111*1000,1)</f>
        <v>3.8</v>
      </c>
      <c r="I111">
        <f>ROUND(Sheet1!I111*1000,1)</f>
        <v>160.9</v>
      </c>
      <c r="J111">
        <f>ROUND(Sheet1!J111*1000,1)</f>
        <v>141.80000000000001</v>
      </c>
      <c r="K111">
        <f>ROUND(Sheet1!K111*1000,1)</f>
        <v>0.1</v>
      </c>
      <c r="L111">
        <f>ROUND(Sheet1!L111*1000,1)</f>
        <v>0</v>
      </c>
    </row>
    <row r="112" spans="1:12" ht="16.5" x14ac:dyDescent="0.35">
      <c r="A112" t="s">
        <v>118</v>
      </c>
      <c r="B112" s="1" t="s">
        <v>150</v>
      </c>
      <c r="C112">
        <f>ROUND(Sheet1!C112*1000,1)</f>
        <v>359.4</v>
      </c>
      <c r="D112">
        <f>ROUND(Sheet1!D112*1000,1)</f>
        <v>259.7</v>
      </c>
      <c r="E112">
        <f>ROUND(Sheet1!E112*1000,1)</f>
        <v>109.2</v>
      </c>
      <c r="F112">
        <f>ROUND(Sheet1!F112*1000,1)</f>
        <v>80.8</v>
      </c>
      <c r="G112">
        <f>ROUND(Sheet1!G112*1000,1)</f>
        <v>3.9</v>
      </c>
      <c r="H112">
        <f>ROUND(Sheet1!H112*1000,1)</f>
        <v>2.7</v>
      </c>
      <c r="I112">
        <f>ROUND(Sheet1!I112*1000,1)</f>
        <v>113.9</v>
      </c>
      <c r="J112">
        <f>ROUND(Sheet1!J112*1000,1)</f>
        <v>93.1</v>
      </c>
      <c r="K112">
        <f>ROUND(Sheet1!K112*1000,1)</f>
        <v>0</v>
      </c>
      <c r="L112">
        <f>ROUND(Sheet1!L112*1000,1)</f>
        <v>0</v>
      </c>
    </row>
    <row r="113" spans="1:12" ht="16.5" x14ac:dyDescent="0.35">
      <c r="A113" t="s">
        <v>119</v>
      </c>
      <c r="B113" s="1" t="s">
        <v>150</v>
      </c>
      <c r="C113">
        <f>ROUND(Sheet1!C113*1000,1)</f>
        <v>111.9</v>
      </c>
      <c r="D113">
        <f>ROUND(Sheet1!D113*1000,1)</f>
        <v>30.7</v>
      </c>
      <c r="E113">
        <f>ROUND(Sheet1!E113*1000,1)</f>
        <v>54.2</v>
      </c>
      <c r="F113">
        <f>ROUND(Sheet1!F113*1000,1)</f>
        <v>16.3</v>
      </c>
      <c r="G113">
        <f>ROUND(Sheet1!G113*1000,1)</f>
        <v>0.4</v>
      </c>
      <c r="H113">
        <f>ROUND(Sheet1!H113*1000,1)</f>
        <v>0.2</v>
      </c>
      <c r="I113">
        <f>ROUND(Sheet1!I113*1000,1)</f>
        <v>75.099999999999994</v>
      </c>
      <c r="J113">
        <f>ROUND(Sheet1!J113*1000,1)</f>
        <v>20.3</v>
      </c>
      <c r="K113">
        <f>ROUND(Sheet1!K113*1000,1)</f>
        <v>0.3</v>
      </c>
      <c r="L113">
        <f>ROUND(Sheet1!L113*1000,1)</f>
        <v>0.1</v>
      </c>
    </row>
    <row r="114" spans="1:12" ht="16.5" x14ac:dyDescent="0.35">
      <c r="A114" t="s">
        <v>120</v>
      </c>
      <c r="B114" s="1" t="s">
        <v>150</v>
      </c>
      <c r="C114">
        <f>ROUND(Sheet1!C114*1000,1)</f>
        <v>459.4</v>
      </c>
      <c r="D114">
        <f>ROUND(Sheet1!D114*1000,1)</f>
        <v>261.2</v>
      </c>
      <c r="E114">
        <f>ROUND(Sheet1!E114*1000,1)</f>
        <v>156.30000000000001</v>
      </c>
      <c r="F114">
        <f>ROUND(Sheet1!F114*1000,1)</f>
        <v>89.2</v>
      </c>
      <c r="G114">
        <f>ROUND(Sheet1!G114*1000,1)</f>
        <v>12.6</v>
      </c>
      <c r="H114">
        <f>ROUND(Sheet1!H114*1000,1)</f>
        <v>5</v>
      </c>
      <c r="I114">
        <f>ROUND(Sheet1!I114*1000,1)</f>
        <v>132.9</v>
      </c>
      <c r="J114">
        <f>ROUND(Sheet1!J114*1000,1)</f>
        <v>85.1</v>
      </c>
      <c r="K114">
        <f>ROUND(Sheet1!K114*1000,1)</f>
        <v>1.3</v>
      </c>
      <c r="L114">
        <f>ROUND(Sheet1!L114*1000,1)</f>
        <v>0.9</v>
      </c>
    </row>
    <row r="115" spans="1:12" ht="16.5" x14ac:dyDescent="0.35">
      <c r="A115" t="s">
        <v>121</v>
      </c>
      <c r="B115" s="1" t="s">
        <v>150</v>
      </c>
      <c r="C115">
        <f>ROUND(Sheet1!C115*1000,1)</f>
        <v>0.2</v>
      </c>
      <c r="D115">
        <f>ROUND(Sheet1!D115*1000,1)</f>
        <v>0.1</v>
      </c>
      <c r="E115">
        <f>ROUND(Sheet1!E115*1000,2)</f>
        <v>0.01</v>
      </c>
      <c r="F115">
        <f>ROUND(Sheet1!F115*1000,3)</f>
        <v>3.0000000000000001E-3</v>
      </c>
      <c r="G115">
        <f>ROUND(Sheet1!G115*1000,4)</f>
        <v>2.0000000000000001E-4</v>
      </c>
      <c r="H115">
        <f>ROUND(Sheet1!H115*1000,4)</f>
        <v>1E-4</v>
      </c>
      <c r="I115">
        <f>ROUND(Sheet1!I115*1000,2)</f>
        <v>0.02</v>
      </c>
      <c r="J115">
        <f>ROUND(Sheet1!J115*1000,2)</f>
        <v>0.01</v>
      </c>
      <c r="K115">
        <f>ROUND(Sheet1!K115*1000,1)</f>
        <v>0.2</v>
      </c>
      <c r="L115">
        <f>ROUND(Sheet1!L115*1000,1)</f>
        <v>0.1</v>
      </c>
    </row>
    <row r="116" spans="1:12" ht="16.5" x14ac:dyDescent="0.35">
      <c r="A116" t="s">
        <v>122</v>
      </c>
      <c r="B116" s="1" t="s">
        <v>150</v>
      </c>
      <c r="C116">
        <f>ROUND(Sheet1!C116*1000,1)</f>
        <v>3</v>
      </c>
      <c r="D116">
        <f>ROUND(Sheet1!D116*1000,1)</f>
        <v>0.7</v>
      </c>
      <c r="E116">
        <f>ROUND(Sheet1!E116*1000,1)</f>
        <v>0.1</v>
      </c>
      <c r="F116">
        <f>ROUND(Sheet1!F116*1000,2)</f>
        <v>0.03</v>
      </c>
      <c r="G116">
        <f>ROUND(Sheet1!G116*1000,2)</f>
        <v>0.01</v>
      </c>
      <c r="H116">
        <f>ROUND(Sheet1!H116*1000,3)</f>
        <v>1E-3</v>
      </c>
      <c r="I116">
        <f>ROUND(Sheet1!I116*1000,1)</f>
        <v>0.6</v>
      </c>
      <c r="J116">
        <f>ROUND(Sheet1!J116*1000,1)</f>
        <v>0.1</v>
      </c>
      <c r="K116">
        <f>ROUND(Sheet1!K116*1000,1)</f>
        <v>3.3</v>
      </c>
      <c r="L116">
        <f>ROUND(Sheet1!L116*1000,1)</f>
        <v>0.6</v>
      </c>
    </row>
    <row r="117" spans="1:12" ht="16.5" x14ac:dyDescent="0.35">
      <c r="A117" t="s">
        <v>123</v>
      </c>
      <c r="B117" s="1" t="s">
        <v>150</v>
      </c>
      <c r="C117">
        <f>ROUND(Sheet1!C117*1000,1)</f>
        <v>0.7</v>
      </c>
      <c r="D117">
        <f>ROUND(Sheet1!D117*1000,1)</f>
        <v>0.3</v>
      </c>
      <c r="E117">
        <f>ROUND(Sheet1!E117*1000,2)</f>
        <v>0.03</v>
      </c>
      <c r="F117">
        <f>ROUND(Sheet1!F117*1000,2)</f>
        <v>0.01</v>
      </c>
      <c r="G117">
        <f>ROUND(Sheet1!G117*1000,3)</f>
        <v>1E-3</v>
      </c>
      <c r="H117">
        <f>ROUND(Sheet1!H117*1000,4)</f>
        <v>2.9999999999999997E-4</v>
      </c>
      <c r="I117">
        <f>ROUND(Sheet1!I117*1000,1)</f>
        <v>0.1</v>
      </c>
      <c r="J117">
        <f>ROUND(Sheet1!J117*1000,2)</f>
        <v>0.03</v>
      </c>
      <c r="K117">
        <f>ROUND(Sheet1!K117*1000,1)</f>
        <v>0.7</v>
      </c>
      <c r="L117">
        <f>ROUND(Sheet1!L117*1000,1)</f>
        <v>0.3</v>
      </c>
    </row>
    <row r="118" spans="1:12" ht="16.5" x14ac:dyDescent="0.35">
      <c r="A118" t="s">
        <v>124</v>
      </c>
      <c r="B118" s="1" t="s">
        <v>150</v>
      </c>
      <c r="C118">
        <f>ROUND(Sheet1!C118*1000,1)</f>
        <v>9.4</v>
      </c>
      <c r="D118">
        <f>ROUND(Sheet1!D118*1000,1)</f>
        <v>2.2999999999999998</v>
      </c>
      <c r="E118">
        <f>ROUND(Sheet1!E118*1000,1)</f>
        <v>0.4</v>
      </c>
      <c r="F118">
        <f>ROUND(Sheet1!F118*1000,1)</f>
        <v>0.1</v>
      </c>
      <c r="G118">
        <f>ROUND(Sheet1!G118*1000,2)</f>
        <v>0.02</v>
      </c>
      <c r="H118">
        <f>ROUND(Sheet1!H118*1000,3)</f>
        <v>2E-3</v>
      </c>
      <c r="I118">
        <f>ROUND(Sheet1!I118*1000,1)</f>
        <v>1.7</v>
      </c>
      <c r="J118">
        <f>ROUND(Sheet1!J118*1000,1)</f>
        <v>0.5</v>
      </c>
      <c r="K118">
        <f>ROUND(Sheet1!K118*1000,1)</f>
        <v>9.6</v>
      </c>
      <c r="L118">
        <f>ROUND(Sheet1!L118*1000,1)</f>
        <v>2.6</v>
      </c>
    </row>
    <row r="119" spans="1:12" ht="16.5" x14ac:dyDescent="0.35">
      <c r="A119" t="s">
        <v>125</v>
      </c>
      <c r="B119" s="1" t="s">
        <v>150</v>
      </c>
      <c r="C119">
        <f>ROUND(Sheet1!C119*1000,1)</f>
        <v>4.4000000000000004</v>
      </c>
      <c r="D119">
        <f>ROUND(Sheet1!D119*1000,1)</f>
        <v>1.8</v>
      </c>
      <c r="E119">
        <f>ROUND(Sheet1!E119*1000,1)</f>
        <v>0.2</v>
      </c>
      <c r="F119">
        <f>ROUND(Sheet1!F119*1000,1)</f>
        <v>0.1</v>
      </c>
      <c r="G119">
        <f>ROUND(Sheet1!G119*1000,2)</f>
        <v>0.01</v>
      </c>
      <c r="H119">
        <f>ROUND(Sheet1!H119*1000,3)</f>
        <v>2E-3</v>
      </c>
      <c r="I119">
        <f>ROUND(Sheet1!I119*1000,1)</f>
        <v>0.9</v>
      </c>
      <c r="J119">
        <f>ROUND(Sheet1!J119*1000,1)</f>
        <v>0.3</v>
      </c>
      <c r="K119">
        <f>ROUND(Sheet1!K119*1000,1)</f>
        <v>4.7</v>
      </c>
      <c r="L119">
        <f>ROUND(Sheet1!L119*1000,1)</f>
        <v>1.7</v>
      </c>
    </row>
    <row r="120" spans="1:12" ht="16.5" x14ac:dyDescent="0.35">
      <c r="A120" t="s">
        <v>126</v>
      </c>
      <c r="B120" s="1" t="s">
        <v>150</v>
      </c>
      <c r="C120">
        <f>ROUND(Sheet1!C120*1000,1)</f>
        <v>5.4</v>
      </c>
      <c r="D120">
        <f>ROUND(Sheet1!D120*1000,1)</f>
        <v>2.7</v>
      </c>
      <c r="E120">
        <f>ROUND(Sheet1!E120*1000,1)</f>
        <v>0.2</v>
      </c>
      <c r="F120">
        <f>ROUND(Sheet1!F120*1000,1)</f>
        <v>0.1</v>
      </c>
      <c r="G120">
        <f>ROUND(Sheet1!G120*1000,2)</f>
        <v>0.01</v>
      </c>
      <c r="H120">
        <f>ROUND(Sheet1!H120*1000,3)</f>
        <v>2E-3</v>
      </c>
      <c r="I120">
        <f>ROUND(Sheet1!I120*1000,1)</f>
        <v>1.3</v>
      </c>
      <c r="J120">
        <f>ROUND(Sheet1!J120*1000,1)</f>
        <v>0.5</v>
      </c>
      <c r="K120">
        <f>ROUND(Sheet1!K120*1000,1)</f>
        <v>6.4</v>
      </c>
      <c r="L120">
        <f>ROUND(Sheet1!L120*1000,1)</f>
        <v>2.9</v>
      </c>
    </row>
    <row r="121" spans="1:12" ht="16.5" x14ac:dyDescent="0.35">
      <c r="A121" t="s">
        <v>127</v>
      </c>
      <c r="B121" s="1" t="s">
        <v>150</v>
      </c>
      <c r="C121">
        <f>ROUND(Sheet1!C121*1000,1)</f>
        <v>7.1</v>
      </c>
      <c r="D121">
        <f>ROUND(Sheet1!D121*1000,1)</f>
        <v>2.7</v>
      </c>
      <c r="E121">
        <f>ROUND(Sheet1!E121*1000,1)</f>
        <v>6.9</v>
      </c>
      <c r="F121">
        <f>ROUND(Sheet1!F121*1000,1)</f>
        <v>2.6</v>
      </c>
      <c r="G121">
        <f>ROUND(Sheet1!G121*1000,1)</f>
        <v>5.7</v>
      </c>
      <c r="H121">
        <f>ROUND(Sheet1!H121*1000,1)</f>
        <v>2.2000000000000002</v>
      </c>
      <c r="I121">
        <f>ROUND(Sheet1!I121*1000,1)</f>
        <v>5.0999999999999996</v>
      </c>
      <c r="J121">
        <f>ROUND(Sheet1!J121*1000,1)</f>
        <v>2</v>
      </c>
      <c r="K121">
        <f>ROUND(Sheet1!K121*1000,1)</f>
        <v>2.2000000000000002</v>
      </c>
      <c r="L121">
        <f>ROUND(Sheet1!L121*1000,1)</f>
        <v>0.9</v>
      </c>
    </row>
    <row r="122" spans="1:12" ht="16.5" x14ac:dyDescent="0.35">
      <c r="A122" t="s">
        <v>128</v>
      </c>
      <c r="B122" s="1" t="s">
        <v>150</v>
      </c>
      <c r="C122">
        <f>ROUND(Sheet1!C122*1000,1)</f>
        <v>3.6</v>
      </c>
      <c r="D122">
        <f>ROUND(Sheet1!D122*1000,1)</f>
        <v>1.5</v>
      </c>
      <c r="E122">
        <f>ROUND(Sheet1!E122*1000,1)</f>
        <v>3.4</v>
      </c>
      <c r="F122">
        <f>ROUND(Sheet1!F122*1000,1)</f>
        <v>1.5</v>
      </c>
      <c r="G122">
        <f>ROUND(Sheet1!G122*1000,1)</f>
        <v>2.9</v>
      </c>
      <c r="H122">
        <f>ROUND(Sheet1!H122*1000,1)</f>
        <v>1.2</v>
      </c>
      <c r="I122">
        <f>ROUND(Sheet1!I122*1000,1)</f>
        <v>2.6</v>
      </c>
      <c r="J122">
        <f>ROUND(Sheet1!J122*1000,1)</f>
        <v>1.1000000000000001</v>
      </c>
      <c r="K122">
        <f>ROUND(Sheet1!K122*1000,1)</f>
        <v>1.1000000000000001</v>
      </c>
      <c r="L122">
        <f>ROUND(Sheet1!L122*1000,1)</f>
        <v>0.5</v>
      </c>
    </row>
    <row r="123" spans="1:12" ht="16.5" x14ac:dyDescent="0.35">
      <c r="A123" t="s">
        <v>129</v>
      </c>
      <c r="B123" s="1" t="s">
        <v>150</v>
      </c>
      <c r="C123">
        <f>ROUND(Sheet1!C123*1000,1)</f>
        <v>5</v>
      </c>
      <c r="D123">
        <f>ROUND(Sheet1!D123*1000,1)</f>
        <v>2.4</v>
      </c>
      <c r="E123">
        <f>ROUND(Sheet1!E123*1000,1)</f>
        <v>4.9000000000000004</v>
      </c>
      <c r="F123">
        <f>ROUND(Sheet1!F123*1000,1)</f>
        <v>2.4</v>
      </c>
      <c r="G123">
        <f>ROUND(Sheet1!G123*1000,1)</f>
        <v>4</v>
      </c>
      <c r="H123">
        <f>ROUND(Sheet1!H123*1000,1)</f>
        <v>2</v>
      </c>
      <c r="I123">
        <f>ROUND(Sheet1!I123*1000,1)</f>
        <v>3.5</v>
      </c>
      <c r="J123">
        <f>ROUND(Sheet1!J123*1000,1)</f>
        <v>1.8</v>
      </c>
      <c r="K123">
        <f>ROUND(Sheet1!K123*1000,1)</f>
        <v>1.6</v>
      </c>
      <c r="L123">
        <f>ROUND(Sheet1!L123*1000,1)</f>
        <v>0.8</v>
      </c>
    </row>
    <row r="124" spans="1:12" ht="16.5" x14ac:dyDescent="0.35">
      <c r="A124" t="s">
        <v>130</v>
      </c>
      <c r="B124" s="1" t="s">
        <v>150</v>
      </c>
      <c r="C124">
        <f>ROUND(Sheet1!C124*1000,1)</f>
        <v>2.9</v>
      </c>
      <c r="D124">
        <f>ROUND(Sheet1!D124*1000,1)</f>
        <v>1.5</v>
      </c>
      <c r="E124">
        <f>ROUND(Sheet1!E124*1000,1)</f>
        <v>2.7</v>
      </c>
      <c r="F124">
        <f>ROUND(Sheet1!F124*1000,1)</f>
        <v>1.4</v>
      </c>
      <c r="G124">
        <f>ROUND(Sheet1!G124*1000,1)</f>
        <v>2.2999999999999998</v>
      </c>
      <c r="H124">
        <f>ROUND(Sheet1!H124*1000,1)</f>
        <v>1.2</v>
      </c>
      <c r="I124">
        <f>ROUND(Sheet1!I124*1000,1)</f>
        <v>2.1</v>
      </c>
      <c r="J124">
        <f>ROUND(Sheet1!J124*1000,1)</f>
        <v>1.1000000000000001</v>
      </c>
      <c r="K124">
        <f>ROUND(Sheet1!K124*1000,1)</f>
        <v>0.9</v>
      </c>
      <c r="L124">
        <f>ROUND(Sheet1!L124*1000,1)</f>
        <v>0.5</v>
      </c>
    </row>
    <row r="125" spans="1:12" ht="16.5" x14ac:dyDescent="0.35">
      <c r="A125" t="s">
        <v>131</v>
      </c>
      <c r="B125" s="1" t="s">
        <v>150</v>
      </c>
      <c r="C125">
        <f>ROUND(Sheet1!C125*1000,1)</f>
        <v>42.9</v>
      </c>
      <c r="D125">
        <f>ROUND(Sheet1!D125*1000,1)</f>
        <v>17</v>
      </c>
      <c r="E125">
        <f>ROUND(Sheet1!E125*1000,1)</f>
        <v>24.2</v>
      </c>
      <c r="F125">
        <f>ROUND(Sheet1!F125*1000,1)</f>
        <v>9.1999999999999993</v>
      </c>
      <c r="G125">
        <f>ROUND(Sheet1!G125*1000,1)</f>
        <v>0.4</v>
      </c>
      <c r="H125">
        <f>ROUND(Sheet1!H125*1000,1)</f>
        <v>0.1</v>
      </c>
      <c r="I125">
        <f>ROUND(Sheet1!I125*1000,1)</f>
        <v>28.8</v>
      </c>
      <c r="J125">
        <f>ROUND(Sheet1!J125*1000,1)</f>
        <v>11.3</v>
      </c>
      <c r="K125">
        <f>ROUND(Sheet1!K125*1000,1)</f>
        <v>0.2</v>
      </c>
      <c r="L125">
        <f>ROUND(Sheet1!L125*1000,1)</f>
        <v>0.1</v>
      </c>
    </row>
    <row r="126" spans="1:12" ht="16.5" x14ac:dyDescent="0.35">
      <c r="A126" t="s">
        <v>132</v>
      </c>
      <c r="B126" s="1" t="s">
        <v>150</v>
      </c>
      <c r="C126">
        <f>ROUND(Sheet1!C126*1000,1)</f>
        <v>21.6</v>
      </c>
      <c r="D126">
        <f>ROUND(Sheet1!D126*1000,1)</f>
        <v>9.5</v>
      </c>
      <c r="E126">
        <f>ROUND(Sheet1!E126*1000,1)</f>
        <v>12.2</v>
      </c>
      <c r="F126">
        <f>ROUND(Sheet1!F126*1000,1)</f>
        <v>5.2</v>
      </c>
      <c r="G126">
        <f>ROUND(Sheet1!G126*1000,1)</f>
        <v>0.2</v>
      </c>
      <c r="H126">
        <f>ROUND(Sheet1!H126*1000,1)</f>
        <v>0.1</v>
      </c>
      <c r="I126">
        <f>ROUND(Sheet1!I126*1000,1)</f>
        <v>14.5</v>
      </c>
      <c r="J126">
        <f>ROUND(Sheet1!J126*1000,1)</f>
        <v>6.3</v>
      </c>
      <c r="K126">
        <f>ROUND(Sheet1!K126*1000,1)</f>
        <v>0.1</v>
      </c>
      <c r="L126">
        <f>ROUND(Sheet1!L126*1000,2)</f>
        <v>0.05</v>
      </c>
    </row>
    <row r="127" spans="1:12" ht="16.5" x14ac:dyDescent="0.35">
      <c r="A127" t="s">
        <v>133</v>
      </c>
      <c r="B127" s="1" t="s">
        <v>150</v>
      </c>
      <c r="C127">
        <f>ROUND(Sheet1!C127*1000,1)</f>
        <v>30.2</v>
      </c>
      <c r="D127">
        <f>ROUND(Sheet1!D127*1000,1)</f>
        <v>15.1</v>
      </c>
      <c r="E127">
        <f>ROUND(Sheet1!E127*1000,1)</f>
        <v>17.399999999999999</v>
      </c>
      <c r="F127">
        <f>ROUND(Sheet1!F127*1000,1)</f>
        <v>8.5</v>
      </c>
      <c r="G127">
        <f>ROUND(Sheet1!G127*1000,1)</f>
        <v>0.3</v>
      </c>
      <c r="H127">
        <f>ROUND(Sheet1!H127*1000,1)</f>
        <v>0.1</v>
      </c>
      <c r="I127">
        <f>ROUND(Sheet1!I127*1000,1)</f>
        <v>20.5</v>
      </c>
      <c r="J127">
        <f>ROUND(Sheet1!J127*1000,1)</f>
        <v>10.199999999999999</v>
      </c>
      <c r="K127">
        <f>ROUND(Sheet1!K127*1000,1)</f>
        <v>0.2</v>
      </c>
      <c r="L127">
        <f>ROUND(Sheet1!L127*1000,1)</f>
        <v>0.1</v>
      </c>
    </row>
    <row r="128" spans="1:12" ht="16.5" x14ac:dyDescent="0.35">
      <c r="A128" t="s">
        <v>134</v>
      </c>
      <c r="B128" s="1" t="s">
        <v>150</v>
      </c>
      <c r="C128">
        <f>ROUND(Sheet1!C128*1000,1)</f>
        <v>17.3</v>
      </c>
      <c r="D128">
        <f>ROUND(Sheet1!D128*1000,1)</f>
        <v>9.3000000000000007</v>
      </c>
      <c r="E128">
        <f>ROUND(Sheet1!E128*1000,1)</f>
        <v>9.8000000000000007</v>
      </c>
      <c r="F128">
        <f>ROUND(Sheet1!F128*1000,1)</f>
        <v>5.2</v>
      </c>
      <c r="G128">
        <f>ROUND(Sheet1!G128*1000,1)</f>
        <v>0.2</v>
      </c>
      <c r="H128">
        <f>ROUND(Sheet1!H128*1000,1)</f>
        <v>0.1</v>
      </c>
      <c r="I128">
        <f>ROUND(Sheet1!I128*1000,1)</f>
        <v>11.7</v>
      </c>
      <c r="J128">
        <f>ROUND(Sheet1!J128*1000,1)</f>
        <v>6.2</v>
      </c>
      <c r="K128">
        <f>ROUND(Sheet1!K128*1000,1)</f>
        <v>0.1</v>
      </c>
      <c r="L128">
        <f>ROUND(Sheet1!L128*1000,2)</f>
        <v>0.04</v>
      </c>
    </row>
    <row r="129" spans="1:12" ht="16.5" x14ac:dyDescent="0.35">
      <c r="A129" t="s">
        <v>135</v>
      </c>
      <c r="B129" s="1" t="s">
        <v>150</v>
      </c>
      <c r="C129">
        <f>ROUND(Sheet1!C129*1000,1)</f>
        <v>7615.5</v>
      </c>
      <c r="D129">
        <f>ROUND(Sheet1!D129*1000,1)</f>
        <v>1466.2</v>
      </c>
      <c r="E129">
        <f>ROUND(Sheet1!E129*1000,1)</f>
        <v>4248.5</v>
      </c>
      <c r="F129">
        <f>ROUND(Sheet1!F129*1000,1)</f>
        <v>723.6</v>
      </c>
      <c r="G129">
        <f>ROUND(Sheet1!G129*1000,1)</f>
        <v>4850.2</v>
      </c>
      <c r="H129">
        <f>ROUND(Sheet1!H129*1000,1)</f>
        <v>636.6</v>
      </c>
      <c r="I129">
        <f>ROUND(Sheet1!I129*1000,1)</f>
        <v>4666.7</v>
      </c>
      <c r="J129">
        <f>ROUND(Sheet1!J129*1000,1)</f>
        <v>708.2</v>
      </c>
      <c r="K129">
        <f>ROUND(Sheet1!K129*1000,1)</f>
        <v>2951.4</v>
      </c>
      <c r="L129">
        <f>ROUND(Sheet1!L129*1000,1)</f>
        <v>518.9</v>
      </c>
    </row>
    <row r="130" spans="1:12" ht="16.5" x14ac:dyDescent="0.35">
      <c r="A130" t="s">
        <v>136</v>
      </c>
      <c r="B130" s="1" t="s">
        <v>150</v>
      </c>
      <c r="C130">
        <f>ROUND(Sheet1!C130*1000,1)</f>
        <v>1437.4</v>
      </c>
      <c r="D130">
        <f>ROUND(Sheet1!D130*1000,1)</f>
        <v>463.4</v>
      </c>
      <c r="E130">
        <f>ROUND(Sheet1!E130*1000,1)</f>
        <v>2179.6999999999998</v>
      </c>
      <c r="F130">
        <f>ROUND(Sheet1!F130*1000,1)</f>
        <v>436.4</v>
      </c>
      <c r="G130">
        <f>ROUND(Sheet1!G130*1000,1)</f>
        <v>4680.7</v>
      </c>
      <c r="H130">
        <f>ROUND(Sheet1!H130*1000,1)</f>
        <v>1090.8</v>
      </c>
      <c r="I130">
        <f>ROUND(Sheet1!I130*1000,1)</f>
        <v>1238.2</v>
      </c>
      <c r="J130">
        <f>ROUND(Sheet1!J130*1000,1)</f>
        <v>487.5</v>
      </c>
      <c r="K130">
        <f>ROUND(Sheet1!K130*1000,1)</f>
        <v>1407.8</v>
      </c>
      <c r="L130">
        <f>ROUND(Sheet1!L130*1000,1)</f>
        <v>406.3</v>
      </c>
    </row>
    <row r="131" spans="1:12" ht="16.5" x14ac:dyDescent="0.35">
      <c r="A131" t="s">
        <v>137</v>
      </c>
      <c r="B131" s="1" t="s">
        <v>150</v>
      </c>
      <c r="C131">
        <f>ROUND(Sheet1!C131*1000,1)</f>
        <v>444.4</v>
      </c>
      <c r="D131">
        <f>ROUND(Sheet1!D131*1000,1)</f>
        <v>321.39999999999998</v>
      </c>
      <c r="E131">
        <f>ROUND(Sheet1!E131*1000,1)</f>
        <v>107</v>
      </c>
      <c r="F131">
        <f>ROUND(Sheet1!F131*1000,1)</f>
        <v>71.2</v>
      </c>
      <c r="G131">
        <f>ROUND(Sheet1!G131*1000,1)</f>
        <v>112</v>
      </c>
      <c r="H131">
        <f>ROUND(Sheet1!H131*1000,1)</f>
        <v>98.5</v>
      </c>
      <c r="I131">
        <f>ROUND(Sheet1!I131*1000,1)</f>
        <v>1396.4</v>
      </c>
      <c r="J131">
        <f>ROUND(Sheet1!J131*1000,1)</f>
        <v>685.9</v>
      </c>
      <c r="K131">
        <f>ROUND(Sheet1!K131*1000,1)</f>
        <v>275.8</v>
      </c>
      <c r="L131">
        <f>ROUND(Sheet1!L131*1000,1)</f>
        <v>188.2</v>
      </c>
    </row>
    <row r="132" spans="1:12" ht="16.5" x14ac:dyDescent="0.35">
      <c r="A132" t="s">
        <v>138</v>
      </c>
      <c r="B132" s="1" t="s">
        <v>150</v>
      </c>
      <c r="C132">
        <f>ROUND(Sheet1!C132*1000,1)</f>
        <v>584.9</v>
      </c>
      <c r="D132">
        <f>ROUND(Sheet1!D132*1000,1)</f>
        <v>467.4</v>
      </c>
      <c r="E132">
        <f>ROUND(Sheet1!E132*1000,1)</f>
        <v>179.5</v>
      </c>
      <c r="F132">
        <f>ROUND(Sheet1!F132*1000,1)</f>
        <v>171.4</v>
      </c>
      <c r="G132">
        <f>ROUND(Sheet1!G132*1000,1)</f>
        <v>580.4</v>
      </c>
      <c r="H132">
        <f>ROUND(Sheet1!H132*1000,1)</f>
        <v>506.5</v>
      </c>
      <c r="I132">
        <f>ROUND(Sheet1!I132*1000,1)</f>
        <v>299.39999999999998</v>
      </c>
      <c r="J132">
        <f>ROUND(Sheet1!J132*1000,1)</f>
        <v>270.3</v>
      </c>
      <c r="K132">
        <f>ROUND(Sheet1!K132*1000,1)</f>
        <v>196.2</v>
      </c>
      <c r="L132">
        <f>ROUND(Sheet1!L132*1000,1)</f>
        <v>178.3</v>
      </c>
    </row>
    <row r="133" spans="1:12" ht="16.5" x14ac:dyDescent="0.35">
      <c r="A133" t="s">
        <v>139</v>
      </c>
      <c r="B133" s="1" t="s">
        <v>150</v>
      </c>
      <c r="C133">
        <f>ROUND(Sheet1!C133*1000,1)</f>
        <v>387.4</v>
      </c>
      <c r="D133">
        <f>ROUND(Sheet1!D133*1000,1)</f>
        <v>298.2</v>
      </c>
      <c r="E133">
        <f>ROUND(Sheet1!E133*1000,1)</f>
        <v>52.1</v>
      </c>
      <c r="F133">
        <f>ROUND(Sheet1!F133*1000,1)</f>
        <v>43.9</v>
      </c>
      <c r="G133">
        <f>ROUND(Sheet1!G133*1000,1)</f>
        <v>81.8</v>
      </c>
      <c r="H133">
        <f>ROUND(Sheet1!H133*1000,1)</f>
        <v>82.3</v>
      </c>
      <c r="I133">
        <f>ROUND(Sheet1!I133*1000,1)</f>
        <v>244.2</v>
      </c>
      <c r="J133">
        <f>ROUND(Sheet1!J133*1000,1)</f>
        <v>224.1</v>
      </c>
      <c r="K133">
        <f>ROUND(Sheet1!K133*1000,1)</f>
        <v>105.4</v>
      </c>
      <c r="L133">
        <f>ROUND(Sheet1!L133*1000,1)</f>
        <v>97.4</v>
      </c>
    </row>
    <row r="134" spans="1:12" ht="16.5" x14ac:dyDescent="0.35">
      <c r="A134" t="s">
        <v>140</v>
      </c>
      <c r="B134" s="1" t="s">
        <v>150</v>
      </c>
      <c r="C134">
        <f>ROUND(Sheet1!C134*1000,1)</f>
        <v>2391.4</v>
      </c>
      <c r="D134">
        <f>ROUND(Sheet1!D134*1000,1)</f>
        <v>1145.3</v>
      </c>
      <c r="E134">
        <f>ROUND(Sheet1!E134*1000,1)</f>
        <v>318.10000000000002</v>
      </c>
      <c r="F134">
        <f>ROUND(Sheet1!F134*1000,1)</f>
        <v>261.5</v>
      </c>
      <c r="G134">
        <f>ROUND(Sheet1!G134*1000,1)</f>
        <v>1305.5999999999999</v>
      </c>
      <c r="H134">
        <f>ROUND(Sheet1!H134*1000,1)</f>
        <v>785.2</v>
      </c>
      <c r="I134">
        <f>ROUND(Sheet1!I134*1000,1)</f>
        <v>681.5</v>
      </c>
      <c r="J134">
        <f>ROUND(Sheet1!J134*1000,1)</f>
        <v>471</v>
      </c>
      <c r="K134">
        <f>ROUND(Sheet1!K134*1000,1)</f>
        <v>307.8</v>
      </c>
      <c r="L134">
        <f>ROUND(Sheet1!L134*1000,1)</f>
        <v>220.9</v>
      </c>
    </row>
    <row r="135" spans="1:12" ht="16.5" x14ac:dyDescent="0.35">
      <c r="A135" t="s">
        <v>141</v>
      </c>
      <c r="B135" s="1" t="s">
        <v>150</v>
      </c>
      <c r="C135" t="e">
        <f>ROUND(Sheet1!C135*1000,1)</f>
        <v>#VALUE!</v>
      </c>
      <c r="D135" t="e">
        <f>ROUND(Sheet1!D135*1000,1)</f>
        <v>#VALUE!</v>
      </c>
      <c r="E135">
        <f>ROUND(Sheet1!E135*1000,1)</f>
        <v>956.5</v>
      </c>
      <c r="F135">
        <f>ROUND(Sheet1!F135*1000,1)</f>
        <v>509.2</v>
      </c>
      <c r="G135">
        <f>ROUND(Sheet1!G135*1000,1)</f>
        <v>872.6</v>
      </c>
      <c r="H135">
        <f>ROUND(Sheet1!H135*1000,1)</f>
        <v>300.10000000000002</v>
      </c>
      <c r="I135">
        <f>ROUND(Sheet1!I135*1000,1)</f>
        <v>819.7</v>
      </c>
      <c r="J135">
        <f>ROUND(Sheet1!J135*1000,1)</f>
        <v>510.7</v>
      </c>
      <c r="K135">
        <f>ROUND(Sheet1!K135*1000,1)</f>
        <v>894.7</v>
      </c>
      <c r="L135">
        <f>ROUND(Sheet1!L135*1000,1)</f>
        <v>408.6</v>
      </c>
    </row>
    <row r="136" spans="1:12" ht="16.5" x14ac:dyDescent="0.35">
      <c r="A136" t="s">
        <v>142</v>
      </c>
      <c r="B136" s="1" t="s">
        <v>150</v>
      </c>
      <c r="C136">
        <f>ROUND(Sheet1!C136*1000,1)</f>
        <v>911.1</v>
      </c>
      <c r="D136">
        <f>ROUND(Sheet1!D136*1000,1)</f>
        <v>726.7</v>
      </c>
      <c r="E136">
        <f>ROUND(Sheet1!E136*1000,1)</f>
        <v>67.400000000000006</v>
      </c>
      <c r="F136">
        <f>ROUND(Sheet1!F136*1000,1)</f>
        <v>65.400000000000006</v>
      </c>
      <c r="G136">
        <f>ROUND(Sheet1!G136*1000,1)</f>
        <v>276.10000000000002</v>
      </c>
      <c r="H136">
        <f>ROUND(Sheet1!H136*1000,1)</f>
        <v>242.7</v>
      </c>
      <c r="I136">
        <f>ROUND(Sheet1!I136*1000,1)</f>
        <v>147.30000000000001</v>
      </c>
      <c r="J136">
        <f>ROUND(Sheet1!J136*1000,1)</f>
        <v>137.69999999999999</v>
      </c>
      <c r="K136">
        <f>ROUND(Sheet1!K136*1000,1)</f>
        <v>91.6</v>
      </c>
      <c r="L136">
        <f>ROUND(Sheet1!L136*1000,1)</f>
        <v>83.2</v>
      </c>
    </row>
    <row r="137" spans="1:12" ht="16.5" x14ac:dyDescent="0.35">
      <c r="A137" t="s">
        <v>143</v>
      </c>
      <c r="B137" s="1" t="s">
        <v>150</v>
      </c>
      <c r="C137">
        <f>ROUND(Sheet1!C137*1000,1)</f>
        <v>330.2</v>
      </c>
      <c r="D137">
        <f>ROUND(Sheet1!D137*1000,1)</f>
        <v>209.7</v>
      </c>
      <c r="E137">
        <f>ROUND(Sheet1!E137*1000,1)</f>
        <v>612.70000000000005</v>
      </c>
      <c r="F137">
        <f>ROUND(Sheet1!F137*1000,1)</f>
        <v>219.6</v>
      </c>
      <c r="G137">
        <f>ROUND(Sheet1!G137*1000,1)</f>
        <v>422.3</v>
      </c>
      <c r="H137">
        <f>ROUND(Sheet1!H137*1000,1)</f>
        <v>36.1</v>
      </c>
      <c r="I137">
        <f>ROUND(Sheet1!I137*1000,1)</f>
        <v>208.1</v>
      </c>
      <c r="J137">
        <f>ROUND(Sheet1!J137*1000,1)</f>
        <v>187.1</v>
      </c>
      <c r="K137">
        <f>ROUND(Sheet1!K137*1000,1)</f>
        <v>123</v>
      </c>
      <c r="L137">
        <f>ROUND(Sheet1!L137*1000,1)</f>
        <v>95.2</v>
      </c>
    </row>
    <row r="138" spans="1:12" ht="16.5" x14ac:dyDescent="0.35">
      <c r="A138" t="s">
        <v>144</v>
      </c>
      <c r="B138" s="1" t="s">
        <v>150</v>
      </c>
      <c r="C138">
        <f>ROUND(Sheet1!C138*1000,1)</f>
        <v>88.9</v>
      </c>
      <c r="D138">
        <f>ROUND(Sheet1!D138*1000,1)</f>
        <v>59.6</v>
      </c>
      <c r="E138">
        <f>ROUND(Sheet1!E138*1000,1)</f>
        <v>58.5</v>
      </c>
      <c r="F138">
        <f>ROUND(Sheet1!F138*1000,1)</f>
        <v>51.8</v>
      </c>
      <c r="G138">
        <f>ROUND(Sheet1!G138*1000,1)</f>
        <v>31.8</v>
      </c>
      <c r="H138">
        <f>ROUND(Sheet1!H138*1000,1)</f>
        <v>23.4</v>
      </c>
      <c r="I138">
        <f>ROUND(Sheet1!I138*1000,1)</f>
        <v>44.3</v>
      </c>
      <c r="J138">
        <f>ROUND(Sheet1!J138*1000,1)</f>
        <v>29.5</v>
      </c>
      <c r="K138">
        <f>ROUND(Sheet1!K138*1000,1)</f>
        <v>82.3</v>
      </c>
      <c r="L138">
        <f>ROUND(Sheet1!L138*1000,1)</f>
        <v>61.5</v>
      </c>
    </row>
    <row r="139" spans="1:12" ht="16.5" x14ac:dyDescent="0.35">
      <c r="A139" t="s">
        <v>145</v>
      </c>
      <c r="B139" s="1" t="s">
        <v>150</v>
      </c>
      <c r="C139">
        <f>ROUND(Sheet1!C139*1000,1)</f>
        <v>82.3</v>
      </c>
      <c r="D139">
        <f>ROUND(Sheet1!D139*1000,1)</f>
        <v>56.8</v>
      </c>
      <c r="E139">
        <f>ROUND(Sheet1!E139*1000,1)</f>
        <v>298.7</v>
      </c>
      <c r="F139">
        <f>ROUND(Sheet1!F139*1000,1)</f>
        <v>127.1</v>
      </c>
      <c r="G139">
        <f>ROUND(Sheet1!G139*1000,1)</f>
        <v>38.4</v>
      </c>
      <c r="H139">
        <f>ROUND(Sheet1!H139*1000,1)</f>
        <v>20.100000000000001</v>
      </c>
      <c r="I139">
        <f>ROUND(Sheet1!I139*1000,1)</f>
        <v>44.6</v>
      </c>
      <c r="J139">
        <f>ROUND(Sheet1!J139*1000,1)</f>
        <v>30</v>
      </c>
      <c r="K139">
        <f>ROUND(Sheet1!K139*1000,1)</f>
        <v>98.9</v>
      </c>
      <c r="L139">
        <f>ROUND(Sheet1!L139*1000,1)</f>
        <v>66.5</v>
      </c>
    </row>
    <row r="140" spans="1:12" ht="16.5" x14ac:dyDescent="0.35">
      <c r="A140" t="s">
        <v>146</v>
      </c>
      <c r="B140" s="1" t="s">
        <v>150</v>
      </c>
      <c r="C140">
        <f>ROUND(Sheet1!C140*1000,1)</f>
        <v>347.1</v>
      </c>
      <c r="D140">
        <f>ROUND(Sheet1!D140*1000,1)</f>
        <v>275.7</v>
      </c>
      <c r="E140">
        <f>ROUND(Sheet1!E140*1000,1)</f>
        <v>73.400000000000006</v>
      </c>
      <c r="F140">
        <f>ROUND(Sheet1!F140*1000,1)</f>
        <v>76.599999999999994</v>
      </c>
      <c r="G140">
        <f>ROUND(Sheet1!G140*1000,1)</f>
        <v>4.2</v>
      </c>
      <c r="H140">
        <f>ROUND(Sheet1!H140*1000,1)</f>
        <v>2.6</v>
      </c>
      <c r="I140">
        <f>ROUND(Sheet1!I140*1000,1)</f>
        <v>120.6</v>
      </c>
      <c r="J140">
        <f>ROUND(Sheet1!J140*1000,1)</f>
        <v>104.5</v>
      </c>
      <c r="K140">
        <f>ROUND(Sheet1!K140*1000,1)</f>
        <v>1.9</v>
      </c>
      <c r="L140">
        <f>ROUND(Sheet1!L140*1000,1)</f>
        <v>1.3</v>
      </c>
    </row>
    <row r="141" spans="1:12" ht="16.5" x14ac:dyDescent="0.35">
      <c r="A141" t="s">
        <v>147</v>
      </c>
      <c r="B141" s="1" t="s">
        <v>150</v>
      </c>
      <c r="C141">
        <f>ROUND(Sheet1!C141*1000,1)</f>
        <v>596</v>
      </c>
      <c r="D141">
        <f>ROUND(Sheet1!D141*1000,1)</f>
        <v>186.2</v>
      </c>
      <c r="E141">
        <f>ROUND(Sheet1!E141*1000,1)</f>
        <v>673</v>
      </c>
      <c r="F141">
        <f>ROUND(Sheet1!F141*1000,1)</f>
        <v>182.5</v>
      </c>
      <c r="G141">
        <f>ROUND(Sheet1!G141*1000,1)</f>
        <v>12.4</v>
      </c>
      <c r="H141">
        <f>ROUND(Sheet1!H141*1000,1)</f>
        <v>4</v>
      </c>
      <c r="I141">
        <f>ROUND(Sheet1!I141*1000,1)</f>
        <v>800.3</v>
      </c>
      <c r="J141">
        <f>ROUND(Sheet1!J141*1000,1)</f>
        <v>181.8</v>
      </c>
      <c r="K141">
        <f>ROUND(Sheet1!K141*1000,1)</f>
        <v>2.1</v>
      </c>
      <c r="L141">
        <f>ROUND(Sheet1!L141*1000,1)</f>
        <v>1.3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12EBD-E4AF-4CC6-910A-3D58F4CEA45B}">
  <sheetPr codeName="Sheet3"/>
  <dimension ref="A1:G141"/>
  <sheetViews>
    <sheetView tabSelected="1" workbookViewId="0">
      <selection sqref="A1:G141"/>
    </sheetView>
  </sheetViews>
  <sheetFormatPr defaultRowHeight="14.5" x14ac:dyDescent="0.35"/>
  <cols>
    <col min="1" max="2" width="19.90625" customWidth="1"/>
    <col min="3" max="7" width="15.453125" customWidth="1"/>
  </cols>
  <sheetData>
    <row r="1" spans="1:7" x14ac:dyDescent="0.35">
      <c r="A1" s="4" t="s">
        <v>8</v>
      </c>
      <c r="B1" s="4" t="s">
        <v>148</v>
      </c>
      <c r="C1" s="4" t="s">
        <v>2</v>
      </c>
      <c r="D1" s="4" t="s">
        <v>4</v>
      </c>
      <c r="E1" s="4" t="s">
        <v>5</v>
      </c>
      <c r="F1" s="4" t="s">
        <v>6</v>
      </c>
      <c r="G1" s="4" t="s">
        <v>7</v>
      </c>
    </row>
    <row r="2" spans="1:7" ht="16.5" x14ac:dyDescent="0.35">
      <c r="A2" t="s">
        <v>0</v>
      </c>
      <c r="B2" s="1" t="s">
        <v>150</v>
      </c>
      <c r="C2" s="3" t="str">
        <f>'Sheet1 (2)'!C2&amp;"±"&amp;'Sheet1 (2)'!D2</f>
        <v>3077.9±639</v>
      </c>
      <c r="D2" s="3" t="str">
        <f>'Sheet1 (2)'!E2&amp;"±"&amp;'Sheet1 (2)'!F2</f>
        <v>3129.6±364.9</v>
      </c>
      <c r="E2" s="3" t="str">
        <f>'Sheet1 (2)'!G2&amp;"±"&amp;'Sheet1 (2)'!H2</f>
        <v>1376.5±423.9</v>
      </c>
      <c r="F2" s="3" t="str">
        <f>'Sheet1 (2)'!I2&amp;"±"&amp;'Sheet1 (2)'!J2</f>
        <v>2276.5±440.5</v>
      </c>
      <c r="G2" s="3" t="str">
        <f>'Sheet1 (2)'!K2&amp;"±"&amp;'Sheet1 (2)'!L2</f>
        <v>823.3±258.5</v>
      </c>
    </row>
    <row r="3" spans="1:7" ht="16.5" x14ac:dyDescent="0.35">
      <c r="A3" t="s">
        <v>9</v>
      </c>
      <c r="B3" s="1" t="s">
        <v>150</v>
      </c>
      <c r="C3" s="3" t="str">
        <f>'Sheet1 (2)'!C3&amp;"±"&amp;'Sheet1 (2)'!D3</f>
        <v>4378.1±2473.6</v>
      </c>
      <c r="D3" s="3" t="str">
        <f>'Sheet1 (2)'!E3&amp;"±"&amp;'Sheet1 (2)'!F3</f>
        <v>2398.9±1496.2</v>
      </c>
      <c r="E3" s="3" t="str">
        <f>'Sheet1 (2)'!G3&amp;"±"&amp;'Sheet1 (2)'!H3</f>
        <v>1463.6±991.1</v>
      </c>
      <c r="F3" s="3" t="str">
        <f>'Sheet1 (2)'!I3&amp;"±"&amp;'Sheet1 (2)'!J3</f>
        <v>3182.6±1866.5</v>
      </c>
      <c r="G3" s="3" t="str">
        <f>'Sheet1 (2)'!K3&amp;"±"&amp;'Sheet1 (2)'!L3</f>
        <v>2322.1±1105.9</v>
      </c>
    </row>
    <row r="4" spans="1:7" ht="16.5" x14ac:dyDescent="0.35">
      <c r="A4" t="s">
        <v>10</v>
      </c>
      <c r="B4" s="1" t="s">
        <v>150</v>
      </c>
      <c r="C4" s="3" t="str">
        <f>'Sheet1 (2)'!C4&amp;"±"&amp;'Sheet1 (2)'!D4</f>
        <v>1871.9±1159.9</v>
      </c>
      <c r="D4" s="3" t="str">
        <f>'Sheet1 (2)'!E4&amp;"±"&amp;'Sheet1 (2)'!F4</f>
        <v>2155.1±1403.2</v>
      </c>
      <c r="E4" s="3" t="str">
        <f>'Sheet1 (2)'!G4&amp;"±"&amp;'Sheet1 (2)'!H4</f>
        <v>7250.2±1213.9</v>
      </c>
      <c r="F4" s="3" t="str">
        <f>'Sheet1 (2)'!I4&amp;"±"&amp;'Sheet1 (2)'!J4</f>
        <v>1271.4±750.6</v>
      </c>
      <c r="G4" s="3" t="str">
        <f>'Sheet1 (2)'!K4&amp;"±"&amp;'Sheet1 (2)'!L4</f>
        <v>1470.5±1007.9</v>
      </c>
    </row>
    <row r="5" spans="1:7" ht="16.5" x14ac:dyDescent="0.35">
      <c r="A5" t="s">
        <v>11</v>
      </c>
      <c r="B5" s="1" t="s">
        <v>150</v>
      </c>
      <c r="C5" s="3" t="str">
        <f>'Sheet1 (2)'!C5&amp;"±"&amp;'Sheet1 (2)'!D5</f>
        <v>3150.5±2045.5</v>
      </c>
      <c r="D5" s="3" t="str">
        <f>'Sheet1 (2)'!E5&amp;"±"&amp;'Sheet1 (2)'!F5</f>
        <v>638.1±411.3</v>
      </c>
      <c r="E5" s="3" t="str">
        <f>'Sheet1 (2)'!G5&amp;"±"&amp;'Sheet1 (2)'!H5</f>
        <v>333.3±249.9</v>
      </c>
      <c r="F5" s="3" t="str">
        <f>'Sheet1 (2)'!I5&amp;"±"&amp;'Sheet1 (2)'!J5</f>
        <v>282.5±172.3</v>
      </c>
      <c r="G5" s="3" t="str">
        <f>'Sheet1 (2)'!K5&amp;"±"&amp;'Sheet1 (2)'!L5</f>
        <v>313.1±208.5</v>
      </c>
    </row>
    <row r="6" spans="1:7" ht="16.5" x14ac:dyDescent="0.35">
      <c r="A6" t="s">
        <v>12</v>
      </c>
      <c r="B6" s="1" t="s">
        <v>150</v>
      </c>
      <c r="C6" s="3" t="str">
        <f>'Sheet1 (2)'!C6&amp;"±"&amp;'Sheet1 (2)'!D6</f>
        <v>1817.2±1148.4</v>
      </c>
      <c r="D6" s="3" t="str">
        <f>'Sheet1 (2)'!E6&amp;"±"&amp;'Sheet1 (2)'!F6</f>
        <v>1110.2±738.3</v>
      </c>
      <c r="E6" s="3" t="str">
        <f>'Sheet1 (2)'!G6&amp;"±"&amp;'Sheet1 (2)'!H6</f>
        <v>343.4±258.6</v>
      </c>
      <c r="F6" s="3" t="str">
        <f>'Sheet1 (2)'!I6&amp;"±"&amp;'Sheet1 (2)'!J6</f>
        <v>2907.2±1805.9</v>
      </c>
      <c r="G6" s="3" t="str">
        <f>'Sheet1 (2)'!K6&amp;"±"&amp;'Sheet1 (2)'!L6</f>
        <v>536.4±375.8</v>
      </c>
    </row>
    <row r="7" spans="1:7" ht="16.5" x14ac:dyDescent="0.35">
      <c r="A7" t="s">
        <v>13</v>
      </c>
      <c r="B7" s="1" t="s">
        <v>150</v>
      </c>
      <c r="C7" s="3" t="str">
        <f>'Sheet1 (2)'!C7&amp;"±"&amp;'Sheet1 (2)'!D7</f>
        <v>2099.5±1180.5</v>
      </c>
      <c r="D7" s="3" t="str">
        <f>'Sheet1 (2)'!E7&amp;"±"&amp;'Sheet1 (2)'!F7</f>
        <v>3445.6±1448.3</v>
      </c>
      <c r="E7" s="3" t="str">
        <f>'Sheet1 (2)'!G7&amp;"±"&amp;'Sheet1 (2)'!H7</f>
        <v>1923.5±1140.4</v>
      </c>
      <c r="F7" s="3" t="str">
        <f>'Sheet1 (2)'!I7&amp;"±"&amp;'Sheet1 (2)'!J7</f>
        <v>1339.3±751.7</v>
      </c>
      <c r="G7" s="3" t="str">
        <f>'Sheet1 (2)'!K7&amp;"±"&amp;'Sheet1 (2)'!L7</f>
        <v>2231.5±1084.9</v>
      </c>
    </row>
    <row r="8" spans="1:7" ht="16.5" x14ac:dyDescent="0.35">
      <c r="A8" t="s">
        <v>14</v>
      </c>
      <c r="B8" s="1" t="s">
        <v>150</v>
      </c>
      <c r="C8" s="3" t="str">
        <f>'Sheet1 (2)'!C8&amp;"±"&amp;'Sheet1 (2)'!D8</f>
        <v>3542.7±2029.2</v>
      </c>
      <c r="D8" s="3" t="str">
        <f>'Sheet1 (2)'!E8&amp;"±"&amp;'Sheet1 (2)'!F8</f>
        <v>721.1±428.7</v>
      </c>
      <c r="E8" s="3" t="str">
        <f>'Sheet1 (2)'!G8&amp;"±"&amp;'Sheet1 (2)'!H8</f>
        <v>549.5±265.5</v>
      </c>
      <c r="F8" s="3" t="str">
        <f>'Sheet1 (2)'!I8&amp;"±"&amp;'Sheet1 (2)'!J8</f>
        <v>280.1±171.9</v>
      </c>
      <c r="G8" s="3" t="str">
        <f>'Sheet1 (2)'!K8&amp;"±"&amp;'Sheet1 (2)'!L8</f>
        <v>355.6±214.4</v>
      </c>
    </row>
    <row r="9" spans="1:7" ht="16.5" x14ac:dyDescent="0.35">
      <c r="A9" t="s">
        <v>15</v>
      </c>
      <c r="B9" s="1" t="s">
        <v>150</v>
      </c>
      <c r="C9" s="3" t="str">
        <f>'Sheet1 (2)'!C9&amp;"±"&amp;'Sheet1 (2)'!D9</f>
        <v>1813.9±1136</v>
      </c>
      <c r="D9" s="3" t="str">
        <f>'Sheet1 (2)'!E9&amp;"±"&amp;'Sheet1 (2)'!F9</f>
        <v>1361.7±758.1</v>
      </c>
      <c r="E9" s="3" t="str">
        <f>'Sheet1 (2)'!G9&amp;"±"&amp;'Sheet1 (2)'!H9</f>
        <v>367.1±241.9</v>
      </c>
      <c r="F9" s="3" t="str">
        <f>'Sheet1 (2)'!I9&amp;"±"&amp;'Sheet1 (2)'!J9</f>
        <v>3839.7±1823.9</v>
      </c>
      <c r="G9" s="3" t="str">
        <f>'Sheet1 (2)'!K9&amp;"±"&amp;'Sheet1 (2)'!L9</f>
        <v>558.4±390.6</v>
      </c>
    </row>
    <row r="10" spans="1:7" ht="16.5" x14ac:dyDescent="0.35">
      <c r="A10" t="s">
        <v>16</v>
      </c>
      <c r="B10" s="1" t="s">
        <v>150</v>
      </c>
      <c r="C10" s="3" t="str">
        <f>'Sheet1 (2)'!C10&amp;"±"&amp;'Sheet1 (2)'!D10</f>
        <v>332.8±222.5</v>
      </c>
      <c r="D10" s="3" t="str">
        <f>'Sheet1 (2)'!E10&amp;"±"&amp;'Sheet1 (2)'!F10</f>
        <v>360.7±230.3</v>
      </c>
      <c r="E10" s="3" t="str">
        <f>'Sheet1 (2)'!G10&amp;"±"&amp;'Sheet1 (2)'!H10</f>
        <v>192.3±153.8</v>
      </c>
      <c r="F10" s="3" t="str">
        <f>'Sheet1 (2)'!I10&amp;"±"&amp;'Sheet1 (2)'!J10</f>
        <v>281.9±216</v>
      </c>
      <c r="G10" s="3" t="str">
        <f>'Sheet1 (2)'!K10&amp;"±"&amp;'Sheet1 (2)'!L10</f>
        <v>190.1±133</v>
      </c>
    </row>
    <row r="11" spans="1:7" ht="16.5" x14ac:dyDescent="0.35">
      <c r="A11" t="s">
        <v>17</v>
      </c>
      <c r="B11" s="1" t="s">
        <v>150</v>
      </c>
      <c r="C11" s="3" t="str">
        <f>'Sheet1 (2)'!C11&amp;"±"&amp;'Sheet1 (2)'!D11</f>
        <v>372.5±231.9</v>
      </c>
      <c r="D11" s="3" t="str">
        <f>'Sheet1 (2)'!E11&amp;"±"&amp;'Sheet1 (2)'!F11</f>
        <v>387.4±239.7</v>
      </c>
      <c r="E11" s="3" t="str">
        <f>'Sheet1 (2)'!G11&amp;"±"&amp;'Sheet1 (2)'!H11</f>
        <v>598.3±226.8</v>
      </c>
      <c r="F11" s="3" t="str">
        <f>'Sheet1 (2)'!I11&amp;"±"&amp;'Sheet1 (2)'!J11</f>
        <v>475.5±268.4</v>
      </c>
      <c r="G11" s="3" t="str">
        <f>'Sheet1 (2)'!K11&amp;"±"&amp;'Sheet1 (2)'!L11</f>
        <v>217.4±142.8</v>
      </c>
    </row>
    <row r="12" spans="1:7" ht="16.5" x14ac:dyDescent="0.35">
      <c r="A12" t="s">
        <v>18</v>
      </c>
      <c r="B12" s="1" t="s">
        <v>150</v>
      </c>
      <c r="C12" s="3" t="str">
        <f>'Sheet1 (2)'!C12&amp;"±"&amp;'Sheet1 (2)'!D12</f>
        <v>177.4±150.9</v>
      </c>
      <c r="D12" s="3" t="str">
        <f>'Sheet1 (2)'!E12&amp;"±"&amp;'Sheet1 (2)'!F12</f>
        <v>85±74.4</v>
      </c>
      <c r="E12" s="3" t="str">
        <f>'Sheet1 (2)'!G12&amp;"±"&amp;'Sheet1 (2)'!H12</f>
        <v>119.3±25.1</v>
      </c>
      <c r="F12" s="3" t="str">
        <f>'Sheet1 (2)'!I12&amp;"±"&amp;'Sheet1 (2)'!J12</f>
        <v>224.7±190.1</v>
      </c>
      <c r="G12" s="3" t="str">
        <f>'Sheet1 (2)'!K12&amp;"±"&amp;'Sheet1 (2)'!L12</f>
        <v>129.8±107.5</v>
      </c>
    </row>
    <row r="13" spans="1:7" ht="16.5" x14ac:dyDescent="0.35">
      <c r="A13" t="s">
        <v>19</v>
      </c>
      <c r="B13" s="1" t="s">
        <v>150</v>
      </c>
      <c r="C13" s="3" t="str">
        <f>'Sheet1 (2)'!C13&amp;"±"&amp;'Sheet1 (2)'!D13</f>
        <v>6732.9±1466.4</v>
      </c>
      <c r="D13" s="3" t="str">
        <f>'Sheet1 (2)'!E13&amp;"±"&amp;'Sheet1 (2)'!F13</f>
        <v>3415.5±713.2</v>
      </c>
      <c r="E13" s="3" t="str">
        <f>'Sheet1 (2)'!G13&amp;"±"&amp;'Sheet1 (2)'!H13</f>
        <v>3940.4±634.7</v>
      </c>
      <c r="F13" s="3" t="str">
        <f>'Sheet1 (2)'!I13&amp;"±"&amp;'Sheet1 (2)'!J13</f>
        <v>3684.6±681.6</v>
      </c>
      <c r="G13" s="3" t="str">
        <f>'Sheet1 (2)'!K13&amp;"±"&amp;'Sheet1 (2)'!L13</f>
        <v>2414.1±516.5</v>
      </c>
    </row>
    <row r="14" spans="1:7" ht="16.5" x14ac:dyDescent="0.35">
      <c r="A14" t="s">
        <v>20</v>
      </c>
      <c r="B14" s="1" t="s">
        <v>150</v>
      </c>
      <c r="C14" s="3" t="str">
        <f>'Sheet1 (2)'!C14&amp;"±"&amp;'Sheet1 (2)'!D14</f>
        <v>1637.4±425.5</v>
      </c>
      <c r="D14" s="3" t="str">
        <f>'Sheet1 (2)'!E14&amp;"±"&amp;'Sheet1 (2)'!F14</f>
        <v>2213.1±470.6</v>
      </c>
      <c r="E14" s="3" t="str">
        <f>'Sheet1 (2)'!G14&amp;"±"&amp;'Sheet1 (2)'!H14</f>
        <v>6054±951.3</v>
      </c>
      <c r="F14" s="3" t="str">
        <f>'Sheet1 (2)'!I14&amp;"±"&amp;'Sheet1 (2)'!J14</f>
        <v>1314.4±412</v>
      </c>
      <c r="G14" s="3" t="str">
        <f>'Sheet1 (2)'!K14&amp;"±"&amp;'Sheet1 (2)'!L14</f>
        <v>1772±376.6</v>
      </c>
    </row>
    <row r="15" spans="1:7" ht="16.5" x14ac:dyDescent="0.35">
      <c r="A15" t="s">
        <v>21</v>
      </c>
      <c r="B15" s="1" t="s">
        <v>150</v>
      </c>
      <c r="C15" s="3" t="str">
        <f>'Sheet1 (2)'!C15&amp;"±"&amp;'Sheet1 (2)'!D15</f>
        <v>221±198.1</v>
      </c>
      <c r="D15" s="3" t="str">
        <f>'Sheet1 (2)'!E15&amp;"±"&amp;'Sheet1 (2)'!F15</f>
        <v>104.4±82.7</v>
      </c>
      <c r="E15" s="3" t="str">
        <f>'Sheet1 (2)'!G15&amp;"±"&amp;'Sheet1 (2)'!H15</f>
        <v>51.1±35.1</v>
      </c>
      <c r="F15" s="3" t="str">
        <f>'Sheet1 (2)'!I15&amp;"±"&amp;'Sheet1 (2)'!J15</f>
        <v>291.9±256.1</v>
      </c>
      <c r="G15" s="3" t="str">
        <f>'Sheet1 (2)'!K15&amp;"±"&amp;'Sheet1 (2)'!L15</f>
        <v>215.4±187.4</v>
      </c>
    </row>
    <row r="16" spans="1:7" ht="16.5" x14ac:dyDescent="0.35">
      <c r="A16" t="s">
        <v>22</v>
      </c>
      <c r="B16" s="1" t="s">
        <v>150</v>
      </c>
      <c r="C16" s="3" t="str">
        <f>'Sheet1 (2)'!C16&amp;"±"&amp;'Sheet1 (2)'!D16</f>
        <v>473.3±354.2</v>
      </c>
      <c r="D16" s="3" t="str">
        <f>'Sheet1 (2)'!E16&amp;"±"&amp;'Sheet1 (2)'!F16</f>
        <v>853.2±491</v>
      </c>
      <c r="E16" s="3" t="str">
        <f>'Sheet1 (2)'!G16&amp;"±"&amp;'Sheet1 (2)'!H16</f>
        <v>239.7±186.5</v>
      </c>
      <c r="F16" s="3" t="str">
        <f>'Sheet1 (2)'!I16&amp;"±"&amp;'Sheet1 (2)'!J16</f>
        <v>393.4±304.8</v>
      </c>
      <c r="G16" s="3" t="str">
        <f>'Sheet1 (2)'!K16&amp;"±"&amp;'Sheet1 (2)'!L16</f>
        <v>376.7±265</v>
      </c>
    </row>
    <row r="17" spans="1:7" ht="16.5" x14ac:dyDescent="0.35">
      <c r="A17" t="s">
        <v>23</v>
      </c>
      <c r="B17" s="1" t="s">
        <v>150</v>
      </c>
      <c r="C17" s="3" t="str">
        <f>'Sheet1 (2)'!C17&amp;"±"&amp;'Sheet1 (2)'!D17</f>
        <v>69.3±33.8</v>
      </c>
      <c r="D17" s="3" t="str">
        <f>'Sheet1 (2)'!E17&amp;"±"&amp;'Sheet1 (2)'!F17</f>
        <v>206.6±124.5</v>
      </c>
      <c r="E17" s="3" t="str">
        <f>'Sheet1 (2)'!G17&amp;"±"&amp;'Sheet1 (2)'!H17</f>
        <v>3.8±2.2</v>
      </c>
      <c r="F17" s="3" t="str">
        <f>'Sheet1 (2)'!I17&amp;"±"&amp;'Sheet1 (2)'!J17</f>
        <v>71.6±35.9</v>
      </c>
      <c r="G17" s="3" t="str">
        <f>'Sheet1 (2)'!K17&amp;"±"&amp;'Sheet1 (2)'!L17</f>
        <v>0.5±0.3</v>
      </c>
    </row>
    <row r="18" spans="1:7" ht="16.5" x14ac:dyDescent="0.35">
      <c r="A18" t="s">
        <v>24</v>
      </c>
      <c r="B18" s="1" t="s">
        <v>150</v>
      </c>
      <c r="C18" s="3" t="str">
        <f>'Sheet1 (2)'!C18&amp;"±"&amp;'Sheet1 (2)'!D18</f>
        <v>809.2±417.4</v>
      </c>
      <c r="D18" s="3" t="str">
        <f>'Sheet1 (2)'!E18&amp;"±"&amp;'Sheet1 (2)'!F18</f>
        <v>1412.3±601</v>
      </c>
      <c r="E18" s="3" t="str">
        <f>'Sheet1 (2)'!G18&amp;"±"&amp;'Sheet1 (2)'!H18</f>
        <v>843.8±617.9</v>
      </c>
      <c r="F18" s="3" t="str">
        <f>'Sheet1 (2)'!I18&amp;"±"&amp;'Sheet1 (2)'!J18</f>
        <v>244.9±172</v>
      </c>
      <c r="G18" s="3" t="str">
        <f>'Sheet1 (2)'!K18&amp;"±"&amp;'Sheet1 (2)'!L18</f>
        <v>914.1±433.5</v>
      </c>
    </row>
    <row r="19" spans="1:7" ht="16.5" x14ac:dyDescent="0.35">
      <c r="A19" t="s">
        <v>25</v>
      </c>
      <c r="B19" s="1" t="s">
        <v>150</v>
      </c>
      <c r="C19" s="3" t="str">
        <f>'Sheet1 (2)'!C19&amp;"±"&amp;'Sheet1 (2)'!D19</f>
        <v>761.2±477.9</v>
      </c>
      <c r="D19" s="3" t="str">
        <f>'Sheet1 (2)'!E19&amp;"±"&amp;'Sheet1 (2)'!F19</f>
        <v>811.1±356.1</v>
      </c>
      <c r="E19" s="3" t="str">
        <f>'Sheet1 (2)'!G19&amp;"±"&amp;'Sheet1 (2)'!H19</f>
        <v>1981.4±928.8</v>
      </c>
      <c r="F19" s="3" t="str">
        <f>'Sheet1 (2)'!I19&amp;"±"&amp;'Sheet1 (2)'!J19</f>
        <v>294.5±253.4</v>
      </c>
      <c r="G19" s="3" t="str">
        <f>'Sheet1 (2)'!K19&amp;"±"&amp;'Sheet1 (2)'!L19</f>
        <v>423.3±285.7</v>
      </c>
    </row>
    <row r="20" spans="1:7" ht="16.5" x14ac:dyDescent="0.35">
      <c r="A20" t="s">
        <v>26</v>
      </c>
      <c r="B20" s="1" t="s">
        <v>150</v>
      </c>
      <c r="C20" s="3" t="str">
        <f>'Sheet1 (2)'!C20&amp;"±"&amp;'Sheet1 (2)'!D20</f>
        <v>900.2±462</v>
      </c>
      <c r="D20" s="3" t="str">
        <f>'Sheet1 (2)'!E20&amp;"±"&amp;'Sheet1 (2)'!F20</f>
        <v>68.4±32.4</v>
      </c>
      <c r="E20" s="3" t="str">
        <f>'Sheet1 (2)'!G20&amp;"±"&amp;'Sheet1 (2)'!H20</f>
        <v>132.8±108.7</v>
      </c>
      <c r="F20" s="3" t="str">
        <f>'Sheet1 (2)'!I20&amp;"±"&amp;'Sheet1 (2)'!J20</f>
        <v>133.1±81.1</v>
      </c>
      <c r="G20" s="3" t="str">
        <f>'Sheet1 (2)'!K20&amp;"±"&amp;'Sheet1 (2)'!L20</f>
        <v>94.9±71.7</v>
      </c>
    </row>
    <row r="21" spans="1:7" ht="16.5" x14ac:dyDescent="0.35">
      <c r="A21" t="s">
        <v>27</v>
      </c>
      <c r="B21" s="1" t="s">
        <v>150</v>
      </c>
      <c r="C21" s="3" t="str">
        <f>'Sheet1 (2)'!C21&amp;"±"&amp;'Sheet1 (2)'!D21</f>
        <v>532±303.2</v>
      </c>
      <c r="D21" s="3" t="str">
        <f>'Sheet1 (2)'!E21&amp;"±"&amp;'Sheet1 (2)'!F21</f>
        <v>150.7±133.4</v>
      </c>
      <c r="E21" s="3" t="str">
        <f>'Sheet1 (2)'!G21&amp;"±"&amp;'Sheet1 (2)'!H21</f>
        <v>67.1±57.5</v>
      </c>
      <c r="F21" s="3" t="str">
        <f>'Sheet1 (2)'!I21&amp;"±"&amp;'Sheet1 (2)'!J21</f>
        <v>96.4±76.9</v>
      </c>
      <c r="G21" s="3" t="str">
        <f>'Sheet1 (2)'!K21&amp;"±"&amp;'Sheet1 (2)'!L21</f>
        <v>96.1±82.1</v>
      </c>
    </row>
    <row r="22" spans="1:7" ht="16.5" x14ac:dyDescent="0.35">
      <c r="A22" t="s">
        <v>28</v>
      </c>
      <c r="B22" s="1" t="s">
        <v>150</v>
      </c>
      <c r="C22" s="6" t="s">
        <v>1</v>
      </c>
      <c r="D22" s="3" t="str">
        <f>'Sheet1 (2)'!E22&amp;"±"&amp;'Sheet1 (2)'!F22</f>
        <v>149.1±130.3</v>
      </c>
      <c r="E22" s="3" t="str">
        <f>'Sheet1 (2)'!G22&amp;"±"&amp;'Sheet1 (2)'!H22</f>
        <v>53.9±42.6</v>
      </c>
      <c r="F22" s="3" t="str">
        <f>'Sheet1 (2)'!I22&amp;"±"&amp;'Sheet1 (2)'!J22</f>
        <v>61.4±52.1</v>
      </c>
      <c r="G22" s="3" t="str">
        <f>'Sheet1 (2)'!K22&amp;"±"&amp;'Sheet1 (2)'!L22</f>
        <v>89.6±75.7</v>
      </c>
    </row>
    <row r="23" spans="1:7" ht="16.5" x14ac:dyDescent="0.35">
      <c r="A23" t="s">
        <v>29</v>
      </c>
      <c r="B23" s="1" t="s">
        <v>150</v>
      </c>
      <c r="C23" s="3" t="str">
        <f>'Sheet1 (2)'!C23&amp;"±"&amp;'Sheet1 (2)'!D23</f>
        <v>19.4±15.5</v>
      </c>
      <c r="D23" s="3" t="str">
        <f>'Sheet1 (2)'!E23&amp;"±"&amp;'Sheet1 (2)'!F23</f>
        <v>41.5±35.4</v>
      </c>
      <c r="E23" s="3" t="str">
        <f>'Sheet1 (2)'!G23&amp;"±"&amp;'Sheet1 (2)'!H23</f>
        <v>8.9±6.9</v>
      </c>
      <c r="F23" s="3" t="str">
        <f>'Sheet1 (2)'!I23&amp;"±"&amp;'Sheet1 (2)'!J23</f>
        <v>10.7±8.2</v>
      </c>
      <c r="G23" s="3" t="str">
        <f>'Sheet1 (2)'!K23&amp;"±"&amp;'Sheet1 (2)'!L23</f>
        <v>20.3±16.2</v>
      </c>
    </row>
    <row r="24" spans="1:7" ht="16.5" x14ac:dyDescent="0.35">
      <c r="A24" t="s">
        <v>30</v>
      </c>
      <c r="B24" s="1" t="s">
        <v>150</v>
      </c>
      <c r="C24" s="3" t="str">
        <f>'Sheet1 (2)'!C24&amp;"±"&amp;'Sheet1 (2)'!D24</f>
        <v>10.2±8.1</v>
      </c>
      <c r="D24" s="3" t="str">
        <f>'Sheet1 (2)'!E24&amp;"±"&amp;'Sheet1 (2)'!F24</f>
        <v>32.5±27</v>
      </c>
      <c r="E24" s="3" t="str">
        <f>'Sheet1 (2)'!G24&amp;"±"&amp;'Sheet1 (2)'!H24</f>
        <v>5±4</v>
      </c>
      <c r="F24" s="3" t="str">
        <f>'Sheet1 (2)'!I24&amp;"±"&amp;'Sheet1 (2)'!J24</f>
        <v>6±5</v>
      </c>
      <c r="G24" s="3" t="str">
        <f>'Sheet1 (2)'!K24&amp;"±"&amp;'Sheet1 (2)'!L24</f>
        <v>0.9±0.7</v>
      </c>
    </row>
    <row r="25" spans="1:7" ht="16.5" x14ac:dyDescent="0.35">
      <c r="A25" t="s">
        <v>31</v>
      </c>
      <c r="B25" s="1" t="s">
        <v>150</v>
      </c>
      <c r="C25" s="3" t="str">
        <f>'Sheet1 (2)'!C25&amp;"±"&amp;'Sheet1 (2)'!D25</f>
        <v>992.4±414</v>
      </c>
      <c r="D25" s="3" t="str">
        <f>'Sheet1 (2)'!E25&amp;"±"&amp;'Sheet1 (2)'!F25</f>
        <v>150.6±129.5</v>
      </c>
      <c r="E25" s="3" t="str">
        <f>'Sheet1 (2)'!G25&amp;"±"&amp;'Sheet1 (2)'!H25</f>
        <v>0.02±0.01</v>
      </c>
      <c r="F25" s="3" t="str">
        <f>'Sheet1 (2)'!I25&amp;"±"&amp;'Sheet1 (2)'!J25</f>
        <v>0.01±0.005</v>
      </c>
      <c r="G25" s="3" t="str">
        <f>'Sheet1 (2)'!K25&amp;"±"&amp;'Sheet1 (2)'!L25</f>
        <v>1.5±1.1</v>
      </c>
    </row>
    <row r="26" spans="1:7" ht="16.5" x14ac:dyDescent="0.35">
      <c r="A26" t="s">
        <v>32</v>
      </c>
      <c r="B26" s="1" t="s">
        <v>150</v>
      </c>
      <c r="C26" s="3" t="str">
        <f>'Sheet1 (2)'!C26&amp;"±"&amp;'Sheet1 (2)'!D26</f>
        <v>1580.5±843.5</v>
      </c>
      <c r="D26" s="3" t="str">
        <f>'Sheet1 (2)'!E26&amp;"±"&amp;'Sheet1 (2)'!F26</f>
        <v>322.9±168.9</v>
      </c>
      <c r="E26" s="3" t="str">
        <f>'Sheet1 (2)'!G26&amp;"±"&amp;'Sheet1 (2)'!H26</f>
        <v>143.3±86</v>
      </c>
      <c r="F26" s="3" t="str">
        <f>'Sheet1 (2)'!I26&amp;"±"&amp;'Sheet1 (2)'!J26</f>
        <v>107.5±60.4</v>
      </c>
      <c r="G26" s="3" t="str">
        <f>'Sheet1 (2)'!K26&amp;"±"&amp;'Sheet1 (2)'!L26</f>
        <v>146.5±78.7</v>
      </c>
    </row>
    <row r="27" spans="1:7" ht="16.5" x14ac:dyDescent="0.35">
      <c r="A27" t="s">
        <v>33</v>
      </c>
      <c r="B27" s="1" t="s">
        <v>150</v>
      </c>
      <c r="C27" s="3" t="str">
        <f>'Sheet1 (2)'!C27&amp;"±"&amp;'Sheet1 (2)'!D27</f>
        <v>2658.4±974.8</v>
      </c>
      <c r="D27" s="3" t="str">
        <f>'Sheet1 (2)'!E27&amp;"±"&amp;'Sheet1 (2)'!F27</f>
        <v>443.5±234.4</v>
      </c>
      <c r="E27" s="3" t="str">
        <f>'Sheet1 (2)'!G27&amp;"±"&amp;'Sheet1 (2)'!H27</f>
        <v>471.9±176.4</v>
      </c>
      <c r="F27" s="3" t="str">
        <f>'Sheet1 (2)'!I27&amp;"±"&amp;'Sheet1 (2)'!J27</f>
        <v>147.3±102.5</v>
      </c>
      <c r="G27" s="3" t="str">
        <f>'Sheet1 (2)'!K27&amp;"±"&amp;'Sheet1 (2)'!L27</f>
        <v>218.9±135.2</v>
      </c>
    </row>
    <row r="28" spans="1:7" ht="16.5" x14ac:dyDescent="0.35">
      <c r="A28" t="s">
        <v>34</v>
      </c>
      <c r="B28" s="1" t="s">
        <v>150</v>
      </c>
      <c r="C28" s="3" t="str">
        <f>'Sheet1 (2)'!C28&amp;"±"&amp;'Sheet1 (2)'!D28</f>
        <v>439.9±332.1</v>
      </c>
      <c r="D28" s="3" t="str">
        <f>'Sheet1 (2)'!E28&amp;"±"&amp;'Sheet1 (2)'!F28</f>
        <v>101±79.5</v>
      </c>
      <c r="E28" s="3" t="str">
        <f>'Sheet1 (2)'!G28&amp;"±"&amp;'Sheet1 (2)'!H28</f>
        <v>403.4±180.7</v>
      </c>
      <c r="F28" s="3" t="str">
        <f>'Sheet1 (2)'!I28&amp;"±"&amp;'Sheet1 (2)'!J28</f>
        <v>3531.3±578</v>
      </c>
      <c r="G28" s="3" t="str">
        <f>'Sheet1 (2)'!K28&amp;"±"&amp;'Sheet1 (2)'!L28</f>
        <v>588.5±272.8</v>
      </c>
    </row>
    <row r="29" spans="1:7" ht="16.5" x14ac:dyDescent="0.35">
      <c r="A29" t="s">
        <v>35</v>
      </c>
      <c r="B29" s="1" t="s">
        <v>150</v>
      </c>
      <c r="C29" s="3" t="str">
        <f>'Sheet1 (2)'!C29&amp;"±"&amp;'Sheet1 (2)'!D29</f>
        <v>455.1±292.7</v>
      </c>
      <c r="D29" s="3" t="str">
        <f>'Sheet1 (2)'!E29&amp;"±"&amp;'Sheet1 (2)'!F29</f>
        <v>853±291.3</v>
      </c>
      <c r="E29" s="3" t="str">
        <f>'Sheet1 (2)'!G29&amp;"±"&amp;'Sheet1 (2)'!H29</f>
        <v>264.9±105.8</v>
      </c>
      <c r="F29" s="3" t="str">
        <f>'Sheet1 (2)'!I29&amp;"±"&amp;'Sheet1 (2)'!J29</f>
        <v>284.6±127.9</v>
      </c>
      <c r="G29" s="3" t="str">
        <f>'Sheet1 (2)'!K29&amp;"±"&amp;'Sheet1 (2)'!L29</f>
        <v>339.1±155</v>
      </c>
    </row>
    <row r="30" spans="1:7" ht="16.5" x14ac:dyDescent="0.35">
      <c r="A30" t="s">
        <v>36</v>
      </c>
      <c r="B30" s="1" t="s">
        <v>150</v>
      </c>
      <c r="C30" s="6" t="s">
        <v>1</v>
      </c>
      <c r="D30" s="3" t="str">
        <f>'Sheet1 (2)'!E30&amp;"±"&amp;'Sheet1 (2)'!F30</f>
        <v>496.9±223.7</v>
      </c>
      <c r="E30" s="3" t="str">
        <f>'Sheet1 (2)'!G30&amp;"±"&amp;'Sheet1 (2)'!H30</f>
        <v>96.3±49.6</v>
      </c>
      <c r="F30" s="3" t="str">
        <f>'Sheet1 (2)'!I30&amp;"±"&amp;'Sheet1 (2)'!J30</f>
        <v>112.7±79.5</v>
      </c>
      <c r="G30" s="3" t="str">
        <f>'Sheet1 (2)'!K30&amp;"±"&amp;'Sheet1 (2)'!L30</f>
        <v>250.2±127.4</v>
      </c>
    </row>
    <row r="31" spans="1:7" ht="16.5" x14ac:dyDescent="0.35">
      <c r="A31" t="s">
        <v>37</v>
      </c>
      <c r="B31" s="1" t="s">
        <v>150</v>
      </c>
      <c r="C31" s="3" t="str">
        <f>'Sheet1 (2)'!C31&amp;"±"&amp;'Sheet1 (2)'!D31</f>
        <v>18.6±14.3</v>
      </c>
      <c r="D31" s="3" t="str">
        <f>'Sheet1 (2)'!E31&amp;"±"&amp;'Sheet1 (2)'!F31</f>
        <v>53.2±39.8</v>
      </c>
      <c r="E31" s="3" t="str">
        <f>'Sheet1 (2)'!G31&amp;"±"&amp;'Sheet1 (2)'!H31</f>
        <v>7.7±6</v>
      </c>
      <c r="F31" s="3" t="str">
        <f>'Sheet1 (2)'!I31&amp;"±"&amp;'Sheet1 (2)'!J31</f>
        <v>9.6±7.7</v>
      </c>
      <c r="G31" s="3" t="str">
        <f>'Sheet1 (2)'!K31&amp;"±"&amp;'Sheet1 (2)'!L31</f>
        <v>23.6±17.8</v>
      </c>
    </row>
    <row r="32" spans="1:7" ht="16.5" x14ac:dyDescent="0.35">
      <c r="A32" t="s">
        <v>38</v>
      </c>
      <c r="B32" s="1" t="s">
        <v>150</v>
      </c>
      <c r="C32" s="3" t="str">
        <f>'Sheet1 (2)'!C32&amp;"±"&amp;'Sheet1 (2)'!D32</f>
        <v>10.1±8.2</v>
      </c>
      <c r="D32" s="3" t="str">
        <f>'Sheet1 (2)'!E32&amp;"±"&amp;'Sheet1 (2)'!F32</f>
        <v>38.8±30.7</v>
      </c>
      <c r="E32" s="3" t="str">
        <f>'Sheet1 (2)'!G32&amp;"±"&amp;'Sheet1 (2)'!H32</f>
        <v>5.7±4.4</v>
      </c>
      <c r="F32" s="3" t="str">
        <f>'Sheet1 (2)'!I32&amp;"±"&amp;'Sheet1 (2)'!J32</f>
        <v>7.1±5.9</v>
      </c>
      <c r="G32" s="3" t="str">
        <f>'Sheet1 (2)'!K32&amp;"±"&amp;'Sheet1 (2)'!L32</f>
        <v>0.8±0.7</v>
      </c>
    </row>
    <row r="33" spans="1:7" ht="16.5" x14ac:dyDescent="0.35">
      <c r="A33" t="s">
        <v>39</v>
      </c>
      <c r="B33" s="1" t="s">
        <v>150</v>
      </c>
      <c r="C33" s="3" t="str">
        <f>'Sheet1 (2)'!C33&amp;"±"&amp;'Sheet1 (2)'!D33</f>
        <v>2415.8±607.4</v>
      </c>
      <c r="D33" s="3" t="str">
        <f>'Sheet1 (2)'!E33&amp;"±"&amp;'Sheet1 (2)'!F33</f>
        <v>1227.8±368.2</v>
      </c>
      <c r="E33" s="3" t="str">
        <f>'Sheet1 (2)'!G33&amp;"±"&amp;'Sheet1 (2)'!H33</f>
        <v>34.3±13.7</v>
      </c>
      <c r="F33" s="3" t="str">
        <f>'Sheet1 (2)'!I33&amp;"±"&amp;'Sheet1 (2)'!J33</f>
        <v>1770±389.5</v>
      </c>
      <c r="G33" s="3" t="str">
        <f>'Sheet1 (2)'!K33&amp;"±"&amp;'Sheet1 (2)'!L33</f>
        <v>7.9±1.8</v>
      </c>
    </row>
    <row r="34" spans="1:7" ht="16.5" x14ac:dyDescent="0.35">
      <c r="A34" t="s">
        <v>40</v>
      </c>
      <c r="B34" s="1" t="s">
        <v>150</v>
      </c>
      <c r="C34" s="3" t="str">
        <f>'Sheet1 (2)'!C34&amp;"±"&amp;'Sheet1 (2)'!D34</f>
        <v>862.5±457</v>
      </c>
      <c r="D34" s="3" t="str">
        <f>'Sheet1 (2)'!E34&amp;"±"&amp;'Sheet1 (2)'!F34</f>
        <v>629±276.1</v>
      </c>
      <c r="E34" s="3" t="str">
        <f>'Sheet1 (2)'!G34&amp;"±"&amp;'Sheet1 (2)'!H34</f>
        <v>176.7±92.9</v>
      </c>
      <c r="F34" s="3" t="str">
        <f>'Sheet1 (2)'!I34&amp;"±"&amp;'Sheet1 (2)'!J34</f>
        <v>1494.6±654.3</v>
      </c>
      <c r="G34" s="3" t="str">
        <f>'Sheet1 (2)'!K34&amp;"±"&amp;'Sheet1 (2)'!L34</f>
        <v>272.9±149.8</v>
      </c>
    </row>
    <row r="35" spans="1:7" ht="16.5" x14ac:dyDescent="0.35">
      <c r="A35" t="s">
        <v>41</v>
      </c>
      <c r="B35" s="1" t="s">
        <v>150</v>
      </c>
      <c r="C35" s="3" t="str">
        <f>'Sheet1 (2)'!C35&amp;"±"&amp;'Sheet1 (2)'!D35</f>
        <v>235±154</v>
      </c>
      <c r="D35" s="3" t="str">
        <f>'Sheet1 (2)'!E35&amp;"±"&amp;'Sheet1 (2)'!F35</f>
        <v>286±157.1</v>
      </c>
      <c r="E35" s="3" t="str">
        <f>'Sheet1 (2)'!G35&amp;"±"&amp;'Sheet1 (2)'!H35</f>
        <v>153.4±101</v>
      </c>
      <c r="F35" s="3" t="str">
        <f>'Sheet1 (2)'!I35&amp;"±"&amp;'Sheet1 (2)'!J35</f>
        <v>212.1±140.5</v>
      </c>
      <c r="G35" s="3" t="str">
        <f>'Sheet1 (2)'!K35&amp;"±"&amp;'Sheet1 (2)'!L35</f>
        <v>178.6±115.1</v>
      </c>
    </row>
    <row r="36" spans="1:7" ht="16.5" x14ac:dyDescent="0.35">
      <c r="A36" t="s">
        <v>42</v>
      </c>
      <c r="B36" s="1" t="s">
        <v>150</v>
      </c>
      <c r="C36" s="3" t="str">
        <f>'Sheet1 (2)'!C36&amp;"±"&amp;'Sheet1 (2)'!D36</f>
        <v>211.7±183.1</v>
      </c>
      <c r="D36" s="3" t="str">
        <f>'Sheet1 (2)'!E36&amp;"±"&amp;'Sheet1 (2)'!F36</f>
        <v>65.5±57.2</v>
      </c>
      <c r="E36" s="3" t="str">
        <f>'Sheet1 (2)'!G36&amp;"±"&amp;'Sheet1 (2)'!H36</f>
        <v>89.2±110.7</v>
      </c>
      <c r="F36" s="3" t="str">
        <f>'Sheet1 (2)'!I36&amp;"±"&amp;'Sheet1 (2)'!J36</f>
        <v>178.7±168.6</v>
      </c>
      <c r="G36" s="3" t="str">
        <f>'Sheet1 (2)'!K36&amp;"±"&amp;'Sheet1 (2)'!L36</f>
        <v>126.5±117.9</v>
      </c>
    </row>
    <row r="37" spans="1:7" ht="16.5" x14ac:dyDescent="0.35">
      <c r="A37" t="s">
        <v>43</v>
      </c>
      <c r="B37" s="1" t="s">
        <v>150</v>
      </c>
      <c r="C37" s="3" t="str">
        <f>'Sheet1 (2)'!C37&amp;"±"&amp;'Sheet1 (2)'!D37</f>
        <v>345.7±259.2</v>
      </c>
      <c r="D37" s="3" t="str">
        <f>'Sheet1 (2)'!E37&amp;"±"&amp;'Sheet1 (2)'!F37</f>
        <v>294.5±250.4</v>
      </c>
      <c r="E37" s="3" t="str">
        <f>'Sheet1 (2)'!G37&amp;"±"&amp;'Sheet1 (2)'!H37</f>
        <v>2431.3±863.3</v>
      </c>
      <c r="F37" s="3" t="str">
        <f>'Sheet1 (2)'!I37&amp;"±"&amp;'Sheet1 (2)'!J37</f>
        <v>300.4±232.5</v>
      </c>
      <c r="G37" s="3" t="str">
        <f>'Sheet1 (2)'!K37&amp;"±"&amp;'Sheet1 (2)'!L37</f>
        <v>296.1±222.5</v>
      </c>
    </row>
    <row r="38" spans="1:7" ht="16.5" x14ac:dyDescent="0.35">
      <c r="A38" t="s">
        <v>44</v>
      </c>
      <c r="B38" s="1" t="s">
        <v>150</v>
      </c>
      <c r="C38" s="6" t="s">
        <v>1</v>
      </c>
      <c r="D38" s="3" t="str">
        <f>'Sheet1 (2)'!E38&amp;"±"&amp;'Sheet1 (2)'!F38</f>
        <v>898.7±372.8</v>
      </c>
      <c r="E38" s="3" t="str">
        <f>'Sheet1 (2)'!G38&amp;"±"&amp;'Sheet1 (2)'!H38</f>
        <v>1500.5±765.9</v>
      </c>
      <c r="F38" s="3" t="str">
        <f>'Sheet1 (2)'!I38&amp;"±"&amp;'Sheet1 (2)'!J38</f>
        <v>316.9±246.2</v>
      </c>
      <c r="G38" s="3" t="str">
        <f>'Sheet1 (2)'!K38&amp;"±"&amp;'Sheet1 (2)'!L38</f>
        <v>640.6±293.1</v>
      </c>
    </row>
    <row r="39" spans="1:7" ht="16.5" x14ac:dyDescent="0.35">
      <c r="A39" t="s">
        <v>45</v>
      </c>
      <c r="B39" s="1" t="s">
        <v>150</v>
      </c>
      <c r="C39" s="3" t="str">
        <f>'Sheet1 (2)'!C39&amp;"±"&amp;'Sheet1 (2)'!D39</f>
        <v>27.1±21.6</v>
      </c>
      <c r="D39" s="3" t="str">
        <f>'Sheet1 (2)'!E39&amp;"±"&amp;'Sheet1 (2)'!F39</f>
        <v>90.2±70.7</v>
      </c>
      <c r="E39" s="3" t="str">
        <f>'Sheet1 (2)'!G39&amp;"±"&amp;'Sheet1 (2)'!H39</f>
        <v>19.6±13.5</v>
      </c>
      <c r="F39" s="3" t="str">
        <f>'Sheet1 (2)'!I39&amp;"±"&amp;'Sheet1 (2)'!J39</f>
        <v>21.6±18.5</v>
      </c>
      <c r="G39" s="3" t="str">
        <f>'Sheet1 (2)'!K39&amp;"±"&amp;'Sheet1 (2)'!L39</f>
        <v>121.5±95.2</v>
      </c>
    </row>
    <row r="40" spans="1:7" ht="16.5" x14ac:dyDescent="0.35">
      <c r="A40" t="s">
        <v>46</v>
      </c>
      <c r="B40" s="1" t="s">
        <v>150</v>
      </c>
      <c r="C40" s="3" t="str">
        <f>'Sheet1 (2)'!C40&amp;"±"&amp;'Sheet1 (2)'!D40</f>
        <v>154.3±105.3</v>
      </c>
      <c r="D40" s="3" t="str">
        <f>'Sheet1 (2)'!E40&amp;"±"&amp;'Sheet1 (2)'!F40</f>
        <v>294.1±181.7</v>
      </c>
      <c r="E40" s="3" t="str">
        <f>'Sheet1 (2)'!G40&amp;"±"&amp;'Sheet1 (2)'!H40</f>
        <v>28.3±16</v>
      </c>
      <c r="F40" s="3" t="str">
        <f>'Sheet1 (2)'!I40&amp;"±"&amp;'Sheet1 (2)'!J40</f>
        <v>47.2±36.4</v>
      </c>
      <c r="G40" s="3" t="str">
        <f>'Sheet1 (2)'!K40&amp;"±"&amp;'Sheet1 (2)'!L40</f>
        <v>0.9±0.7</v>
      </c>
    </row>
    <row r="41" spans="1:7" ht="16.5" x14ac:dyDescent="0.35">
      <c r="A41" t="s">
        <v>47</v>
      </c>
      <c r="B41" s="1" t="s">
        <v>150</v>
      </c>
      <c r="C41" s="3" t="str">
        <f>'Sheet1 (2)'!C41&amp;"±"&amp;'Sheet1 (2)'!D41</f>
        <v>328.7±251.6</v>
      </c>
      <c r="D41" s="3" t="str">
        <f>'Sheet1 (2)'!E41&amp;"±"&amp;'Sheet1 (2)'!F41</f>
        <v>161.2±146.4</v>
      </c>
      <c r="E41" s="3" t="str">
        <f>'Sheet1 (2)'!G41&amp;"±"&amp;'Sheet1 (2)'!H41</f>
        <v>9.6±7.5</v>
      </c>
      <c r="F41" s="3" t="str">
        <f>'Sheet1 (2)'!I41&amp;"±"&amp;'Sheet1 (2)'!J41</f>
        <v>145.1±129.7</v>
      </c>
      <c r="G41" s="3" t="str">
        <f>'Sheet1 (2)'!K41&amp;"±"&amp;'Sheet1 (2)'!L41</f>
        <v>0.6±0.5</v>
      </c>
    </row>
    <row r="42" spans="1:7" ht="16.5" x14ac:dyDescent="0.35">
      <c r="A42" t="s">
        <v>48</v>
      </c>
      <c r="B42" s="1" t="s">
        <v>150</v>
      </c>
      <c r="C42" s="3" t="str">
        <f>'Sheet1 (2)'!C42&amp;"±"&amp;'Sheet1 (2)'!D42</f>
        <v>1009±297.2</v>
      </c>
      <c r="D42" s="3" t="str">
        <f>'Sheet1 (2)'!E42&amp;"±"&amp;'Sheet1 (2)'!F42</f>
        <v>1113.3±203.4</v>
      </c>
      <c r="E42" s="3" t="str">
        <f>'Sheet1 (2)'!G42&amp;"±"&amp;'Sheet1 (2)'!H42</f>
        <v>2732.6±435.3</v>
      </c>
      <c r="F42" s="3" t="str">
        <f>'Sheet1 (2)'!I42&amp;"±"&amp;'Sheet1 (2)'!J42</f>
        <v>797.1±233.6</v>
      </c>
      <c r="G42" s="3" t="str">
        <f>'Sheet1 (2)'!K42&amp;"±"&amp;'Sheet1 (2)'!L42</f>
        <v>841.3±175.1</v>
      </c>
    </row>
    <row r="43" spans="1:7" ht="16.5" x14ac:dyDescent="0.35">
      <c r="A43" t="s">
        <v>49</v>
      </c>
      <c r="B43" s="1" t="s">
        <v>150</v>
      </c>
      <c r="C43" s="3" t="str">
        <f>'Sheet1 (2)'!C43&amp;"±"&amp;'Sheet1 (2)'!D43</f>
        <v>553.3±185.7</v>
      </c>
      <c r="D43" s="3" t="str">
        <f>'Sheet1 (2)'!E43&amp;"±"&amp;'Sheet1 (2)'!F43</f>
        <v>621.3±143.8</v>
      </c>
      <c r="E43" s="3" t="str">
        <f>'Sheet1 (2)'!G43&amp;"±"&amp;'Sheet1 (2)'!H43</f>
        <v>1515.5±329.4</v>
      </c>
      <c r="F43" s="3" t="str">
        <f>'Sheet1 (2)'!I43&amp;"±"&amp;'Sheet1 (2)'!J43</f>
        <v>453±154.5</v>
      </c>
      <c r="G43" s="3" t="str">
        <f>'Sheet1 (2)'!K43&amp;"±"&amp;'Sheet1 (2)'!L43</f>
        <v>476.4±124.3</v>
      </c>
    </row>
    <row r="44" spans="1:7" ht="16.5" x14ac:dyDescent="0.35">
      <c r="A44" t="s">
        <v>50</v>
      </c>
      <c r="B44" s="1" t="s">
        <v>150</v>
      </c>
      <c r="C44" s="3" t="str">
        <f>'Sheet1 (2)'!C44&amp;"±"&amp;'Sheet1 (2)'!D44</f>
        <v>817.6±360.6</v>
      </c>
      <c r="D44" s="3" t="str">
        <f>'Sheet1 (2)'!E44&amp;"±"&amp;'Sheet1 (2)'!F44</f>
        <v>1241.5±333.2</v>
      </c>
      <c r="E44" s="3" t="str">
        <f>'Sheet1 (2)'!G44&amp;"±"&amp;'Sheet1 (2)'!H44</f>
        <v>3006.3±940.9</v>
      </c>
      <c r="F44" s="3" t="str">
        <f>'Sheet1 (2)'!I44&amp;"±"&amp;'Sheet1 (2)'!J44</f>
        <v>767.9±336.5</v>
      </c>
      <c r="G44" s="3" t="str">
        <f>'Sheet1 (2)'!K44&amp;"±"&amp;'Sheet1 (2)'!L44</f>
        <v>893.3±322.5</v>
      </c>
    </row>
    <row r="45" spans="1:7" ht="16.5" x14ac:dyDescent="0.35">
      <c r="A45" t="s">
        <v>51</v>
      </c>
      <c r="B45" s="1" t="s">
        <v>150</v>
      </c>
      <c r="C45" s="3" t="str">
        <f>'Sheet1 (2)'!C45&amp;"±"&amp;'Sheet1 (2)'!D45</f>
        <v>307.5±213.1</v>
      </c>
      <c r="D45" s="3" t="str">
        <f>'Sheet1 (2)'!E45&amp;"±"&amp;'Sheet1 (2)'!F45</f>
        <v>37.3±32.1</v>
      </c>
      <c r="E45" s="3" t="str">
        <f>'Sheet1 (2)'!G45&amp;"±"&amp;'Sheet1 (2)'!H45</f>
        <v>94.8±63.9</v>
      </c>
      <c r="F45" s="3" t="str">
        <f>'Sheet1 (2)'!I45&amp;"±"&amp;'Sheet1 (2)'!J45</f>
        <v>874.5±480.2</v>
      </c>
      <c r="G45" s="3" t="str">
        <f>'Sheet1 (2)'!K45&amp;"±"&amp;'Sheet1 (2)'!L45</f>
        <v>162.6±121.7</v>
      </c>
    </row>
    <row r="46" spans="1:7" ht="16.5" x14ac:dyDescent="0.35">
      <c r="A46" t="s">
        <v>52</v>
      </c>
      <c r="B46" s="1" t="s">
        <v>150</v>
      </c>
      <c r="C46" s="6" t="s">
        <v>1</v>
      </c>
      <c r="D46" s="3" t="str">
        <f>'Sheet1 (2)'!E46&amp;"±"&amp;'Sheet1 (2)'!F46</f>
        <v>45.7±36.3</v>
      </c>
      <c r="E46" s="3" t="str">
        <f>'Sheet1 (2)'!G46&amp;"±"&amp;'Sheet1 (2)'!H46</f>
        <v>70.2±40</v>
      </c>
      <c r="F46" s="3" t="str">
        <f>'Sheet1 (2)'!I46&amp;"±"&amp;'Sheet1 (2)'!J46</f>
        <v>907.2±469.3</v>
      </c>
      <c r="G46" s="3" t="str">
        <f>'Sheet1 (2)'!K46&amp;"±"&amp;'Sheet1 (2)'!L46</f>
        <v>233.2±140.4</v>
      </c>
    </row>
    <row r="47" spans="1:7" ht="16.5" x14ac:dyDescent="0.35">
      <c r="A47" t="s">
        <v>53</v>
      </c>
      <c r="B47" s="1" t="s">
        <v>150</v>
      </c>
      <c r="C47" s="3" t="str">
        <f>'Sheet1 (2)'!C47&amp;"±"&amp;'Sheet1 (2)'!D47</f>
        <v>28.1±22.9</v>
      </c>
      <c r="D47" s="3" t="str">
        <f>'Sheet1 (2)'!E47&amp;"±"&amp;'Sheet1 (2)'!F47</f>
        <v>32.2±27.5</v>
      </c>
      <c r="E47" s="3" t="str">
        <f>'Sheet1 (2)'!G47&amp;"±"&amp;'Sheet1 (2)'!H47</f>
        <v>13.6±10.4</v>
      </c>
      <c r="F47" s="3" t="str">
        <f>'Sheet1 (2)'!I47&amp;"±"&amp;'Sheet1 (2)'!J47</f>
        <v>21±18.5</v>
      </c>
      <c r="G47" s="3" t="str">
        <f>'Sheet1 (2)'!K47&amp;"±"&amp;'Sheet1 (2)'!L47</f>
        <v>84.6±69.1</v>
      </c>
    </row>
    <row r="48" spans="1:7" ht="16.5" x14ac:dyDescent="0.35">
      <c r="A48" t="s">
        <v>54</v>
      </c>
      <c r="B48" s="1" t="s">
        <v>150</v>
      </c>
      <c r="C48" s="3" t="str">
        <f>'Sheet1 (2)'!C48&amp;"±"&amp;'Sheet1 (2)'!D48</f>
        <v>167.2±108.1</v>
      </c>
      <c r="D48" s="3" t="str">
        <f>'Sheet1 (2)'!E48&amp;"±"&amp;'Sheet1 (2)'!F48</f>
        <v>40.7±35.1</v>
      </c>
      <c r="E48" s="3" t="str">
        <f>'Sheet1 (2)'!G48&amp;"±"&amp;'Sheet1 (2)'!H48</f>
        <v>65.5±23.1</v>
      </c>
      <c r="F48" s="3" t="str">
        <f>'Sheet1 (2)'!I48&amp;"±"&amp;'Sheet1 (2)'!J48</f>
        <v>52.6±38.6</v>
      </c>
      <c r="G48" s="3" t="str">
        <f>'Sheet1 (2)'!K48&amp;"±"&amp;'Sheet1 (2)'!L48</f>
        <v>0.9±0.8</v>
      </c>
    </row>
    <row r="49" spans="1:7" ht="16.5" x14ac:dyDescent="0.35">
      <c r="A49" t="s">
        <v>55</v>
      </c>
      <c r="B49" s="1" t="s">
        <v>150</v>
      </c>
      <c r="C49" s="3" t="str">
        <f>'Sheet1 (2)'!C49&amp;"±"&amp;'Sheet1 (2)'!D49</f>
        <v>327.6±216.2</v>
      </c>
      <c r="D49" s="3" t="str">
        <f>'Sheet1 (2)'!E49&amp;"±"&amp;'Sheet1 (2)'!F49</f>
        <v>37±33.8</v>
      </c>
      <c r="E49" s="3" t="str">
        <f>'Sheet1 (2)'!G49&amp;"±"&amp;'Sheet1 (2)'!H49</f>
        <v>11.5±9.9</v>
      </c>
      <c r="F49" s="3" t="str">
        <f>'Sheet1 (2)'!I49&amp;"±"&amp;'Sheet1 (2)'!J49</f>
        <v>209.6±176.1</v>
      </c>
      <c r="G49" s="3" t="str">
        <f>'Sheet1 (2)'!K49&amp;"±"&amp;'Sheet1 (2)'!L49</f>
        <v>0.6±0.5</v>
      </c>
    </row>
    <row r="50" spans="1:7" ht="16.5" x14ac:dyDescent="0.35">
      <c r="A50" t="s">
        <v>56</v>
      </c>
      <c r="B50" s="1" t="s">
        <v>150</v>
      </c>
      <c r="C50" s="3" t="str">
        <f>'Sheet1 (2)'!C50&amp;"±"&amp;'Sheet1 (2)'!D50</f>
        <v>836.8±213.4</v>
      </c>
      <c r="D50" s="3" t="str">
        <f>'Sheet1 (2)'!E50&amp;"±"&amp;'Sheet1 (2)'!F50</f>
        <v>169.4±39.9</v>
      </c>
      <c r="E50" s="3" t="str">
        <f>'Sheet1 (2)'!G50&amp;"±"&amp;'Sheet1 (2)'!H50</f>
        <v>331.2±88.5</v>
      </c>
      <c r="F50" s="3" t="str">
        <f>'Sheet1 (2)'!I50&amp;"±"&amp;'Sheet1 (2)'!J50</f>
        <v>1451.5±274.9</v>
      </c>
      <c r="G50" s="3" t="str">
        <f>'Sheet1 (2)'!K50&amp;"±"&amp;'Sheet1 (2)'!L50</f>
        <v>430.7±104</v>
      </c>
    </row>
    <row r="51" spans="1:7" ht="16.5" x14ac:dyDescent="0.35">
      <c r="A51" t="s">
        <v>57</v>
      </c>
      <c r="B51" s="1" t="s">
        <v>150</v>
      </c>
      <c r="C51" s="3" t="str">
        <f>'Sheet1 (2)'!C51&amp;"±"&amp;'Sheet1 (2)'!D51</f>
        <v>461.9±137.6</v>
      </c>
      <c r="D51" s="3" t="str">
        <f>'Sheet1 (2)'!E51&amp;"±"&amp;'Sheet1 (2)'!F51</f>
        <v>93.6±26.5</v>
      </c>
      <c r="E51" s="3" t="str">
        <f>'Sheet1 (2)'!G51&amp;"±"&amp;'Sheet1 (2)'!H51</f>
        <v>170.9±53.7</v>
      </c>
      <c r="F51" s="3" t="str">
        <f>'Sheet1 (2)'!I51&amp;"±"&amp;'Sheet1 (2)'!J51</f>
        <v>824.6±202.1</v>
      </c>
      <c r="G51" s="3" t="str">
        <f>'Sheet1 (2)'!K51&amp;"±"&amp;'Sheet1 (2)'!L51</f>
        <v>239.2±68.7</v>
      </c>
    </row>
    <row r="52" spans="1:7" ht="16.5" x14ac:dyDescent="0.35">
      <c r="A52" t="s">
        <v>58</v>
      </c>
      <c r="B52" s="1" t="s">
        <v>150</v>
      </c>
      <c r="C52" s="3" t="str">
        <f>'Sheet1 (2)'!C52&amp;"±"&amp;'Sheet1 (2)'!D52</f>
        <v>653±248.1</v>
      </c>
      <c r="D52" s="3" t="str">
        <f>'Sheet1 (2)'!E52&amp;"±"&amp;'Sheet1 (2)'!F52</f>
        <v>127.6±45.9</v>
      </c>
      <c r="E52" s="3" t="str">
        <f>'Sheet1 (2)'!G52&amp;"±"&amp;'Sheet1 (2)'!H52</f>
        <v>232±96</v>
      </c>
      <c r="F52" s="3" t="str">
        <f>'Sheet1 (2)'!I52&amp;"±"&amp;'Sheet1 (2)'!J52</f>
        <v>1659.5±493.8</v>
      </c>
      <c r="G52" s="3" t="str">
        <f>'Sheet1 (2)'!K52&amp;"±"&amp;'Sheet1 (2)'!L52</f>
        <v>384.5±138.1</v>
      </c>
    </row>
    <row r="53" spans="1:7" ht="16.5" x14ac:dyDescent="0.35">
      <c r="A53" t="s">
        <v>59</v>
      </c>
      <c r="B53" s="1" t="s">
        <v>150</v>
      </c>
      <c r="C53" s="3" t="str">
        <f>'Sheet1 (2)'!C53&amp;"±"&amp;'Sheet1 (2)'!D53</f>
        <v>1605.6±921</v>
      </c>
      <c r="D53" s="3" t="str">
        <f>'Sheet1 (2)'!E53&amp;"±"&amp;'Sheet1 (2)'!F53</f>
        <v>150.9±133.1</v>
      </c>
      <c r="E53" s="3" t="str">
        <f>'Sheet1 (2)'!G53&amp;"±"&amp;'Sheet1 (2)'!H53</f>
        <v>325.7±206.2</v>
      </c>
      <c r="F53" s="3" t="str">
        <f>'Sheet1 (2)'!I53&amp;"±"&amp;'Sheet1 (2)'!J53</f>
        <v>306±287.7</v>
      </c>
      <c r="G53" s="3" t="str">
        <f>'Sheet1 (2)'!K53&amp;"±"&amp;'Sheet1 (2)'!L53</f>
        <v>144.4±120.2</v>
      </c>
    </row>
    <row r="54" spans="1:7" ht="16.5" x14ac:dyDescent="0.35">
      <c r="A54" t="s">
        <v>60</v>
      </c>
      <c r="B54" s="1" t="s">
        <v>150</v>
      </c>
      <c r="C54" s="6" t="s">
        <v>1</v>
      </c>
      <c r="D54" s="3" t="str">
        <f>'Sheet1 (2)'!E54&amp;"±"&amp;'Sheet1 (2)'!F54</f>
        <v>203.9±155.6</v>
      </c>
      <c r="E54" s="3" t="str">
        <f>'Sheet1 (2)'!G54&amp;"±"&amp;'Sheet1 (2)'!H54</f>
        <v>651.6±382.5</v>
      </c>
      <c r="F54" s="3" t="str">
        <f>'Sheet1 (2)'!I54&amp;"±"&amp;'Sheet1 (2)'!J54</f>
        <v>335.4±218.9</v>
      </c>
      <c r="G54" s="3" t="str">
        <f>'Sheet1 (2)'!K54&amp;"±"&amp;'Sheet1 (2)'!L54</f>
        <v>190.3±148.4</v>
      </c>
    </row>
    <row r="55" spans="1:7" ht="16.5" x14ac:dyDescent="0.35">
      <c r="A55" t="s">
        <v>61</v>
      </c>
      <c r="B55" s="1" t="s">
        <v>150</v>
      </c>
      <c r="C55" s="3" t="str">
        <f>'Sheet1 (2)'!C55&amp;"±"&amp;'Sheet1 (2)'!D55</f>
        <v>23.2±18.5</v>
      </c>
      <c r="D55" s="3" t="str">
        <f>'Sheet1 (2)'!E55&amp;"±"&amp;'Sheet1 (2)'!F55</f>
        <v>61.9±53.4</v>
      </c>
      <c r="E55" s="3" t="str">
        <f>'Sheet1 (2)'!G55&amp;"±"&amp;'Sheet1 (2)'!H55</f>
        <v>19.9±15.9</v>
      </c>
      <c r="F55" s="3" t="str">
        <f>'Sheet1 (2)'!I55&amp;"±"&amp;'Sheet1 (2)'!J55</f>
        <v>20.8±17.4</v>
      </c>
      <c r="G55" s="3" t="str">
        <f>'Sheet1 (2)'!K55&amp;"±"&amp;'Sheet1 (2)'!L55</f>
        <v>83±68.2</v>
      </c>
    </row>
    <row r="56" spans="1:7" ht="16.5" x14ac:dyDescent="0.35">
      <c r="A56" t="s">
        <v>62</v>
      </c>
      <c r="B56" s="1" t="s">
        <v>150</v>
      </c>
      <c r="C56" s="3" t="str">
        <f>'Sheet1 (2)'!C56&amp;"±"&amp;'Sheet1 (2)'!D56</f>
        <v>95.1±72.9</v>
      </c>
      <c r="D56" s="3" t="str">
        <f>'Sheet1 (2)'!E56&amp;"±"&amp;'Sheet1 (2)'!F56</f>
        <v>107.4±89.2</v>
      </c>
      <c r="E56" s="3" t="str">
        <f>'Sheet1 (2)'!G56&amp;"±"&amp;'Sheet1 (2)'!H56</f>
        <v>47.1±34.7</v>
      </c>
      <c r="F56" s="3" t="str">
        <f>'Sheet1 (2)'!I56&amp;"±"&amp;'Sheet1 (2)'!J56</f>
        <v>37.5±30</v>
      </c>
      <c r="G56" s="3" t="str">
        <f>'Sheet1 (2)'!K56&amp;"±"&amp;'Sheet1 (2)'!L56</f>
        <v>0.9±0.8</v>
      </c>
    </row>
    <row r="57" spans="1:7" ht="16.5" x14ac:dyDescent="0.35">
      <c r="A57" t="s">
        <v>63</v>
      </c>
      <c r="B57" s="1" t="s">
        <v>150</v>
      </c>
      <c r="C57" s="3" t="str">
        <f>'Sheet1 (2)'!C57&amp;"±"&amp;'Sheet1 (2)'!D57</f>
        <v>9.5±8.3</v>
      </c>
      <c r="D57" s="3" t="str">
        <f>'Sheet1 (2)'!E57&amp;"±"&amp;'Sheet1 (2)'!F57</f>
        <v>42±33.8</v>
      </c>
      <c r="E57" s="3" t="str">
        <f>'Sheet1 (2)'!G57&amp;"±"&amp;'Sheet1 (2)'!H57</f>
        <v>2.1±1.9</v>
      </c>
      <c r="F57" s="3" t="str">
        <f>'Sheet1 (2)'!I57&amp;"±"&amp;'Sheet1 (2)'!J57</f>
        <v>3.7±3.4</v>
      </c>
      <c r="G57" s="3" t="str">
        <f>'Sheet1 (2)'!K57&amp;"±"&amp;'Sheet1 (2)'!L57</f>
        <v>27.6±22.1</v>
      </c>
    </row>
    <row r="58" spans="1:7" ht="16.5" x14ac:dyDescent="0.35">
      <c r="A58" t="s">
        <v>64</v>
      </c>
      <c r="B58" s="1" t="s">
        <v>150</v>
      </c>
      <c r="C58" s="3" t="str">
        <f>'Sheet1 (2)'!C58&amp;"±"&amp;'Sheet1 (2)'!D58</f>
        <v>69.8±27.9</v>
      </c>
      <c r="D58" s="3" t="str">
        <f>'Sheet1 (2)'!E58&amp;"±"&amp;'Sheet1 (2)'!F58</f>
        <v>31.9±14.4</v>
      </c>
      <c r="E58" s="3" t="str">
        <f>'Sheet1 (2)'!G58&amp;"±"&amp;'Sheet1 (2)'!H58</f>
        <v>103±39.8</v>
      </c>
      <c r="F58" s="3" t="str">
        <f>'Sheet1 (2)'!I58&amp;"±"&amp;'Sheet1 (2)'!J58</f>
        <v>46.6±19.8</v>
      </c>
      <c r="G58" s="3" t="str">
        <f>'Sheet1 (2)'!K58&amp;"±"&amp;'Sheet1 (2)'!L58</f>
        <v>8.1±3.6</v>
      </c>
    </row>
    <row r="59" spans="1:7" ht="16.5" x14ac:dyDescent="0.35">
      <c r="A59" t="s">
        <v>65</v>
      </c>
      <c r="B59" s="1" t="s">
        <v>150</v>
      </c>
      <c r="C59" s="3" t="str">
        <f>'Sheet1 (2)'!C59&amp;"±"&amp;'Sheet1 (2)'!D59</f>
        <v>6.3±2.9</v>
      </c>
      <c r="D59" s="3" t="str">
        <f>'Sheet1 (2)'!E59&amp;"±"&amp;'Sheet1 (2)'!F59</f>
        <v>3.3±1.5</v>
      </c>
      <c r="E59" s="3" t="str">
        <f>'Sheet1 (2)'!G59&amp;"±"&amp;'Sheet1 (2)'!H59</f>
        <v>9.1±4.3</v>
      </c>
      <c r="F59" s="3" t="str">
        <f>'Sheet1 (2)'!I59&amp;"±"&amp;'Sheet1 (2)'!J59</f>
        <v>4.5±2.1</v>
      </c>
      <c r="G59" s="3" t="str">
        <f>'Sheet1 (2)'!K59&amp;"±"&amp;'Sheet1 (2)'!L59</f>
        <v>0.8±0.4</v>
      </c>
    </row>
    <row r="60" spans="1:7" ht="16.5" x14ac:dyDescent="0.35">
      <c r="A60" t="s">
        <v>66</v>
      </c>
      <c r="B60" s="1" t="s">
        <v>150</v>
      </c>
      <c r="C60" s="3" t="str">
        <f>'Sheet1 (2)'!C60&amp;"±"&amp;'Sheet1 (2)'!D60</f>
        <v>1588.9±558.5</v>
      </c>
      <c r="D60" s="3" t="str">
        <f>'Sheet1 (2)'!E60&amp;"±"&amp;'Sheet1 (2)'!F60</f>
        <v>462.7±105.6</v>
      </c>
      <c r="E60" s="3" t="str">
        <f>'Sheet1 (2)'!G60&amp;"±"&amp;'Sheet1 (2)'!H60</f>
        <v>1306.5±234.9</v>
      </c>
      <c r="F60" s="3" t="str">
        <f>'Sheet1 (2)'!I60&amp;"±"&amp;'Sheet1 (2)'!J60</f>
        <v>709.5±179.7</v>
      </c>
      <c r="G60" s="3" t="str">
        <f>'Sheet1 (2)'!K60&amp;"±"&amp;'Sheet1 (2)'!L60</f>
        <v>353.4±64</v>
      </c>
    </row>
    <row r="61" spans="1:7" ht="16.5" x14ac:dyDescent="0.35">
      <c r="A61" t="s">
        <v>67</v>
      </c>
      <c r="B61" s="1" t="s">
        <v>150</v>
      </c>
      <c r="C61" s="3" t="str">
        <f>'Sheet1 (2)'!C61&amp;"±"&amp;'Sheet1 (2)'!D61</f>
        <v>877.3±368</v>
      </c>
      <c r="D61" s="3" t="str">
        <f>'Sheet1 (2)'!E61&amp;"±"&amp;'Sheet1 (2)'!F61</f>
        <v>257.6±71.2</v>
      </c>
      <c r="E61" s="3" t="str">
        <f>'Sheet1 (2)'!G61&amp;"±"&amp;'Sheet1 (2)'!H61</f>
        <v>674.8±223.9</v>
      </c>
      <c r="F61" s="3" t="str">
        <f>'Sheet1 (2)'!I61&amp;"±"&amp;'Sheet1 (2)'!J61</f>
        <v>392.3±124.2</v>
      </c>
      <c r="G61" s="3" t="str">
        <f>'Sheet1 (2)'!K61&amp;"±"&amp;'Sheet1 (2)'!L61</f>
        <v>215.2±63.9</v>
      </c>
    </row>
    <row r="62" spans="1:7" ht="16.5" x14ac:dyDescent="0.35">
      <c r="A62" t="s">
        <v>68</v>
      </c>
      <c r="B62" s="1" t="s">
        <v>150</v>
      </c>
      <c r="C62" s="3" t="str">
        <f>'Sheet1 (2)'!C62&amp;"±"&amp;'Sheet1 (2)'!D62</f>
        <v>1361.8±661</v>
      </c>
      <c r="D62" s="3" t="str">
        <f>'Sheet1 (2)'!E62&amp;"±"&amp;'Sheet1 (2)'!F62</f>
        <v>654.6±231.7</v>
      </c>
      <c r="E62" s="3" t="str">
        <f>'Sheet1 (2)'!G62&amp;"±"&amp;'Sheet1 (2)'!H62</f>
        <v>1549.8±759.6</v>
      </c>
      <c r="F62" s="3" t="str">
        <f>'Sheet1 (2)'!I62&amp;"±"&amp;'Sheet1 (2)'!J62</f>
        <v>953±407.1</v>
      </c>
      <c r="G62" s="3" t="str">
        <f>'Sheet1 (2)'!K62&amp;"±"&amp;'Sheet1 (2)'!L62</f>
        <v>473.6±174.9</v>
      </c>
    </row>
    <row r="63" spans="1:7" ht="16.5" x14ac:dyDescent="0.35">
      <c r="A63" t="s">
        <v>69</v>
      </c>
      <c r="B63" s="1" t="s">
        <v>150</v>
      </c>
      <c r="C63" s="6" t="s">
        <v>1</v>
      </c>
      <c r="D63" s="3" t="str">
        <f>'Sheet1 (2)'!E63&amp;"±"&amp;'Sheet1 (2)'!F63</f>
        <v>171.5±148.5</v>
      </c>
      <c r="E63" s="3" t="str">
        <f>'Sheet1 (2)'!G63&amp;"±"&amp;'Sheet1 (2)'!H63</f>
        <v>200.2±147</v>
      </c>
      <c r="F63" s="3" t="str">
        <f>'Sheet1 (2)'!I63&amp;"±"&amp;'Sheet1 (2)'!J63</f>
        <v>265.7±208.5</v>
      </c>
      <c r="G63" s="3" t="str">
        <f>'Sheet1 (2)'!K63&amp;"±"&amp;'Sheet1 (2)'!L63</f>
        <v>151.3±127.3</v>
      </c>
    </row>
    <row r="64" spans="1:7" ht="16.5" x14ac:dyDescent="0.35">
      <c r="A64" t="s">
        <v>70</v>
      </c>
      <c r="B64" s="1" t="s">
        <v>150</v>
      </c>
      <c r="C64" s="6" t="s">
        <v>1</v>
      </c>
      <c r="D64" s="3" t="str">
        <f>'Sheet1 (2)'!E64&amp;"±"&amp;'Sheet1 (2)'!F64</f>
        <v>400.1±285.4</v>
      </c>
      <c r="E64" s="3" t="str">
        <f>'Sheet1 (2)'!G64&amp;"±"&amp;'Sheet1 (2)'!H64</f>
        <v>485.2±245.9</v>
      </c>
      <c r="F64" s="3" t="str">
        <f>'Sheet1 (2)'!I64&amp;"±"&amp;'Sheet1 (2)'!J64</f>
        <v>548.1±394.6</v>
      </c>
      <c r="G64" s="3" t="str">
        <f>'Sheet1 (2)'!K64&amp;"±"&amp;'Sheet1 (2)'!L64</f>
        <v>513.7±306</v>
      </c>
    </row>
    <row r="65" spans="1:7" ht="16.5" x14ac:dyDescent="0.35">
      <c r="A65" t="s">
        <v>71</v>
      </c>
      <c r="B65" s="1" t="s">
        <v>150</v>
      </c>
      <c r="C65" s="6" t="s">
        <v>1</v>
      </c>
      <c r="D65" s="3" t="str">
        <f>'Sheet1 (2)'!E65&amp;"±"&amp;'Sheet1 (2)'!F65</f>
        <v>66.3±56</v>
      </c>
      <c r="E65" s="3" t="str">
        <f>'Sheet1 (2)'!G65&amp;"±"&amp;'Sheet1 (2)'!H65</f>
        <v>20.9±16.2</v>
      </c>
      <c r="F65" s="3" t="str">
        <f>'Sheet1 (2)'!I65&amp;"±"&amp;'Sheet1 (2)'!J65</f>
        <v>19.6±16.2</v>
      </c>
      <c r="G65" s="3" t="str">
        <f>'Sheet1 (2)'!K65&amp;"±"&amp;'Sheet1 (2)'!L65</f>
        <v>89.2±73.9</v>
      </c>
    </row>
    <row r="66" spans="1:7" ht="16.5" x14ac:dyDescent="0.35">
      <c r="A66" t="s">
        <v>72</v>
      </c>
      <c r="B66" s="1" t="s">
        <v>150</v>
      </c>
      <c r="C66" s="6" t="s">
        <v>1</v>
      </c>
      <c r="D66" s="3" t="str">
        <f>'Sheet1 (2)'!E66&amp;"±"&amp;'Sheet1 (2)'!F66</f>
        <v>130.3±108.3</v>
      </c>
      <c r="E66" s="3" t="str">
        <f>'Sheet1 (2)'!G66&amp;"±"&amp;'Sheet1 (2)'!H66</f>
        <v>46.9±33.4</v>
      </c>
      <c r="F66" s="3" t="str">
        <f>'Sheet1 (2)'!I66&amp;"±"&amp;'Sheet1 (2)'!J66</f>
        <v>35.5±28.3</v>
      </c>
      <c r="G66" s="3" t="str">
        <f>'Sheet1 (2)'!K66&amp;"±"&amp;'Sheet1 (2)'!L66</f>
        <v>0.9±0.8</v>
      </c>
    </row>
    <row r="67" spans="1:7" ht="16.5" x14ac:dyDescent="0.35">
      <c r="A67" t="s">
        <v>73</v>
      </c>
      <c r="B67" s="1" t="s">
        <v>150</v>
      </c>
      <c r="C67" s="6" t="s">
        <v>1</v>
      </c>
      <c r="D67" s="3" t="str">
        <f>'Sheet1 (2)'!E67&amp;"±"&amp;'Sheet1 (2)'!F67</f>
        <v>43.8±34.9</v>
      </c>
      <c r="E67" s="3" t="str">
        <f>'Sheet1 (2)'!G67&amp;"±"&amp;'Sheet1 (2)'!H67</f>
        <v>2.1±1.9</v>
      </c>
      <c r="F67" s="3" t="str">
        <f>'Sheet1 (2)'!I67&amp;"±"&amp;'Sheet1 (2)'!J67</f>
        <v>3.7±3.4</v>
      </c>
      <c r="G67" s="3" t="str">
        <f>'Sheet1 (2)'!K67&amp;"±"&amp;'Sheet1 (2)'!L67</f>
        <v>28.6±22.6</v>
      </c>
    </row>
    <row r="68" spans="1:7" ht="16.5" x14ac:dyDescent="0.35">
      <c r="A68" t="s">
        <v>74</v>
      </c>
      <c r="B68" s="1" t="s">
        <v>150</v>
      </c>
      <c r="C68" s="6" t="s">
        <v>1</v>
      </c>
      <c r="D68" s="3" t="str">
        <f>'Sheet1 (2)'!E68&amp;"±"&amp;'Sheet1 (2)'!F68</f>
        <v>111.4±43.8</v>
      </c>
      <c r="E68" s="3" t="str">
        <f>'Sheet1 (2)'!G68&amp;"±"&amp;'Sheet1 (2)'!H68</f>
        <v>125.5±44.7</v>
      </c>
      <c r="F68" s="3" t="str">
        <f>'Sheet1 (2)'!I68&amp;"±"&amp;'Sheet1 (2)'!J68</f>
        <v>32.6±14.1</v>
      </c>
      <c r="G68" s="3" t="str">
        <f>'Sheet1 (2)'!K68&amp;"±"&amp;'Sheet1 (2)'!L68</f>
        <v>98.8±26.7</v>
      </c>
    </row>
    <row r="69" spans="1:7" ht="16.5" x14ac:dyDescent="0.35">
      <c r="A69" t="s">
        <v>75</v>
      </c>
      <c r="B69" s="1" t="s">
        <v>150</v>
      </c>
      <c r="C69" s="6" t="s">
        <v>1</v>
      </c>
      <c r="D69" s="3" t="str">
        <f>'Sheet1 (2)'!E69&amp;"±"&amp;'Sheet1 (2)'!F69</f>
        <v>10.4±5</v>
      </c>
      <c r="E69" s="3" t="str">
        <f>'Sheet1 (2)'!G69&amp;"±"&amp;'Sheet1 (2)'!H69</f>
        <v>10.6±5</v>
      </c>
      <c r="F69" s="3" t="str">
        <f>'Sheet1 (2)'!I69&amp;"±"&amp;'Sheet1 (2)'!J69</f>
        <v>3.2±1.5</v>
      </c>
      <c r="G69" s="3" t="str">
        <f>'Sheet1 (2)'!K69&amp;"±"&amp;'Sheet1 (2)'!L69</f>
        <v>7±3.3</v>
      </c>
    </row>
    <row r="70" spans="1:7" ht="16.5" x14ac:dyDescent="0.35">
      <c r="A70" t="s">
        <v>76</v>
      </c>
      <c r="B70" s="1" t="s">
        <v>150</v>
      </c>
      <c r="C70" s="6" t="s">
        <v>1</v>
      </c>
      <c r="D70" s="3" t="str">
        <f>'Sheet1 (2)'!E70&amp;"±"&amp;'Sheet1 (2)'!F70</f>
        <v>502.7±267</v>
      </c>
      <c r="E70" s="3" t="str">
        <f>'Sheet1 (2)'!G70&amp;"±"&amp;'Sheet1 (2)'!H70</f>
        <v>909.7±382.7</v>
      </c>
      <c r="F70" s="3" t="str">
        <f>'Sheet1 (2)'!I70&amp;"±"&amp;'Sheet1 (2)'!J70</f>
        <v>455.5±261.8</v>
      </c>
      <c r="G70" s="3" t="str">
        <f>'Sheet1 (2)'!K70&amp;"±"&amp;'Sheet1 (2)'!L70</f>
        <v>390.7±213.8</v>
      </c>
    </row>
    <row r="71" spans="1:7" ht="16.5" x14ac:dyDescent="0.35">
      <c r="A71" t="s">
        <v>77</v>
      </c>
      <c r="B71" s="1" t="s">
        <v>150</v>
      </c>
      <c r="C71" s="6" t="s">
        <v>1</v>
      </c>
      <c r="D71" s="3" t="str">
        <f>'Sheet1 (2)'!E71&amp;"±"&amp;'Sheet1 (2)'!F71</f>
        <v>208.4±128.8</v>
      </c>
      <c r="E71" s="3" t="str">
        <f>'Sheet1 (2)'!G71&amp;"±"&amp;'Sheet1 (2)'!H71</f>
        <v>360.3±221.5</v>
      </c>
      <c r="F71" s="3" t="str">
        <f>'Sheet1 (2)'!I71&amp;"±"&amp;'Sheet1 (2)'!J71</f>
        <v>256.8±151.8</v>
      </c>
      <c r="G71" s="3" t="str">
        <f>'Sheet1 (2)'!K71&amp;"±"&amp;'Sheet1 (2)'!L71</f>
        <v>197.7±124.3</v>
      </c>
    </row>
    <row r="72" spans="1:7" ht="16.5" x14ac:dyDescent="0.35">
      <c r="A72" t="s">
        <v>78</v>
      </c>
      <c r="B72" s="1" t="s">
        <v>150</v>
      </c>
      <c r="C72" s="6" t="s">
        <v>1</v>
      </c>
      <c r="D72" s="3" t="str">
        <f>'Sheet1 (2)'!E72&amp;"±"&amp;'Sheet1 (2)'!F72</f>
        <v>908.8±443.4</v>
      </c>
      <c r="E72" s="3" t="str">
        <f>'Sheet1 (2)'!G72&amp;"±"&amp;'Sheet1 (2)'!H72</f>
        <v>936.6±427.9</v>
      </c>
      <c r="F72" s="3" t="str">
        <f>'Sheet1 (2)'!I72&amp;"±"&amp;'Sheet1 (2)'!J72</f>
        <v>1000.5±427.3</v>
      </c>
      <c r="G72" s="3" t="str">
        <f>'Sheet1 (2)'!K72&amp;"±"&amp;'Sheet1 (2)'!L72</f>
        <v>830.1±339.9</v>
      </c>
    </row>
    <row r="73" spans="1:7" ht="16.5" x14ac:dyDescent="0.35">
      <c r="A73" t="s">
        <v>79</v>
      </c>
      <c r="B73" s="1" t="s">
        <v>150</v>
      </c>
      <c r="C73" s="6" t="s">
        <v>1</v>
      </c>
      <c r="D73" s="3" t="str">
        <f>'Sheet1 (2)'!E73&amp;"±"&amp;'Sheet1 (2)'!F73</f>
        <v>418.5±267</v>
      </c>
      <c r="E73" s="3" t="str">
        <f>'Sheet1 (2)'!G73&amp;"±"&amp;'Sheet1 (2)'!H73</f>
        <v>397.7±338.2</v>
      </c>
      <c r="F73" s="3" t="str">
        <f>'Sheet1 (2)'!I73&amp;"±"&amp;'Sheet1 (2)'!J73</f>
        <v>308.6±240.8</v>
      </c>
      <c r="G73" s="3" t="str">
        <f>'Sheet1 (2)'!K73&amp;"±"&amp;'Sheet1 (2)'!L73</f>
        <v>324.3±210</v>
      </c>
    </row>
    <row r="74" spans="1:7" ht="16.5" x14ac:dyDescent="0.35">
      <c r="A74" t="s">
        <v>80</v>
      </c>
      <c r="B74" s="1" t="s">
        <v>150</v>
      </c>
      <c r="C74" s="6" t="s">
        <v>1</v>
      </c>
      <c r="D74" s="3" t="str">
        <f>'Sheet1 (2)'!E74&amp;"±"&amp;'Sheet1 (2)'!F74</f>
        <v>178.6±121.3</v>
      </c>
      <c r="E74" s="3" t="str">
        <f>'Sheet1 (2)'!G74&amp;"±"&amp;'Sheet1 (2)'!H74</f>
        <v>234.5±191.4</v>
      </c>
      <c r="F74" s="3" t="str">
        <f>'Sheet1 (2)'!I74&amp;"±"&amp;'Sheet1 (2)'!J74</f>
        <v>171.5±123</v>
      </c>
      <c r="G74" s="3" t="str">
        <f>'Sheet1 (2)'!K74&amp;"±"&amp;'Sheet1 (2)'!L74</f>
        <v>179.9±119.2</v>
      </c>
    </row>
    <row r="75" spans="1:7" ht="16.5" x14ac:dyDescent="0.35">
      <c r="A75" t="s">
        <v>81</v>
      </c>
      <c r="B75" s="1" t="s">
        <v>150</v>
      </c>
      <c r="C75" s="3" t="str">
        <f>'Sheet1 (2)'!C75&amp;"±"&amp;'Sheet1 (2)'!D75</f>
        <v>24.2±8.8</v>
      </c>
      <c r="D75" s="3" t="str">
        <f>'Sheet1 (2)'!E75&amp;"±"&amp;'Sheet1 (2)'!F75</f>
        <v>78.8±29.2</v>
      </c>
      <c r="E75" s="3" t="str">
        <f>'Sheet1 (2)'!G75&amp;"±"&amp;'Sheet1 (2)'!H75</f>
        <v>11.1±3.1</v>
      </c>
      <c r="F75" s="3" t="str">
        <f>'Sheet1 (2)'!I75&amp;"±"&amp;'Sheet1 (2)'!J75</f>
        <v>16.9±5</v>
      </c>
      <c r="G75" s="3" t="str">
        <f>'Sheet1 (2)'!K75&amp;"±"&amp;'Sheet1 (2)'!L75</f>
        <v>78.7±25.2</v>
      </c>
    </row>
    <row r="76" spans="1:7" ht="16.5" x14ac:dyDescent="0.35">
      <c r="A76" t="s">
        <v>82</v>
      </c>
      <c r="B76" s="1" t="s">
        <v>150</v>
      </c>
      <c r="C76" s="3" t="str">
        <f>'Sheet1 (2)'!C76&amp;"±"&amp;'Sheet1 (2)'!D76</f>
        <v>1.4±0.6</v>
      </c>
      <c r="D76" s="3" t="str">
        <f>'Sheet1 (2)'!E76&amp;"±"&amp;'Sheet1 (2)'!F76</f>
        <v>4.6±2.1</v>
      </c>
      <c r="E76" s="3" t="str">
        <f>'Sheet1 (2)'!G76&amp;"±"&amp;'Sheet1 (2)'!H76</f>
        <v>3.4±1.3</v>
      </c>
      <c r="F76" s="3" t="str">
        <f>'Sheet1 (2)'!I76&amp;"±"&amp;'Sheet1 (2)'!J76</f>
        <v>1.4±0.6</v>
      </c>
      <c r="G76" s="3" t="str">
        <f>'Sheet1 (2)'!K76&amp;"±"&amp;'Sheet1 (2)'!L76</f>
        <v>7.6±3.3</v>
      </c>
    </row>
    <row r="77" spans="1:7" ht="16.5" x14ac:dyDescent="0.35">
      <c r="A77" t="s">
        <v>83</v>
      </c>
      <c r="B77" s="1" t="s">
        <v>150</v>
      </c>
      <c r="C77" s="3" t="str">
        <f>'Sheet1 (2)'!C77&amp;"±"&amp;'Sheet1 (2)'!D77</f>
        <v>0.4±0.2</v>
      </c>
      <c r="D77" s="3" t="str">
        <f>'Sheet1 (2)'!E77&amp;"±"&amp;'Sheet1 (2)'!F77</f>
        <v>1.5±0.7</v>
      </c>
      <c r="E77" s="3" t="str">
        <f>'Sheet1 (2)'!G77&amp;"±"&amp;'Sheet1 (2)'!H77</f>
        <v>0.9±0.4</v>
      </c>
      <c r="F77" s="3" t="str">
        <f>'Sheet1 (2)'!I77&amp;"±"&amp;'Sheet1 (2)'!J77</f>
        <v>0.4±0.2</v>
      </c>
      <c r="G77" s="3" t="str">
        <f>'Sheet1 (2)'!K77&amp;"±"&amp;'Sheet1 (2)'!L77</f>
        <v>2.3±1</v>
      </c>
    </row>
    <row r="78" spans="1:7" ht="16.5" x14ac:dyDescent="0.35">
      <c r="A78" t="s">
        <v>84</v>
      </c>
      <c r="B78" s="1" t="s">
        <v>150</v>
      </c>
      <c r="C78" s="3" t="str">
        <f>'Sheet1 (2)'!C78&amp;"±"&amp;'Sheet1 (2)'!D78</f>
        <v>29.2±4.3</v>
      </c>
      <c r="D78" s="3" t="str">
        <f>'Sheet1 (2)'!E78&amp;"±"&amp;'Sheet1 (2)'!F78</f>
        <v>87.7±16.6</v>
      </c>
      <c r="E78" s="3" t="str">
        <f>'Sheet1 (2)'!G78&amp;"±"&amp;'Sheet1 (2)'!H78</f>
        <v>33.2±11.9</v>
      </c>
      <c r="F78" s="3" t="str">
        <f>'Sheet1 (2)'!I78&amp;"±"&amp;'Sheet1 (2)'!J78</f>
        <v>29.3±6</v>
      </c>
      <c r="G78" s="3" t="str">
        <f>'Sheet1 (2)'!K78&amp;"±"&amp;'Sheet1 (2)'!L78</f>
        <v>124±31.5</v>
      </c>
    </row>
    <row r="79" spans="1:7" ht="16.5" x14ac:dyDescent="0.35">
      <c r="A79" t="s">
        <v>85</v>
      </c>
      <c r="B79" s="1" t="s">
        <v>150</v>
      </c>
      <c r="C79" s="3" t="str">
        <f>'Sheet1 (2)'!C79&amp;"±"&amp;'Sheet1 (2)'!D79</f>
        <v>19.9±6.1</v>
      </c>
      <c r="D79" s="3" t="str">
        <f>'Sheet1 (2)'!E79&amp;"±"&amp;'Sheet1 (2)'!F79</f>
        <v>56.1±18.5</v>
      </c>
      <c r="E79" s="3" t="str">
        <f>'Sheet1 (2)'!G79&amp;"±"&amp;'Sheet1 (2)'!H79</f>
        <v>16.8±6.6</v>
      </c>
      <c r="F79" s="3" t="str">
        <f>'Sheet1 (2)'!I79&amp;"±"&amp;'Sheet1 (2)'!J79</f>
        <v>18.9±6.8</v>
      </c>
      <c r="G79" s="3" t="str">
        <f>'Sheet1 (2)'!K79&amp;"±"&amp;'Sheet1 (2)'!L79</f>
        <v>74.8±28.9</v>
      </c>
    </row>
    <row r="80" spans="1:7" ht="16.5" x14ac:dyDescent="0.35">
      <c r="A80" t="s">
        <v>86</v>
      </c>
      <c r="B80" s="1" t="s">
        <v>150</v>
      </c>
      <c r="C80" s="3" t="str">
        <f>'Sheet1 (2)'!C80&amp;"±"&amp;'Sheet1 (2)'!D80</f>
        <v>41.3±16.8</v>
      </c>
      <c r="D80" s="3" t="str">
        <f>'Sheet1 (2)'!E80&amp;"±"&amp;'Sheet1 (2)'!F80</f>
        <v>116.6±51.4</v>
      </c>
      <c r="E80" s="3" t="str">
        <f>'Sheet1 (2)'!G80&amp;"±"&amp;'Sheet1 (2)'!H80</f>
        <v>25.3±11.8</v>
      </c>
      <c r="F80" s="3" t="str">
        <f>'Sheet1 (2)'!I80&amp;"±"&amp;'Sheet1 (2)'!J80</f>
        <v>36.3±17</v>
      </c>
      <c r="G80" s="3" t="str">
        <f>'Sheet1 (2)'!K80&amp;"±"&amp;'Sheet1 (2)'!L80</f>
        <v>134.9±65.2</v>
      </c>
    </row>
    <row r="81" spans="1:7" ht="16.5" x14ac:dyDescent="0.35">
      <c r="A81" t="s">
        <v>87</v>
      </c>
      <c r="B81" s="1" t="s">
        <v>150</v>
      </c>
      <c r="C81" s="3" t="str">
        <f>'Sheet1 (2)'!C81&amp;"±"&amp;'Sheet1 (2)'!D81</f>
        <v>2.4±1</v>
      </c>
      <c r="D81" s="3" t="str">
        <f>'Sheet1 (2)'!E81&amp;"±"&amp;'Sheet1 (2)'!F81</f>
        <v>1.8±0.8</v>
      </c>
      <c r="E81" s="3" t="str">
        <f>'Sheet1 (2)'!G81&amp;"±"&amp;'Sheet1 (2)'!H81</f>
        <v>1.4±0.6</v>
      </c>
      <c r="F81" s="3" t="str">
        <f>'Sheet1 (2)'!I81&amp;"±"&amp;'Sheet1 (2)'!J81</f>
        <v>0.7±0.3</v>
      </c>
      <c r="G81" s="3" t="str">
        <f>'Sheet1 (2)'!K81&amp;"±"&amp;'Sheet1 (2)'!L81</f>
        <v>0.02±0.01</v>
      </c>
    </row>
    <row r="82" spans="1:7" ht="16.5" x14ac:dyDescent="0.35">
      <c r="A82" t="s">
        <v>88</v>
      </c>
      <c r="B82" s="1" t="s">
        <v>150</v>
      </c>
      <c r="C82" s="3" t="str">
        <f>'Sheet1 (2)'!C82&amp;"±"&amp;'Sheet1 (2)'!D82</f>
        <v>29.8±11.9</v>
      </c>
      <c r="D82" s="3" t="str">
        <f>'Sheet1 (2)'!E82&amp;"±"&amp;'Sheet1 (2)'!F82</f>
        <v>112±40.6</v>
      </c>
      <c r="E82" s="3" t="str">
        <f>'Sheet1 (2)'!G82&amp;"±"&amp;'Sheet1 (2)'!H82</f>
        <v>3.6±2.7</v>
      </c>
      <c r="F82" s="3" t="str">
        <f>'Sheet1 (2)'!I82&amp;"±"&amp;'Sheet1 (2)'!J82</f>
        <v>17.7±6.2</v>
      </c>
      <c r="G82" s="3" t="str">
        <f>'Sheet1 (2)'!K82&amp;"±"&amp;'Sheet1 (2)'!L82</f>
        <v>1.2±0.4</v>
      </c>
    </row>
    <row r="83" spans="1:7" ht="16.5" x14ac:dyDescent="0.35">
      <c r="A83" t="s">
        <v>89</v>
      </c>
      <c r="B83" s="1" t="s">
        <v>150</v>
      </c>
      <c r="C83" s="3" t="str">
        <f>'Sheet1 (2)'!C83&amp;"±"&amp;'Sheet1 (2)'!D83</f>
        <v>34±10</v>
      </c>
      <c r="D83" s="3" t="str">
        <f>'Sheet1 (2)'!E83&amp;"±"&amp;'Sheet1 (2)'!F83</f>
        <v>19.3±8.3</v>
      </c>
      <c r="E83" s="3" t="str">
        <f>'Sheet1 (2)'!G83&amp;"±"&amp;'Sheet1 (2)'!H83</f>
        <v>22.8±4.9</v>
      </c>
      <c r="F83" s="3" t="str">
        <f>'Sheet1 (2)'!I83&amp;"±"&amp;'Sheet1 (2)'!J83</f>
        <v>10.2±3.3</v>
      </c>
      <c r="G83" s="3" t="str">
        <f>'Sheet1 (2)'!K83&amp;"±"&amp;'Sheet1 (2)'!L83</f>
        <v>0.2±0.1</v>
      </c>
    </row>
    <row r="84" spans="1:7" ht="16.5" x14ac:dyDescent="0.35">
      <c r="A84" t="s">
        <v>90</v>
      </c>
      <c r="B84" s="1" t="s">
        <v>150</v>
      </c>
      <c r="C84" s="3" t="str">
        <f>'Sheet1 (2)'!C84&amp;"±"&amp;'Sheet1 (2)'!D84</f>
        <v>8.2±3.4</v>
      </c>
      <c r="D84" s="3" t="str">
        <f>'Sheet1 (2)'!E84&amp;"±"&amp;'Sheet1 (2)'!F84</f>
        <v>5.8±2.7</v>
      </c>
      <c r="E84" s="3" t="str">
        <f>'Sheet1 (2)'!G84&amp;"±"&amp;'Sheet1 (2)'!H84</f>
        <v>5.1±2</v>
      </c>
      <c r="F84" s="3" t="str">
        <f>'Sheet1 (2)'!I84&amp;"±"&amp;'Sheet1 (2)'!J84</f>
        <v>2.6±1.1</v>
      </c>
      <c r="G84" s="3" t="str">
        <f>'Sheet1 (2)'!K84&amp;"±"&amp;'Sheet1 (2)'!L84</f>
        <v>0.1±0.03</v>
      </c>
    </row>
    <row r="85" spans="1:7" ht="16.5" x14ac:dyDescent="0.35">
      <c r="A85" t="s">
        <v>91</v>
      </c>
      <c r="B85" s="1" t="s">
        <v>150</v>
      </c>
      <c r="C85" s="3" t="str">
        <f>'Sheet1 (2)'!C85&amp;"±"&amp;'Sheet1 (2)'!D85</f>
        <v>82.4±56</v>
      </c>
      <c r="D85" s="3" t="str">
        <f>'Sheet1 (2)'!E85&amp;"±"&amp;'Sheet1 (2)'!F85</f>
        <v>95.5±65.9</v>
      </c>
      <c r="E85" s="3" t="str">
        <f>'Sheet1 (2)'!G85&amp;"±"&amp;'Sheet1 (2)'!H85</f>
        <v>35.4±23.5</v>
      </c>
      <c r="F85" s="3" t="str">
        <f>'Sheet1 (2)'!I85&amp;"±"&amp;'Sheet1 (2)'!J85</f>
        <v>35.6±24.4</v>
      </c>
      <c r="G85" s="3" t="str">
        <f>'Sheet1 (2)'!K85&amp;"±3.1E-14"</f>
        <v>1.2±3.1E-14</v>
      </c>
    </row>
    <row r="86" spans="1:7" ht="16.5" x14ac:dyDescent="0.35">
      <c r="A86" t="s">
        <v>92</v>
      </c>
      <c r="B86" s="1" t="s">
        <v>150</v>
      </c>
      <c r="C86" s="3" t="str">
        <f>'Sheet1 (2)'!C86&amp;"±"&amp;'Sheet1 (2)'!D86</f>
        <v>44.5±32.3</v>
      </c>
      <c r="D86" s="3" t="str">
        <f>'Sheet1 (2)'!E86&amp;"±"&amp;'Sheet1 (2)'!F86</f>
        <v>55.8±39.8</v>
      </c>
      <c r="E86" s="3" t="str">
        <f>'Sheet1 (2)'!G86&amp;"±"&amp;'Sheet1 (2)'!H86</f>
        <v>20.4±14.6</v>
      </c>
      <c r="F86" s="3" t="str">
        <f>'Sheet1 (2)'!I86&amp;"±"&amp;'Sheet1 (2)'!J86</f>
        <v>19.5±14</v>
      </c>
      <c r="G86" s="3" t="str">
        <f>'Sheet1 (2)'!K86&amp;"±3.9E-15"</f>
        <v>0.6±3.9E-15</v>
      </c>
    </row>
    <row r="87" spans="1:7" ht="16.5" x14ac:dyDescent="0.35">
      <c r="A87" t="s">
        <v>93</v>
      </c>
      <c r="B87" s="1" t="s">
        <v>150</v>
      </c>
      <c r="C87" s="3" t="str">
        <f>'Sheet1 (2)'!C87&amp;"±"&amp;'Sheet1 (2)'!D87</f>
        <v>108.6±52.1</v>
      </c>
      <c r="D87" s="3" t="str">
        <f>'Sheet1 (2)'!E87&amp;"±"&amp;'Sheet1 (2)'!F87</f>
        <v>207.7±109.1</v>
      </c>
      <c r="E87" s="3" t="str">
        <f>'Sheet1 (2)'!G87&amp;"±"&amp;'Sheet1 (2)'!H87</f>
        <v>43±18.8</v>
      </c>
      <c r="F87" s="3" t="str">
        <f>'Sheet1 (2)'!I87&amp;"±"&amp;'Sheet1 (2)'!J87</f>
        <v>46.3±22.6</v>
      </c>
      <c r="G87" s="3" t="str">
        <f>'Sheet1 (2)'!K87&amp;"±"&amp;'Sheet1 (2)'!L87</f>
        <v>2±0.5</v>
      </c>
    </row>
    <row r="88" spans="1:7" ht="16.5" x14ac:dyDescent="0.35">
      <c r="A88" t="s">
        <v>94</v>
      </c>
      <c r="B88" s="1" t="s">
        <v>150</v>
      </c>
      <c r="C88" s="3" t="str">
        <f>'Sheet1 (2)'!C88&amp;"±"&amp;'Sheet1 (2)'!D88</f>
        <v>83.2±56.4</v>
      </c>
      <c r="D88" s="3" t="str">
        <f>'Sheet1 (2)'!E88&amp;"±"&amp;'Sheet1 (2)'!F88</f>
        <v>94.5±65</v>
      </c>
      <c r="E88" s="3" t="str">
        <f>'Sheet1 (2)'!G88&amp;"±"&amp;'Sheet1 (2)'!H88</f>
        <v>46.8±21.1</v>
      </c>
      <c r="F88" s="3" t="str">
        <f>'Sheet1 (2)'!I88&amp;"±"&amp;'Sheet1 (2)'!J88</f>
        <v>35.1±25.6</v>
      </c>
      <c r="G88" s="3" t="str">
        <f>'Sheet1 (2)'!K88&amp;"±2.4E-16"</f>
        <v>0.04±2.4E-16</v>
      </c>
    </row>
    <row r="89" spans="1:7" ht="16.5" x14ac:dyDescent="0.35">
      <c r="A89" t="s">
        <v>95</v>
      </c>
      <c r="B89" s="1" t="s">
        <v>150</v>
      </c>
      <c r="C89" s="3" t="str">
        <f>'Sheet1 (2)'!C89&amp;"±"&amp;'Sheet1 (2)'!D89</f>
        <v>43.8±31.2</v>
      </c>
      <c r="D89" s="3" t="str">
        <f>'Sheet1 (2)'!E89&amp;"±"&amp;'Sheet1 (2)'!F89</f>
        <v>51.1±36.5</v>
      </c>
      <c r="E89" s="3" t="str">
        <f>'Sheet1 (2)'!G89&amp;"±"&amp;'Sheet1 (2)'!H89</f>
        <v>19.9±14.4</v>
      </c>
      <c r="F89" s="3" t="str">
        <f>'Sheet1 (2)'!I89&amp;"±"&amp;'Sheet1 (2)'!J89</f>
        <v>18.3±13.6</v>
      </c>
      <c r="G89" s="3" t="str">
        <f>'Sheet1 (2)'!K89&amp;"±2.9E-16"</f>
        <v>0.03±2.9E-16</v>
      </c>
    </row>
    <row r="90" spans="1:7" ht="16.5" x14ac:dyDescent="0.35">
      <c r="A90" t="s">
        <v>96</v>
      </c>
      <c r="B90" s="1" t="s">
        <v>150</v>
      </c>
      <c r="C90" s="3" t="str">
        <f>'Sheet1 (2)'!C90&amp;"±"&amp;'Sheet1 (2)'!D90</f>
        <v>14.2±3.9</v>
      </c>
      <c r="D90" s="3" t="str">
        <f>'Sheet1 (2)'!E90&amp;"±"&amp;'Sheet1 (2)'!F90</f>
        <v>0.6±0.3</v>
      </c>
      <c r="E90" s="3" t="str">
        <f>'Sheet1 (2)'!G90&amp;"±"&amp;'Sheet1 (2)'!H90</f>
        <v>0.03±0.01</v>
      </c>
      <c r="F90" s="3" t="str">
        <f>'Sheet1 (2)'!I90&amp;"±"&amp;'Sheet1 (2)'!J90</f>
        <v>4.5±0.4</v>
      </c>
      <c r="G90" s="3" t="str">
        <f>'Sheet1 (2)'!K90&amp;"±"&amp;'Sheet1 (2)'!L90</f>
        <v>23.9±3.9</v>
      </c>
    </row>
    <row r="91" spans="1:7" ht="16.5" x14ac:dyDescent="0.35">
      <c r="A91" t="s">
        <v>97</v>
      </c>
      <c r="B91" s="1" t="s">
        <v>150</v>
      </c>
      <c r="C91" s="3" t="str">
        <f>'Sheet1 (2)'!C91&amp;"±"&amp;'Sheet1 (2)'!D91</f>
        <v>0.2±0.1</v>
      </c>
      <c r="D91" s="3" t="str">
        <f>'Sheet1 (2)'!E91&amp;"±"&amp;'Sheet1 (2)'!F91</f>
        <v>24.2±2.7</v>
      </c>
      <c r="E91" s="3" t="str">
        <f>'Sheet1 (2)'!G91&amp;"±"&amp;'Sheet1 (2)'!H91</f>
        <v>1.7±0.1</v>
      </c>
      <c r="F91" s="3" t="str">
        <f>'Sheet1 (2)'!I91&amp;"±"&amp;'Sheet1 (2)'!J91</f>
        <v>1.1±0.3</v>
      </c>
      <c r="G91" s="3" t="str">
        <f>'Sheet1 (2)'!K91&amp;"±"&amp;'Sheet1 (2)'!L91</f>
        <v>0.4±0.2</v>
      </c>
    </row>
    <row r="92" spans="1:7" ht="16.5" x14ac:dyDescent="0.35">
      <c r="A92" t="s">
        <v>98</v>
      </c>
      <c r="B92" s="1" t="s">
        <v>150</v>
      </c>
      <c r="C92" s="3" t="str">
        <f>'Sheet1 (2)'!C92&amp;"±"&amp;'Sheet1 (2)'!D92</f>
        <v>0.1±0.05</v>
      </c>
      <c r="D92" s="3" t="str">
        <f>'Sheet1 (2)'!E92&amp;"±"&amp;'Sheet1 (2)'!F92</f>
        <v>9.5±2.1</v>
      </c>
      <c r="E92" s="3" t="str">
        <f>'Sheet1 (2)'!G92&amp;"±"&amp;'Sheet1 (2)'!H92</f>
        <v>0.6±0.1</v>
      </c>
      <c r="F92" s="3" t="str">
        <f>'Sheet1 (2)'!I92&amp;"±"&amp;'Sheet1 (2)'!J92</f>
        <v>0.5±0.2</v>
      </c>
      <c r="G92" s="3" t="str">
        <f>'Sheet1 (2)'!K92&amp;"±"&amp;'Sheet1 (2)'!L92</f>
        <v>0.3±0.1</v>
      </c>
    </row>
    <row r="93" spans="1:7" ht="16.5" x14ac:dyDescent="0.35">
      <c r="A93" t="s">
        <v>99</v>
      </c>
      <c r="B93" s="1" t="s">
        <v>150</v>
      </c>
      <c r="C93" s="3" t="str">
        <f>'Sheet1 (2)'!C93&amp;"±"&amp;'Sheet1 (2)'!D93</f>
        <v>0.1±0.04</v>
      </c>
      <c r="D93" s="3" t="str">
        <f>'Sheet1 (2)'!E93&amp;"±"&amp;'Sheet1 (2)'!F93</f>
        <v>8±1.9</v>
      </c>
      <c r="E93" s="3" t="str">
        <f>'Sheet1 (2)'!G93&amp;"±"&amp;'Sheet1 (2)'!H93</f>
        <v>0.5±0.05</v>
      </c>
      <c r="F93" s="3" t="str">
        <f>'Sheet1 (2)'!I93&amp;"±"&amp;'Sheet1 (2)'!J93</f>
        <v>0.4±0.1</v>
      </c>
      <c r="G93" s="3" t="str">
        <f>'Sheet1 (2)'!K93&amp;"±"&amp;'Sheet1 (2)'!L93</f>
        <v>0.2±0.1</v>
      </c>
    </row>
    <row r="94" spans="1:7" ht="16.5" x14ac:dyDescent="0.35">
      <c r="A94" t="s">
        <v>100</v>
      </c>
      <c r="B94" s="1" t="s">
        <v>150</v>
      </c>
      <c r="C94" s="3" t="str">
        <f>'Sheet1 (2)'!C94&amp;"±"&amp;'Sheet1 (2)'!D94</f>
        <v>21.7±6</v>
      </c>
      <c r="D94" s="3" t="str">
        <f>'Sheet1 (2)'!E94&amp;"±"&amp;'Sheet1 (2)'!F94</f>
        <v>169.6±4.3</v>
      </c>
      <c r="E94" s="3" t="str">
        <f>'Sheet1 (2)'!G94&amp;"±"&amp;'Sheet1 (2)'!H94</f>
        <v>12.3±0.03</v>
      </c>
      <c r="F94" s="3" t="str">
        <f>'Sheet1 (2)'!I94&amp;"±"&amp;'Sheet1 (2)'!J94</f>
        <v>25.4±0.8</v>
      </c>
      <c r="G94" s="3" t="str">
        <f>'Sheet1 (2)'!K94&amp;"±"&amp;'Sheet1 (2)'!L94</f>
        <v>48.4±15.5</v>
      </c>
    </row>
    <row r="95" spans="1:7" ht="16.5" x14ac:dyDescent="0.35">
      <c r="A95" t="s">
        <v>101</v>
      </c>
      <c r="B95" s="1" t="s">
        <v>150</v>
      </c>
      <c r="C95" s="3" t="str">
        <f>'Sheet1 (2)'!C95&amp;"±"&amp;'Sheet1 (2)'!D95</f>
        <v>11.4±3.7</v>
      </c>
      <c r="D95" s="3" t="str">
        <f>'Sheet1 (2)'!E95&amp;"±"&amp;'Sheet1 (2)'!F95</f>
        <v>32.1±5</v>
      </c>
      <c r="E95" s="3" t="str">
        <f>'Sheet1 (2)'!G95&amp;"±"&amp;'Sheet1 (2)'!H95</f>
        <v>1.9±0.04</v>
      </c>
      <c r="F95" s="3" t="str">
        <f>'Sheet1 (2)'!I95&amp;"±"&amp;'Sheet1 (2)'!J95</f>
        <v>5.1±0.9</v>
      </c>
      <c r="G95" s="3" t="str">
        <f>'Sheet1 (2)'!K95&amp;"±"&amp;'Sheet1 (2)'!L95</f>
        <v>25±9.1</v>
      </c>
    </row>
    <row r="96" spans="1:7" ht="16.5" x14ac:dyDescent="0.35">
      <c r="A96" t="s">
        <v>102</v>
      </c>
      <c r="B96" s="1" t="s">
        <v>150</v>
      </c>
      <c r="C96" s="3" t="str">
        <f>'Sheet1 (2)'!C96&amp;"±"&amp;'Sheet1 (2)'!D96</f>
        <v>15.9±6.5</v>
      </c>
      <c r="D96" s="3" t="str">
        <f>'Sheet1 (2)'!E96&amp;"±"&amp;'Sheet1 (2)'!F96</f>
        <v>32.5±5.4</v>
      </c>
      <c r="E96" s="3" t="str">
        <f>'Sheet1 (2)'!G96&amp;"±"&amp;'Sheet1 (2)'!H96</f>
        <v>1.9±0.04</v>
      </c>
      <c r="F96" s="3" t="str">
        <f>'Sheet1 (2)'!I96&amp;"±"&amp;'Sheet1 (2)'!J96</f>
        <v>5.1±1</v>
      </c>
      <c r="G96" s="3" t="str">
        <f>'Sheet1 (2)'!K96&amp;"±"&amp;'Sheet1 (2)'!L96</f>
        <v>38±16.4</v>
      </c>
    </row>
    <row r="97" spans="1:7" ht="16.5" x14ac:dyDescent="0.35">
      <c r="A97" t="s">
        <v>103</v>
      </c>
      <c r="B97" s="1" t="s">
        <v>150</v>
      </c>
      <c r="C97" s="3" t="str">
        <f>'Sheet1 (2)'!C97&amp;"±"&amp;'Sheet1 (2)'!D97</f>
        <v>16±4.7</v>
      </c>
      <c r="D97" s="3" t="str">
        <f>'Sheet1 (2)'!E97&amp;"±"&amp;'Sheet1 (2)'!F97</f>
        <v>16±4.7</v>
      </c>
      <c r="E97" s="3" t="str">
        <f>'Sheet1 (2)'!G97&amp;"±"&amp;'Sheet1 (2)'!H97</f>
        <v>13.4±3.9</v>
      </c>
      <c r="F97" s="3" t="str">
        <f>'Sheet1 (2)'!I97&amp;"±"&amp;'Sheet1 (2)'!J97</f>
        <v>12.5±3.6</v>
      </c>
      <c r="G97" s="3" t="str">
        <f>'Sheet1 (2)'!K97&amp;"±"&amp;'Sheet1 (2)'!L97</f>
        <v>5.6±1.6</v>
      </c>
    </row>
    <row r="98" spans="1:7" ht="16.5" x14ac:dyDescent="0.35">
      <c r="A98" t="s">
        <v>104</v>
      </c>
      <c r="B98" s="1" t="s">
        <v>150</v>
      </c>
      <c r="C98" s="3" t="str">
        <f>'Sheet1 (2)'!C98&amp;"±"&amp;'Sheet1 (2)'!D98</f>
        <v>67.1±45.1</v>
      </c>
      <c r="D98" s="3" t="str">
        <f>'Sheet1 (2)'!E98&amp;"±"&amp;'Sheet1 (2)'!F98</f>
        <v>57.2±39.8</v>
      </c>
      <c r="E98" s="3" t="str">
        <f>'Sheet1 (2)'!G98&amp;"±"&amp;'Sheet1 (2)'!H98</f>
        <v>77.4±40.5</v>
      </c>
      <c r="F98" s="3" t="str">
        <f>'Sheet1 (2)'!I98&amp;"±"&amp;'Sheet1 (2)'!J98</f>
        <v>54.5±33.7</v>
      </c>
      <c r="G98" s="3" t="str">
        <f>'Sheet1 (2)'!K98&amp;"±"&amp;'Sheet1 (2)'!L98</f>
        <v>26.2±18.3</v>
      </c>
    </row>
    <row r="99" spans="1:7" ht="16.5" x14ac:dyDescent="0.35">
      <c r="A99" t="s">
        <v>105</v>
      </c>
      <c r="B99" s="1" t="s">
        <v>150</v>
      </c>
      <c r="C99" s="3" t="str">
        <f>'Sheet1 (2)'!C99&amp;"±"&amp;'Sheet1 (2)'!D99</f>
        <v>34.6±24.9</v>
      </c>
      <c r="D99" s="3" t="str">
        <f>'Sheet1 (2)'!E99&amp;"±"&amp;'Sheet1 (2)'!F99</f>
        <v>27.6±21</v>
      </c>
      <c r="E99" s="3" t="str">
        <f>'Sheet1 (2)'!G99&amp;"±"&amp;'Sheet1 (2)'!H99</f>
        <v>26.3±20.9</v>
      </c>
      <c r="F99" s="3" t="str">
        <f>'Sheet1 (2)'!I99&amp;"±"&amp;'Sheet1 (2)'!J99</f>
        <v>26±18.5</v>
      </c>
      <c r="G99" s="3" t="str">
        <f>'Sheet1 (2)'!K99&amp;"±"&amp;'Sheet1 (2)'!L99</f>
        <v>10.9±9.2</v>
      </c>
    </row>
    <row r="100" spans="1:7" ht="16.5" x14ac:dyDescent="0.35">
      <c r="A100" t="s">
        <v>106</v>
      </c>
      <c r="B100" s="1" t="s">
        <v>150</v>
      </c>
      <c r="C100" s="3" t="str">
        <f>'Sheet1 (2)'!C100&amp;"±"&amp;'Sheet1 (2)'!D100</f>
        <v>61.7±43.4</v>
      </c>
      <c r="D100" s="3" t="str">
        <f>'Sheet1 (2)'!E100&amp;"±"&amp;'Sheet1 (2)'!F100</f>
        <v>58±40.4</v>
      </c>
      <c r="E100" s="3" t="str">
        <f>'Sheet1 (2)'!G100&amp;"±"&amp;'Sheet1 (2)'!H100</f>
        <v>28.8±21</v>
      </c>
      <c r="F100" s="3" t="str">
        <f>'Sheet1 (2)'!I100&amp;"±"&amp;'Sheet1 (2)'!J100</f>
        <v>40.1±29.4</v>
      </c>
      <c r="G100" s="3" t="str">
        <f>'Sheet1 (2)'!K100&amp;"±"&amp;'Sheet1 (2)'!L100</f>
        <v>23.8±17.3</v>
      </c>
    </row>
    <row r="101" spans="1:7" ht="16.5" x14ac:dyDescent="0.35">
      <c r="A101" t="s">
        <v>107</v>
      </c>
      <c r="B101" s="1" t="s">
        <v>150</v>
      </c>
      <c r="C101" s="3" t="str">
        <f>'Sheet1 (2)'!C101&amp;"±"&amp;'Sheet1 (2)'!D101</f>
        <v>33.5±24.6</v>
      </c>
      <c r="D101" s="3" t="str">
        <f>'Sheet1 (2)'!E101&amp;"±"&amp;'Sheet1 (2)'!F101</f>
        <v>28.3±21.7</v>
      </c>
      <c r="E101" s="3" t="str">
        <f>'Sheet1 (2)'!G101&amp;"±"&amp;'Sheet1 (2)'!H101</f>
        <v>30.2±22.5</v>
      </c>
      <c r="F101" s="3" t="str">
        <f>'Sheet1 (2)'!I101&amp;"±"&amp;'Sheet1 (2)'!J101</f>
        <v>22.7±17.3</v>
      </c>
      <c r="G101" s="3" t="str">
        <f>'Sheet1 (2)'!K101&amp;"±"&amp;'Sheet1 (2)'!L101</f>
        <v>11.2±9.2</v>
      </c>
    </row>
    <row r="102" spans="1:7" ht="16.5" x14ac:dyDescent="0.35">
      <c r="A102" t="s">
        <v>108</v>
      </c>
      <c r="B102" s="1" t="s">
        <v>150</v>
      </c>
      <c r="C102" s="3" t="str">
        <f>'Sheet1 (2)'!C102&amp;"±"&amp;'Sheet1 (2)'!D102</f>
        <v>75.2±35.4</v>
      </c>
      <c r="D102" s="3" t="str">
        <f>'Sheet1 (2)'!E102&amp;"±"&amp;'Sheet1 (2)'!F102</f>
        <v>67.2±31.5</v>
      </c>
      <c r="E102" s="3" t="str">
        <f>'Sheet1 (2)'!G102&amp;"±"&amp;'Sheet1 (2)'!H102</f>
        <v>59±28.9</v>
      </c>
      <c r="F102" s="3" t="str">
        <f>'Sheet1 (2)'!I102&amp;"±"&amp;'Sheet1 (2)'!J102</f>
        <v>53.4±25.3</v>
      </c>
      <c r="G102" s="3" t="str">
        <f>'Sheet1 (2)'!K102&amp;"±"&amp;'Sheet1 (2)'!L102</f>
        <v>28.8±14.1</v>
      </c>
    </row>
    <row r="103" spans="1:7" ht="16.5" x14ac:dyDescent="0.35">
      <c r="A103" t="s">
        <v>109</v>
      </c>
      <c r="B103" s="1" t="s">
        <v>150</v>
      </c>
      <c r="C103" s="3" t="str">
        <f>'Sheet1 (2)'!C103&amp;"±"&amp;'Sheet1 (2)'!D103</f>
        <v>31.1±23</v>
      </c>
      <c r="D103" s="3" t="str">
        <f>'Sheet1 (2)'!E103&amp;"±"&amp;'Sheet1 (2)'!F103</f>
        <v>26.8±19.8</v>
      </c>
      <c r="E103" s="3" t="str">
        <f>'Sheet1 (2)'!G103&amp;"±"&amp;'Sheet1 (2)'!H103</f>
        <v>22±17.2</v>
      </c>
      <c r="F103" s="3" t="str">
        <f>'Sheet1 (2)'!I103&amp;"±"&amp;'Sheet1 (2)'!J103</f>
        <v>21±15.8</v>
      </c>
      <c r="G103" s="3" t="str">
        <f>'Sheet1 (2)'!K103&amp;"±"&amp;'Sheet1 (2)'!L103</f>
        <v>12.2±8.9</v>
      </c>
    </row>
    <row r="104" spans="1:7" ht="16.5" x14ac:dyDescent="0.35">
      <c r="A104" t="s">
        <v>110</v>
      </c>
      <c r="B104" s="1" t="s">
        <v>150</v>
      </c>
      <c r="C104" s="3" t="str">
        <f>'Sheet1 (2)'!C104&amp;"±"&amp;'Sheet1 (2)'!D104</f>
        <v>9±5.2</v>
      </c>
      <c r="D104" s="3" t="str">
        <f>'Sheet1 (2)'!E104&amp;"±"&amp;'Sheet1 (2)'!F104</f>
        <v>0.4±0.3</v>
      </c>
      <c r="E104" s="3" t="str">
        <f>'Sheet1 (2)'!G104&amp;"±"&amp;'Sheet1 (2)'!H104</f>
        <v>0.01±0.01</v>
      </c>
      <c r="F104" s="3" t="str">
        <f>'Sheet1 (2)'!I104&amp;"±"&amp;'Sheet1 (2)'!J104</f>
        <v>0.2±0.1</v>
      </c>
      <c r="G104" s="3" t="str">
        <f>'Sheet1 (2)'!K104&amp;"±"&amp;'Sheet1 (2)'!L104</f>
        <v>1.1±0.8</v>
      </c>
    </row>
    <row r="105" spans="1:7" ht="16.5" x14ac:dyDescent="0.35">
      <c r="A105" t="s">
        <v>111</v>
      </c>
      <c r="B105" s="1" t="s">
        <v>150</v>
      </c>
      <c r="C105" s="3" t="str">
        <f>'Sheet1 (2)'!C105&amp;"±"&amp;'Sheet1 (2)'!D105</f>
        <v>210.7±58.1</v>
      </c>
      <c r="D105" s="3" t="str">
        <f>'Sheet1 (2)'!E105&amp;"±"&amp;'Sheet1 (2)'!F105</f>
        <v>89.4±31.5</v>
      </c>
      <c r="E105" s="3" t="str">
        <f>'Sheet1 (2)'!G105&amp;"±"&amp;'Sheet1 (2)'!H105</f>
        <v>0.7±0.3</v>
      </c>
      <c r="F105" s="3" t="str">
        <f>'Sheet1 (2)'!I105&amp;"±"&amp;'Sheet1 (2)'!J105</f>
        <v>137.8±39</v>
      </c>
      <c r="G105" s="3" t="str">
        <f>'Sheet1 (2)'!K105&amp;"±"&amp;'Sheet1 (2)'!L105</f>
        <v>0.4±0.2</v>
      </c>
    </row>
    <row r="106" spans="1:7" ht="16.5" x14ac:dyDescent="0.35">
      <c r="A106" t="s">
        <v>112</v>
      </c>
      <c r="B106" s="1" t="s">
        <v>150</v>
      </c>
      <c r="C106" s="3" t="str">
        <f>'Sheet1 (2)'!C106&amp;"±"&amp;'Sheet1 (2)'!D106</f>
        <v>840.4±495.8</v>
      </c>
      <c r="D106" s="3" t="str">
        <f>'Sheet1 (2)'!E106&amp;"±"&amp;'Sheet1 (2)'!F106</f>
        <v>228.2±142.3</v>
      </c>
      <c r="E106" s="3" t="str">
        <f>'Sheet1 (2)'!G106&amp;"±"&amp;'Sheet1 (2)'!H106</f>
        <v>11.9±5.8</v>
      </c>
      <c r="F106" s="3" t="str">
        <f>'Sheet1 (2)'!I106&amp;"±"&amp;'Sheet1 (2)'!J106</f>
        <v>398.8±182.7</v>
      </c>
      <c r="G106" s="3" t="str">
        <f>'Sheet1 (2)'!K106&amp;"±2.4E-14"</f>
        <v>2.5±2.4E-14</v>
      </c>
    </row>
    <row r="107" spans="1:7" ht="16.5" x14ac:dyDescent="0.35">
      <c r="A107" t="s">
        <v>113</v>
      </c>
      <c r="B107" s="1" t="s">
        <v>150</v>
      </c>
      <c r="C107" s="3" t="str">
        <f>'Sheet1 (2)'!C107&amp;"±"&amp;'Sheet1 (2)'!D107</f>
        <v>424.1±291.9</v>
      </c>
      <c r="D107" s="3" t="str">
        <f>'Sheet1 (2)'!E107&amp;"±"&amp;'Sheet1 (2)'!F107</f>
        <v>152.9±94.1</v>
      </c>
      <c r="E107" s="3" t="str">
        <f>'Sheet1 (2)'!G107&amp;"±"&amp;'Sheet1 (2)'!H107</f>
        <v>7.1±4.5</v>
      </c>
      <c r="F107" s="3" t="str">
        <f>'Sheet1 (2)'!I107&amp;"±"&amp;'Sheet1 (2)'!J107</f>
        <v>211.1±116.4</v>
      </c>
      <c r="G107" s="3" t="str">
        <f>'Sheet1 (2)'!K107&amp;"±1.7E-14"</f>
        <v>1.4±1.7E-14</v>
      </c>
    </row>
    <row r="108" spans="1:7" ht="16.5" x14ac:dyDescent="0.35">
      <c r="A108" t="s">
        <v>114</v>
      </c>
      <c r="B108" s="1" t="s">
        <v>150</v>
      </c>
      <c r="C108" s="3" t="str">
        <f>'Sheet1 (2)'!C108&amp;"±"&amp;'Sheet1 (2)'!D108</f>
        <v>943.1±299.5</v>
      </c>
      <c r="D108" s="3" t="str">
        <f>'Sheet1 (2)'!E108&amp;"±"&amp;'Sheet1 (2)'!F108</f>
        <v>746.4±173.3</v>
      </c>
      <c r="E108" s="3" t="str">
        <f>'Sheet1 (2)'!G108&amp;"±"&amp;'Sheet1 (2)'!H108</f>
        <v>16.5±4.1</v>
      </c>
      <c r="F108" s="3" t="str">
        <f>'Sheet1 (2)'!I108&amp;"±"&amp;'Sheet1 (2)'!J108</f>
        <v>920.9±173.9</v>
      </c>
      <c r="G108" s="3" t="str">
        <f>'Sheet1 (2)'!K108&amp;"±"&amp;'Sheet1 (2)'!L108</f>
        <v>4±1.1</v>
      </c>
    </row>
    <row r="109" spans="1:7" ht="16.5" x14ac:dyDescent="0.35">
      <c r="A109" t="s">
        <v>115</v>
      </c>
      <c r="B109" s="1" t="s">
        <v>150</v>
      </c>
      <c r="C109" s="3" t="str">
        <f>'Sheet1 (2)'!C109&amp;"±"&amp;'Sheet1 (2)'!D109</f>
        <v>571.3±259.8</v>
      </c>
      <c r="D109" s="3" t="str">
        <f>'Sheet1 (2)'!E109&amp;"±"&amp;'Sheet1 (2)'!F109</f>
        <v>210.5±88.3</v>
      </c>
      <c r="E109" s="3" t="str">
        <f>'Sheet1 (2)'!G109&amp;"±"&amp;'Sheet1 (2)'!H109</f>
        <v>13±5</v>
      </c>
      <c r="F109" s="3" t="str">
        <f>'Sheet1 (2)'!I109&amp;"±"&amp;'Sheet1 (2)'!J109</f>
        <v>208±84.6</v>
      </c>
      <c r="G109" s="3" t="str">
        <f>'Sheet1 (2)'!K109&amp;"±"&amp;'Sheet1 (2)'!L109</f>
        <v>1.6±0.9</v>
      </c>
    </row>
    <row r="110" spans="1:7" ht="16.5" x14ac:dyDescent="0.35">
      <c r="A110" t="s">
        <v>116</v>
      </c>
      <c r="B110" s="1" t="s">
        <v>150</v>
      </c>
      <c r="C110" s="3" t="str">
        <f>'Sheet1 (2)'!C110&amp;"±"&amp;'Sheet1 (2)'!D110</f>
        <v>68.1±31.1</v>
      </c>
      <c r="D110" s="3" t="str">
        <f>'Sheet1 (2)'!E110&amp;"±"&amp;'Sheet1 (2)'!F110</f>
        <v>34.4±15.7</v>
      </c>
      <c r="E110" s="3" t="str">
        <f>'Sheet1 (2)'!G110&amp;"±"&amp;'Sheet1 (2)'!H110</f>
        <v>0.3±0.1</v>
      </c>
      <c r="F110" s="3" t="str">
        <f>'Sheet1 (2)'!I110&amp;"±"&amp;'Sheet1 (2)'!J110</f>
        <v>44.9±20.6</v>
      </c>
      <c r="G110" s="3" t="str">
        <f>'Sheet1 (2)'!K110&amp;"±"&amp;'Sheet1 (2)'!L110</f>
        <v>0.2±0.1</v>
      </c>
    </row>
    <row r="111" spans="1:7" ht="16.5" x14ac:dyDescent="0.35">
      <c r="A111" t="s">
        <v>117</v>
      </c>
      <c r="B111" s="1" t="s">
        <v>150</v>
      </c>
      <c r="C111" s="3" t="str">
        <f>'Sheet1 (2)'!C111&amp;"±"&amp;'Sheet1 (2)'!D111</f>
        <v>707.7±467</v>
      </c>
      <c r="D111" s="3" t="str">
        <f>'Sheet1 (2)'!E111&amp;"±"&amp;'Sheet1 (2)'!F111</f>
        <v>211.9±138.3</v>
      </c>
      <c r="E111" s="3" t="str">
        <f>'Sheet1 (2)'!G111&amp;"±"&amp;'Sheet1 (2)'!H111</f>
        <v>5.8±3.8</v>
      </c>
      <c r="F111" s="3" t="str">
        <f>'Sheet1 (2)'!I111&amp;"±"&amp;'Sheet1 (2)'!J111</f>
        <v>160.9±141.8</v>
      </c>
      <c r="G111" s="3" t="str">
        <f>'Sheet1 (2)'!K111&amp;"±"&amp;'Sheet1 (2)'!L111</f>
        <v>0.1±0</v>
      </c>
    </row>
    <row r="112" spans="1:7" ht="16.5" x14ac:dyDescent="0.35">
      <c r="A112" t="s">
        <v>118</v>
      </c>
      <c r="B112" s="1" t="s">
        <v>150</v>
      </c>
      <c r="C112" s="3" t="str">
        <f>'Sheet1 (2)'!C112&amp;"±"&amp;'Sheet1 (2)'!D112</f>
        <v>359.4±259.7</v>
      </c>
      <c r="D112" s="3" t="str">
        <f>'Sheet1 (2)'!E112&amp;"±"&amp;'Sheet1 (2)'!F112</f>
        <v>109.2±80.8</v>
      </c>
      <c r="E112" s="3" t="str">
        <f>'Sheet1 (2)'!G112&amp;"±"&amp;'Sheet1 (2)'!H112</f>
        <v>3.9±2.7</v>
      </c>
      <c r="F112" s="3" t="str">
        <f>'Sheet1 (2)'!I112&amp;"±"&amp;'Sheet1 (2)'!J112</f>
        <v>113.9±93.1</v>
      </c>
      <c r="G112" s="3" t="str">
        <f>'Sheet1 (2)'!K112&amp;"±"&amp;'Sheet1 (2)'!L112</f>
        <v>0±0</v>
      </c>
    </row>
    <row r="113" spans="1:7" ht="16.5" x14ac:dyDescent="0.35">
      <c r="A113" t="s">
        <v>119</v>
      </c>
      <c r="B113" s="1" t="s">
        <v>150</v>
      </c>
      <c r="C113" s="3" t="str">
        <f>'Sheet1 (2)'!C113&amp;"±"&amp;'Sheet1 (2)'!D113</f>
        <v>111.9±30.7</v>
      </c>
      <c r="D113" s="3" t="str">
        <f>'Sheet1 (2)'!E113&amp;"±"&amp;'Sheet1 (2)'!F113</f>
        <v>54.2±16.3</v>
      </c>
      <c r="E113" s="3" t="str">
        <f>'Sheet1 (2)'!G113&amp;"±"&amp;'Sheet1 (2)'!H113</f>
        <v>0.4±0.2</v>
      </c>
      <c r="F113" s="3" t="str">
        <f>'Sheet1 (2)'!I113&amp;"±"&amp;'Sheet1 (2)'!J113</f>
        <v>75.1±20.3</v>
      </c>
      <c r="G113" s="3" t="str">
        <f>'Sheet1 (2)'!K113&amp;"±"&amp;'Sheet1 (2)'!L113</f>
        <v>0.3±0.1</v>
      </c>
    </row>
    <row r="114" spans="1:7" ht="16.5" x14ac:dyDescent="0.35">
      <c r="A114" t="s">
        <v>120</v>
      </c>
      <c r="B114" s="1" t="s">
        <v>150</v>
      </c>
      <c r="C114" s="3" t="str">
        <f>'Sheet1 (2)'!C114&amp;"±"&amp;'Sheet1 (2)'!D114</f>
        <v>459.4±261.2</v>
      </c>
      <c r="D114" s="3" t="str">
        <f>'Sheet1 (2)'!E114&amp;"±"&amp;'Sheet1 (2)'!F114</f>
        <v>156.3±89.2</v>
      </c>
      <c r="E114" s="3" t="str">
        <f>'Sheet1 (2)'!G114&amp;"±"&amp;'Sheet1 (2)'!H114</f>
        <v>12.6±5</v>
      </c>
      <c r="F114" s="3" t="str">
        <f>'Sheet1 (2)'!I114&amp;"±"&amp;'Sheet1 (2)'!J114</f>
        <v>132.9±85.1</v>
      </c>
      <c r="G114" s="3" t="str">
        <f>'Sheet1 (2)'!K114&amp;"±"&amp;'Sheet1 (2)'!L114</f>
        <v>1.3±0.9</v>
      </c>
    </row>
    <row r="115" spans="1:7" ht="16.5" x14ac:dyDescent="0.35">
      <c r="A115" t="s">
        <v>121</v>
      </c>
      <c r="B115" s="1" t="s">
        <v>150</v>
      </c>
      <c r="C115" s="3" t="str">
        <f>'Sheet1 (2)'!C115&amp;"±"&amp;'Sheet1 (2)'!D115</f>
        <v>0.2±0.1</v>
      </c>
      <c r="D115" s="3" t="str">
        <f>'Sheet1 (2)'!E115&amp;"±"&amp;'Sheet1 (2)'!F115</f>
        <v>0.01±0.003</v>
      </c>
      <c r="E115" s="3" t="str">
        <f>'Sheet1 (2)'!G115&amp;"±"&amp;'Sheet1 (2)'!H115</f>
        <v>0.0002±0.0001</v>
      </c>
      <c r="F115" s="3" t="str">
        <f>'Sheet1 (2)'!I115&amp;"±"&amp;'Sheet1 (2)'!J115</f>
        <v>0.02±0.01</v>
      </c>
      <c r="G115" s="3" t="str">
        <f>'Sheet1 (2)'!K115&amp;"±"&amp;'Sheet1 (2)'!L115</f>
        <v>0.2±0.1</v>
      </c>
    </row>
    <row r="116" spans="1:7" ht="16.5" x14ac:dyDescent="0.35">
      <c r="A116" t="s">
        <v>122</v>
      </c>
      <c r="B116" s="1" t="s">
        <v>150</v>
      </c>
      <c r="C116" s="3" t="str">
        <f>'Sheet1 (2)'!C116&amp;"±"&amp;'Sheet1 (2)'!D116</f>
        <v>3±0.7</v>
      </c>
      <c r="D116" s="3" t="str">
        <f>'Sheet1 (2)'!E116&amp;"±"&amp;'Sheet1 (2)'!F116</f>
        <v>0.1±0.03</v>
      </c>
      <c r="E116" s="3" t="str">
        <f>'Sheet1 (2)'!G116&amp;"±"&amp;'Sheet1 (2)'!H116</f>
        <v>0.01±0.001</v>
      </c>
      <c r="F116" s="3" t="str">
        <f>'Sheet1 (2)'!I116&amp;"±"&amp;'Sheet1 (2)'!J116</f>
        <v>0.6±0.1</v>
      </c>
      <c r="G116" s="3" t="str">
        <f>'Sheet1 (2)'!K116&amp;"±"&amp;'Sheet1 (2)'!L116</f>
        <v>3.3±0.6</v>
      </c>
    </row>
    <row r="117" spans="1:7" ht="16.5" x14ac:dyDescent="0.35">
      <c r="A117" t="s">
        <v>123</v>
      </c>
      <c r="B117" s="1" t="s">
        <v>150</v>
      </c>
      <c r="C117" s="3" t="str">
        <f>'Sheet1 (2)'!C117&amp;"±"&amp;'Sheet1 (2)'!D117</f>
        <v>0.7±0.3</v>
      </c>
      <c r="D117" s="3" t="str">
        <f>'Sheet1 (2)'!E117&amp;"±"&amp;'Sheet1 (2)'!F117</f>
        <v>0.03±0.01</v>
      </c>
      <c r="E117" s="3" t="str">
        <f>'Sheet1 (2)'!G117&amp;"±"&amp;'Sheet1 (2)'!H117</f>
        <v>0.001±0.0003</v>
      </c>
      <c r="F117" s="3" t="str">
        <f>'Sheet1 (2)'!I117&amp;"±"&amp;'Sheet1 (2)'!J117</f>
        <v>0.1±0.03</v>
      </c>
      <c r="G117" s="3" t="str">
        <f>'Sheet1 (2)'!K117&amp;"±"&amp;'Sheet1 (2)'!L117</f>
        <v>0.7±0.3</v>
      </c>
    </row>
    <row r="118" spans="1:7" ht="16.5" x14ac:dyDescent="0.35">
      <c r="A118" t="s">
        <v>124</v>
      </c>
      <c r="B118" s="1" t="s">
        <v>150</v>
      </c>
      <c r="C118" s="3" t="str">
        <f>'Sheet1 (2)'!C118&amp;"±"&amp;'Sheet1 (2)'!D118</f>
        <v>9.4±2.3</v>
      </c>
      <c r="D118" s="3" t="str">
        <f>'Sheet1 (2)'!E118&amp;"±"&amp;'Sheet1 (2)'!F118</f>
        <v>0.4±0.1</v>
      </c>
      <c r="E118" s="3" t="str">
        <f>'Sheet1 (2)'!G118&amp;"±"&amp;'Sheet1 (2)'!H118</f>
        <v>0.02±0.002</v>
      </c>
      <c r="F118" s="3" t="str">
        <f>'Sheet1 (2)'!I118&amp;"±"&amp;'Sheet1 (2)'!J118</f>
        <v>1.7±0.5</v>
      </c>
      <c r="G118" s="3" t="str">
        <f>'Sheet1 (2)'!K118&amp;"±"&amp;'Sheet1 (2)'!L118</f>
        <v>9.6±2.6</v>
      </c>
    </row>
    <row r="119" spans="1:7" ht="16.5" x14ac:dyDescent="0.35">
      <c r="A119" t="s">
        <v>125</v>
      </c>
      <c r="B119" s="1" t="s">
        <v>150</v>
      </c>
      <c r="C119" s="3" t="str">
        <f>'Sheet1 (2)'!C119&amp;"±"&amp;'Sheet1 (2)'!D119</f>
        <v>4.4±1.8</v>
      </c>
      <c r="D119" s="3" t="str">
        <f>'Sheet1 (2)'!E119&amp;"±"&amp;'Sheet1 (2)'!F119</f>
        <v>0.2±0.1</v>
      </c>
      <c r="E119" s="3" t="str">
        <f>'Sheet1 (2)'!G119&amp;"±"&amp;'Sheet1 (2)'!H119</f>
        <v>0.01±0.002</v>
      </c>
      <c r="F119" s="3" t="str">
        <f>'Sheet1 (2)'!I119&amp;"±"&amp;'Sheet1 (2)'!J119</f>
        <v>0.9±0.3</v>
      </c>
      <c r="G119" s="3" t="str">
        <f>'Sheet1 (2)'!K119&amp;"±"&amp;'Sheet1 (2)'!L119</f>
        <v>4.7±1.7</v>
      </c>
    </row>
    <row r="120" spans="1:7" ht="16.5" x14ac:dyDescent="0.35">
      <c r="A120" t="s">
        <v>126</v>
      </c>
      <c r="B120" s="1" t="s">
        <v>150</v>
      </c>
      <c r="C120" s="3" t="str">
        <f>'Sheet1 (2)'!C120&amp;"±"&amp;'Sheet1 (2)'!D120</f>
        <v>5.4±2.7</v>
      </c>
      <c r="D120" s="3" t="str">
        <f>'Sheet1 (2)'!E120&amp;"±"&amp;'Sheet1 (2)'!F120</f>
        <v>0.2±0.1</v>
      </c>
      <c r="E120" s="3" t="str">
        <f>'Sheet1 (2)'!G120&amp;"±"&amp;'Sheet1 (2)'!H120</f>
        <v>0.01±0.002</v>
      </c>
      <c r="F120" s="3" t="str">
        <f>'Sheet1 (2)'!I120&amp;"±"&amp;'Sheet1 (2)'!J120</f>
        <v>1.3±0.5</v>
      </c>
      <c r="G120" s="3" t="str">
        <f>'Sheet1 (2)'!K120&amp;"±"&amp;'Sheet1 (2)'!L120</f>
        <v>6.4±2.9</v>
      </c>
    </row>
    <row r="121" spans="1:7" ht="16.5" x14ac:dyDescent="0.35">
      <c r="A121" t="s">
        <v>127</v>
      </c>
      <c r="B121" s="1" t="s">
        <v>150</v>
      </c>
      <c r="C121" s="3" t="str">
        <f>'Sheet1 (2)'!C121&amp;"±"&amp;'Sheet1 (2)'!D121</f>
        <v>7.1±2.7</v>
      </c>
      <c r="D121" s="3" t="str">
        <f>'Sheet1 (2)'!E121&amp;"±"&amp;'Sheet1 (2)'!F121</f>
        <v>6.9±2.6</v>
      </c>
      <c r="E121" s="3" t="str">
        <f>'Sheet1 (2)'!G121&amp;"±"&amp;'Sheet1 (2)'!H121</f>
        <v>5.7±2.2</v>
      </c>
      <c r="F121" s="3" t="str">
        <f>'Sheet1 (2)'!I121&amp;"±"&amp;'Sheet1 (2)'!J121</f>
        <v>5.1±2</v>
      </c>
      <c r="G121" s="3" t="str">
        <f>'Sheet1 (2)'!K121&amp;"±"&amp;'Sheet1 (2)'!L121</f>
        <v>2.2±0.9</v>
      </c>
    </row>
    <row r="122" spans="1:7" ht="16.5" x14ac:dyDescent="0.35">
      <c r="A122" t="s">
        <v>128</v>
      </c>
      <c r="B122" s="1" t="s">
        <v>150</v>
      </c>
      <c r="C122" s="3" t="str">
        <f>'Sheet1 (2)'!C122&amp;"±"&amp;'Sheet1 (2)'!D122</f>
        <v>3.6±1.5</v>
      </c>
      <c r="D122" s="3" t="str">
        <f>'Sheet1 (2)'!E122&amp;"±"&amp;'Sheet1 (2)'!F122</f>
        <v>3.4±1.5</v>
      </c>
      <c r="E122" s="3" t="str">
        <f>'Sheet1 (2)'!G122&amp;"±"&amp;'Sheet1 (2)'!H122</f>
        <v>2.9±1.2</v>
      </c>
      <c r="F122" s="3" t="str">
        <f>'Sheet1 (2)'!I122&amp;"±"&amp;'Sheet1 (2)'!J122</f>
        <v>2.6±1.1</v>
      </c>
      <c r="G122" s="3" t="str">
        <f>'Sheet1 (2)'!K122&amp;"±"&amp;'Sheet1 (2)'!L122</f>
        <v>1.1±0.5</v>
      </c>
    </row>
    <row r="123" spans="1:7" ht="16.5" x14ac:dyDescent="0.35">
      <c r="A123" t="s">
        <v>129</v>
      </c>
      <c r="B123" s="1" t="s">
        <v>150</v>
      </c>
      <c r="C123" s="3" t="str">
        <f>'Sheet1 (2)'!C123&amp;"±"&amp;'Sheet1 (2)'!D123</f>
        <v>5±2.4</v>
      </c>
      <c r="D123" s="3" t="str">
        <f>'Sheet1 (2)'!E123&amp;"±"&amp;'Sheet1 (2)'!F123</f>
        <v>4.9±2.4</v>
      </c>
      <c r="E123" s="3" t="str">
        <f>'Sheet1 (2)'!G123&amp;"±"&amp;'Sheet1 (2)'!H123</f>
        <v>4±2</v>
      </c>
      <c r="F123" s="3" t="str">
        <f>'Sheet1 (2)'!I123&amp;"±"&amp;'Sheet1 (2)'!J123</f>
        <v>3.5±1.8</v>
      </c>
      <c r="G123" s="3" t="str">
        <f>'Sheet1 (2)'!K123&amp;"±"&amp;'Sheet1 (2)'!L123</f>
        <v>1.6±0.8</v>
      </c>
    </row>
    <row r="124" spans="1:7" ht="16.5" x14ac:dyDescent="0.35">
      <c r="A124" t="s">
        <v>130</v>
      </c>
      <c r="B124" s="1" t="s">
        <v>150</v>
      </c>
      <c r="C124" s="3" t="str">
        <f>'Sheet1 (2)'!C124&amp;"±"&amp;'Sheet1 (2)'!D124</f>
        <v>2.9±1.5</v>
      </c>
      <c r="D124" s="3" t="str">
        <f>'Sheet1 (2)'!E124&amp;"±"&amp;'Sheet1 (2)'!F124</f>
        <v>2.7±1.4</v>
      </c>
      <c r="E124" s="3" t="str">
        <f>'Sheet1 (2)'!G124&amp;"±"&amp;'Sheet1 (2)'!H124</f>
        <v>2.3±1.2</v>
      </c>
      <c r="F124" s="3" t="str">
        <f>'Sheet1 (2)'!I124&amp;"±"&amp;'Sheet1 (2)'!J124</f>
        <v>2.1±1.1</v>
      </c>
      <c r="G124" s="3" t="str">
        <f>'Sheet1 (2)'!K124&amp;"±"&amp;'Sheet1 (2)'!L124</f>
        <v>0.9±0.5</v>
      </c>
    </row>
    <row r="125" spans="1:7" ht="16.5" x14ac:dyDescent="0.35">
      <c r="A125" t="s">
        <v>131</v>
      </c>
      <c r="B125" s="1" t="s">
        <v>150</v>
      </c>
      <c r="C125" s="3" t="str">
        <f>'Sheet1 (2)'!C125&amp;"±"&amp;'Sheet1 (2)'!D125</f>
        <v>42.9±17</v>
      </c>
      <c r="D125" s="3" t="str">
        <f>'Sheet1 (2)'!E125&amp;"±"&amp;'Sheet1 (2)'!F125</f>
        <v>24.2±9.2</v>
      </c>
      <c r="E125" s="3" t="str">
        <f>'Sheet1 (2)'!G125&amp;"±"&amp;'Sheet1 (2)'!H125</f>
        <v>0.4±0.1</v>
      </c>
      <c r="F125" s="3" t="str">
        <f>'Sheet1 (2)'!I125&amp;"±"&amp;'Sheet1 (2)'!J125</f>
        <v>28.8±11.3</v>
      </c>
      <c r="G125" s="3" t="str">
        <f>'Sheet1 (2)'!K125&amp;"±"&amp;'Sheet1 (2)'!L125</f>
        <v>0.2±0.1</v>
      </c>
    </row>
    <row r="126" spans="1:7" ht="16.5" x14ac:dyDescent="0.35">
      <c r="A126" t="s">
        <v>132</v>
      </c>
      <c r="B126" s="1" t="s">
        <v>150</v>
      </c>
      <c r="C126" s="3" t="str">
        <f>'Sheet1 (2)'!C126&amp;"±"&amp;'Sheet1 (2)'!D126</f>
        <v>21.6±9.5</v>
      </c>
      <c r="D126" s="3" t="str">
        <f>'Sheet1 (2)'!E126&amp;"±"&amp;'Sheet1 (2)'!F126</f>
        <v>12.2±5.2</v>
      </c>
      <c r="E126" s="3" t="str">
        <f>'Sheet1 (2)'!G126&amp;"±"&amp;'Sheet1 (2)'!H126</f>
        <v>0.2±0.1</v>
      </c>
      <c r="F126" s="3" t="str">
        <f>'Sheet1 (2)'!I126&amp;"±"&amp;'Sheet1 (2)'!J126</f>
        <v>14.5±6.3</v>
      </c>
      <c r="G126" s="3" t="str">
        <f>'Sheet1 (2)'!K126&amp;"±"&amp;'Sheet1 (2)'!L126</f>
        <v>0.1±0.05</v>
      </c>
    </row>
    <row r="127" spans="1:7" ht="16.5" x14ac:dyDescent="0.35">
      <c r="A127" t="s">
        <v>133</v>
      </c>
      <c r="B127" s="1" t="s">
        <v>150</v>
      </c>
      <c r="C127" s="3" t="str">
        <f>'Sheet1 (2)'!C127&amp;"±"&amp;'Sheet1 (2)'!D127</f>
        <v>30.2±15.1</v>
      </c>
      <c r="D127" s="3" t="str">
        <f>'Sheet1 (2)'!E127&amp;"±"&amp;'Sheet1 (2)'!F127</f>
        <v>17.4±8.5</v>
      </c>
      <c r="E127" s="3" t="str">
        <f>'Sheet1 (2)'!G127&amp;"±"&amp;'Sheet1 (2)'!H127</f>
        <v>0.3±0.1</v>
      </c>
      <c r="F127" s="3" t="str">
        <f>'Sheet1 (2)'!I127&amp;"±"&amp;'Sheet1 (2)'!J127</f>
        <v>20.5±10.2</v>
      </c>
      <c r="G127" s="3" t="str">
        <f>'Sheet1 (2)'!K127&amp;"±"&amp;'Sheet1 (2)'!L127</f>
        <v>0.2±0.1</v>
      </c>
    </row>
    <row r="128" spans="1:7" ht="16.5" x14ac:dyDescent="0.35">
      <c r="A128" t="s">
        <v>134</v>
      </c>
      <c r="B128" s="1" t="s">
        <v>150</v>
      </c>
      <c r="C128" s="3" t="str">
        <f>'Sheet1 (2)'!C128&amp;"±"&amp;'Sheet1 (2)'!D128</f>
        <v>17.3±9.3</v>
      </c>
      <c r="D128" s="3" t="str">
        <f>'Sheet1 (2)'!E128&amp;"±"&amp;'Sheet1 (2)'!F128</f>
        <v>9.8±5.2</v>
      </c>
      <c r="E128" s="3" t="str">
        <f>'Sheet1 (2)'!G128&amp;"±"&amp;'Sheet1 (2)'!H128</f>
        <v>0.2±0.1</v>
      </c>
      <c r="F128" s="3" t="str">
        <f>'Sheet1 (2)'!I128&amp;"±"&amp;'Sheet1 (2)'!J128</f>
        <v>11.7±6.2</v>
      </c>
      <c r="G128" s="3" t="str">
        <f>'Sheet1 (2)'!K128&amp;"±"&amp;'Sheet1 (2)'!L128</f>
        <v>0.1±0.04</v>
      </c>
    </row>
    <row r="129" spans="1:7" ht="16.5" x14ac:dyDescent="0.35">
      <c r="A129" t="s">
        <v>135</v>
      </c>
      <c r="B129" s="1" t="s">
        <v>150</v>
      </c>
      <c r="C129" s="3" t="str">
        <f>'Sheet1 (2)'!C129&amp;"±"&amp;'Sheet1 (2)'!D129</f>
        <v>7615.5±1466.2</v>
      </c>
      <c r="D129" s="3" t="str">
        <f>'Sheet1 (2)'!E129&amp;"±"&amp;'Sheet1 (2)'!F129</f>
        <v>4248.5±723.6</v>
      </c>
      <c r="E129" s="3" t="str">
        <f>'Sheet1 (2)'!G129&amp;"±"&amp;'Sheet1 (2)'!H129</f>
        <v>4850.2±636.6</v>
      </c>
      <c r="F129" s="3" t="str">
        <f>'Sheet1 (2)'!I129&amp;"±"&amp;'Sheet1 (2)'!J129</f>
        <v>4666.7±708.2</v>
      </c>
      <c r="G129" s="3" t="str">
        <f>'Sheet1 (2)'!K129&amp;"±"&amp;'Sheet1 (2)'!L129</f>
        <v>2951.4±518.9</v>
      </c>
    </row>
    <row r="130" spans="1:7" ht="16.5" x14ac:dyDescent="0.35">
      <c r="A130" t="s">
        <v>136</v>
      </c>
      <c r="B130" s="1" t="s">
        <v>150</v>
      </c>
      <c r="C130" s="3" t="str">
        <f>'Sheet1 (2)'!C130&amp;"±"&amp;'Sheet1 (2)'!D130</f>
        <v>1437.4±463.4</v>
      </c>
      <c r="D130" s="3" t="str">
        <f>'Sheet1 (2)'!E130&amp;"±"&amp;'Sheet1 (2)'!F130</f>
        <v>2179.7±436.4</v>
      </c>
      <c r="E130" s="3" t="str">
        <f>'Sheet1 (2)'!G130&amp;"±"&amp;'Sheet1 (2)'!H130</f>
        <v>4680.7±1090.8</v>
      </c>
      <c r="F130" s="3" t="str">
        <f>'Sheet1 (2)'!I130&amp;"±"&amp;'Sheet1 (2)'!J130</f>
        <v>1238.2±487.5</v>
      </c>
      <c r="G130" s="3" t="str">
        <f>'Sheet1 (2)'!K130&amp;"±"&amp;'Sheet1 (2)'!L130</f>
        <v>1407.8±406.3</v>
      </c>
    </row>
    <row r="131" spans="1:7" ht="16.5" x14ac:dyDescent="0.35">
      <c r="A131" t="s">
        <v>137</v>
      </c>
      <c r="B131" s="1" t="s">
        <v>150</v>
      </c>
      <c r="C131" s="3" t="str">
        <f>'Sheet1 (2)'!C131&amp;"±"&amp;'Sheet1 (2)'!D131</f>
        <v>444.4±321.4</v>
      </c>
      <c r="D131" s="3" t="str">
        <f>'Sheet1 (2)'!E131&amp;"±"&amp;'Sheet1 (2)'!F131</f>
        <v>107±71.2</v>
      </c>
      <c r="E131" s="3" t="str">
        <f>'Sheet1 (2)'!G131&amp;"±"&amp;'Sheet1 (2)'!H131</f>
        <v>112±98.5</v>
      </c>
      <c r="F131" s="3" t="str">
        <f>'Sheet1 (2)'!I131&amp;"±"&amp;'Sheet1 (2)'!J131</f>
        <v>1396.4±685.9</v>
      </c>
      <c r="G131" s="3" t="str">
        <f>'Sheet1 (2)'!K131&amp;"±"&amp;'Sheet1 (2)'!L131</f>
        <v>275.8±188.2</v>
      </c>
    </row>
    <row r="132" spans="1:7" ht="16.5" x14ac:dyDescent="0.35">
      <c r="A132" t="s">
        <v>138</v>
      </c>
      <c r="B132" s="1" t="s">
        <v>150</v>
      </c>
      <c r="C132" s="3" t="str">
        <f>'Sheet1 (2)'!C132&amp;"±"&amp;'Sheet1 (2)'!D132</f>
        <v>584.9±467.4</v>
      </c>
      <c r="D132" s="3" t="str">
        <f>'Sheet1 (2)'!E132&amp;"±"&amp;'Sheet1 (2)'!F132</f>
        <v>179.5±171.4</v>
      </c>
      <c r="E132" s="3" t="str">
        <f>'Sheet1 (2)'!G132&amp;"±"&amp;'Sheet1 (2)'!H132</f>
        <v>580.4±506.5</v>
      </c>
      <c r="F132" s="3" t="str">
        <f>'Sheet1 (2)'!I132&amp;"±"&amp;'Sheet1 (2)'!J132</f>
        <v>299.4±270.3</v>
      </c>
      <c r="G132" s="3" t="str">
        <f>'Sheet1 (2)'!K132&amp;"±"&amp;'Sheet1 (2)'!L132</f>
        <v>196.2±178.3</v>
      </c>
    </row>
    <row r="133" spans="1:7" ht="16.5" x14ac:dyDescent="0.35">
      <c r="A133" t="s">
        <v>139</v>
      </c>
      <c r="B133" s="1" t="s">
        <v>150</v>
      </c>
      <c r="C133" s="3" t="str">
        <f>'Sheet1 (2)'!C133&amp;"±"&amp;'Sheet1 (2)'!D133</f>
        <v>387.4±298.2</v>
      </c>
      <c r="D133" s="3" t="str">
        <f>'Sheet1 (2)'!E133&amp;"±"&amp;'Sheet1 (2)'!F133</f>
        <v>52.1±43.9</v>
      </c>
      <c r="E133" s="3" t="str">
        <f>'Sheet1 (2)'!G133&amp;"±"&amp;'Sheet1 (2)'!H133</f>
        <v>81.8±82.3</v>
      </c>
      <c r="F133" s="3" t="str">
        <f>'Sheet1 (2)'!I133&amp;"±"&amp;'Sheet1 (2)'!J133</f>
        <v>244.2±224.1</v>
      </c>
      <c r="G133" s="3" t="str">
        <f>'Sheet1 (2)'!K133&amp;"±"&amp;'Sheet1 (2)'!L133</f>
        <v>105.4±97.4</v>
      </c>
    </row>
    <row r="134" spans="1:7" ht="16.5" x14ac:dyDescent="0.35">
      <c r="A134" t="s">
        <v>140</v>
      </c>
      <c r="B134" s="1" t="s">
        <v>150</v>
      </c>
      <c r="C134" s="3" t="str">
        <f>'Sheet1 (2)'!C134&amp;"±"&amp;'Sheet1 (2)'!D134</f>
        <v>2391.4±1145.3</v>
      </c>
      <c r="D134" s="3" t="str">
        <f>'Sheet1 (2)'!E134&amp;"±"&amp;'Sheet1 (2)'!F134</f>
        <v>318.1±261.5</v>
      </c>
      <c r="E134" s="3" t="str">
        <f>'Sheet1 (2)'!G134&amp;"±"&amp;'Sheet1 (2)'!H134</f>
        <v>1305.6±785.2</v>
      </c>
      <c r="F134" s="3" t="str">
        <f>'Sheet1 (2)'!I134&amp;"±"&amp;'Sheet1 (2)'!J134</f>
        <v>681.5±471</v>
      </c>
      <c r="G134" s="3" t="str">
        <f>'Sheet1 (2)'!K134&amp;"±"&amp;'Sheet1 (2)'!L134</f>
        <v>307.8±220.9</v>
      </c>
    </row>
    <row r="135" spans="1:7" ht="16.5" x14ac:dyDescent="0.35">
      <c r="A135" t="s">
        <v>141</v>
      </c>
      <c r="B135" s="1" t="s">
        <v>150</v>
      </c>
      <c r="C135" s="6" t="s">
        <v>1</v>
      </c>
      <c r="D135" s="3" t="str">
        <f>'Sheet1 (2)'!E135&amp;"±"&amp;'Sheet1 (2)'!F135</f>
        <v>956.5±509.2</v>
      </c>
      <c r="E135" s="3" t="str">
        <f>'Sheet1 (2)'!G135&amp;"±"&amp;'Sheet1 (2)'!H135</f>
        <v>872.6±300.1</v>
      </c>
      <c r="F135" s="3" t="str">
        <f>'Sheet1 (2)'!I135&amp;"±"&amp;'Sheet1 (2)'!J135</f>
        <v>819.7±510.7</v>
      </c>
      <c r="G135" s="3" t="str">
        <f>'Sheet1 (2)'!K135&amp;"±"&amp;'Sheet1 (2)'!L135</f>
        <v>894.7±408.6</v>
      </c>
    </row>
    <row r="136" spans="1:7" ht="16.5" x14ac:dyDescent="0.35">
      <c r="A136" t="s">
        <v>142</v>
      </c>
      <c r="B136" s="1" t="s">
        <v>150</v>
      </c>
      <c r="C136" s="3" t="str">
        <f>'Sheet1 (2)'!C136&amp;"±"&amp;'Sheet1 (2)'!D136</f>
        <v>911.1±726.7</v>
      </c>
      <c r="D136" s="3" t="str">
        <f>'Sheet1 (2)'!E136&amp;"±"&amp;'Sheet1 (2)'!F136</f>
        <v>67.4±65.4</v>
      </c>
      <c r="E136" s="3" t="str">
        <f>'Sheet1 (2)'!G136&amp;"±"&amp;'Sheet1 (2)'!H136</f>
        <v>276.1±242.7</v>
      </c>
      <c r="F136" s="3" t="str">
        <f>'Sheet1 (2)'!I136&amp;"±"&amp;'Sheet1 (2)'!J136</f>
        <v>147.3±137.7</v>
      </c>
      <c r="G136" s="3" t="str">
        <f>'Sheet1 (2)'!K136&amp;"±"&amp;'Sheet1 (2)'!L136</f>
        <v>91.6±83.2</v>
      </c>
    </row>
    <row r="137" spans="1:7" ht="16.5" x14ac:dyDescent="0.35">
      <c r="A137" t="s">
        <v>143</v>
      </c>
      <c r="B137" s="1" t="s">
        <v>150</v>
      </c>
      <c r="C137" s="3" t="str">
        <f>'Sheet1 (2)'!C137&amp;"±"&amp;'Sheet1 (2)'!D137</f>
        <v>330.2±209.7</v>
      </c>
      <c r="D137" s="3" t="str">
        <f>'Sheet1 (2)'!E137&amp;"±"&amp;'Sheet1 (2)'!F137</f>
        <v>612.7±219.6</v>
      </c>
      <c r="E137" s="3" t="str">
        <f>'Sheet1 (2)'!G137&amp;"±"&amp;'Sheet1 (2)'!H137</f>
        <v>422.3±36.1</v>
      </c>
      <c r="F137" s="3" t="str">
        <f>'Sheet1 (2)'!I137&amp;"±"&amp;'Sheet1 (2)'!J137</f>
        <v>208.1±187.1</v>
      </c>
      <c r="G137" s="3" t="str">
        <f>'Sheet1 (2)'!K137&amp;"±"&amp;'Sheet1 (2)'!L137</f>
        <v>123±95.2</v>
      </c>
    </row>
    <row r="138" spans="1:7" ht="16.5" x14ac:dyDescent="0.35">
      <c r="A138" t="s">
        <v>144</v>
      </c>
      <c r="B138" s="1" t="s">
        <v>150</v>
      </c>
      <c r="C138" s="3" t="str">
        <f>'Sheet1 (2)'!C138&amp;"±"&amp;'Sheet1 (2)'!D138</f>
        <v>88.9±59.6</v>
      </c>
      <c r="D138" s="3" t="str">
        <f>'Sheet1 (2)'!E138&amp;"±"&amp;'Sheet1 (2)'!F138</f>
        <v>58.5±51.8</v>
      </c>
      <c r="E138" s="3" t="str">
        <f>'Sheet1 (2)'!G138&amp;"±"&amp;'Sheet1 (2)'!H138</f>
        <v>31.8±23.4</v>
      </c>
      <c r="F138" s="3" t="str">
        <f>'Sheet1 (2)'!I138&amp;"±"&amp;'Sheet1 (2)'!J138</f>
        <v>44.3±29.5</v>
      </c>
      <c r="G138" s="3" t="str">
        <f>'Sheet1 (2)'!K138&amp;"±"&amp;'Sheet1 (2)'!L138</f>
        <v>82.3±61.5</v>
      </c>
    </row>
    <row r="139" spans="1:7" ht="16.5" x14ac:dyDescent="0.35">
      <c r="A139" t="s">
        <v>145</v>
      </c>
      <c r="B139" s="1" t="s">
        <v>150</v>
      </c>
      <c r="C139" s="3" t="str">
        <f>'Sheet1 (2)'!C139&amp;"±"&amp;'Sheet1 (2)'!D139</f>
        <v>82.3±56.8</v>
      </c>
      <c r="D139" s="3" t="str">
        <f>'Sheet1 (2)'!E139&amp;"±"&amp;'Sheet1 (2)'!F139</f>
        <v>298.7±127.1</v>
      </c>
      <c r="E139" s="3" t="str">
        <f>'Sheet1 (2)'!G139&amp;"±"&amp;'Sheet1 (2)'!H139</f>
        <v>38.4±20.1</v>
      </c>
      <c r="F139" s="3" t="str">
        <f>'Sheet1 (2)'!I139&amp;"±"&amp;'Sheet1 (2)'!J139</f>
        <v>44.6±30</v>
      </c>
      <c r="G139" s="3" t="str">
        <f>'Sheet1 (2)'!K139&amp;"±"&amp;'Sheet1 (2)'!L139</f>
        <v>98.9±66.5</v>
      </c>
    </row>
    <row r="140" spans="1:7" ht="16.5" x14ac:dyDescent="0.35">
      <c r="A140" t="s">
        <v>146</v>
      </c>
      <c r="B140" s="1" t="s">
        <v>150</v>
      </c>
      <c r="C140" s="3" t="str">
        <f>'Sheet1 (2)'!C140&amp;"±"&amp;'Sheet1 (2)'!D140</f>
        <v>347.1±275.7</v>
      </c>
      <c r="D140" s="3" t="str">
        <f>'Sheet1 (2)'!E140&amp;"±"&amp;'Sheet1 (2)'!F140</f>
        <v>73.4±76.6</v>
      </c>
      <c r="E140" s="3" t="str">
        <f>'Sheet1 (2)'!G140&amp;"±"&amp;'Sheet1 (2)'!H140</f>
        <v>4.2±2.6</v>
      </c>
      <c r="F140" s="3" t="str">
        <f>'Sheet1 (2)'!I140&amp;"±"&amp;'Sheet1 (2)'!J140</f>
        <v>120.6±104.5</v>
      </c>
      <c r="G140" s="3" t="str">
        <f>'Sheet1 (2)'!K140&amp;"±"&amp;'Sheet1 (2)'!L140</f>
        <v>1.9±1.3</v>
      </c>
    </row>
    <row r="141" spans="1:7" ht="16.5" x14ac:dyDescent="0.35">
      <c r="A141" t="s">
        <v>147</v>
      </c>
      <c r="B141" s="1" t="s">
        <v>150</v>
      </c>
      <c r="C141" s="3" t="str">
        <f>'Sheet1 (2)'!C141&amp;"±"&amp;'Sheet1 (2)'!D141</f>
        <v>596±186.2</v>
      </c>
      <c r="D141" s="3" t="str">
        <f>'Sheet1 (2)'!E141&amp;"±"&amp;'Sheet1 (2)'!F141</f>
        <v>673±182.5</v>
      </c>
      <c r="E141" s="3" t="str">
        <f>'Sheet1 (2)'!G141&amp;"±"&amp;'Sheet1 (2)'!H141</f>
        <v>12.4±4</v>
      </c>
      <c r="F141" s="3" t="str">
        <f>'Sheet1 (2)'!I141&amp;"±"&amp;'Sheet1 (2)'!J141</f>
        <v>800.3±181.8</v>
      </c>
      <c r="G141" s="3" t="str">
        <f>'Sheet1 (2)'!K141&amp;"±"&amp;'Sheet1 (2)'!L141</f>
        <v>2.1±1.3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Sheet1 (2)</vt:lpstr>
      <vt:lpstr>Sheet1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Christian Fender</cp:lastModifiedBy>
  <dcterms:modified xsi:type="dcterms:W3CDTF">2025-01-13T18:07:45Z</dcterms:modified>
</cp:coreProperties>
</file>