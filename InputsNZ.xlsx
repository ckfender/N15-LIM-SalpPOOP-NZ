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comments2.xml" ContentType="application/vnd.openxmlformats-officedocument.spreadsheetml.comments+xml"/>
  <Override PartName="/xl/threadedComments/threadedComment2.xml" ContentType="application/vnd.ms-excel.threadedcomments+xml"/>
  <Override PartName="/xl/comments3.xml" ContentType="application/vnd.openxmlformats-officedocument.spreadsheetml.comments+xml"/>
  <Override PartName="/xl/threadedComments/threadedComment3.xml" ContentType="application/vnd.ms-excel.threadedcomments+xml"/>
  <Override PartName="/xl/comments4.xml" ContentType="application/vnd.openxmlformats-officedocument.spreadsheetml.comments+xml"/>
  <Override PartName="/xl/threadedComments/threadedComment4.xml" ContentType="application/vnd.ms-excel.threadedcomments+xml"/>
  <Override PartName="/xl/comments5.xml" ContentType="application/vnd.openxmlformats-officedocument.spreadsheetml.comments+xml"/>
  <Override PartName="/xl/threadedComments/threadedComment5.xml" ContentType="application/vnd.ms-excel.threadedcomments+xml"/>
  <Override PartName="/xl/comments6.xml" ContentType="application/vnd.openxmlformats-officedocument.spreadsheetml.comments+xml"/>
  <Override PartName="/xl/threadedComments/threadedComment6.xml" ContentType="application/vnd.ms-excel.threadedcomments+xml"/>
  <Override PartName="/xl/comments7.xml" ContentType="application/vnd.openxmlformats-officedocument.spreadsheetml.comments+xml"/>
  <Override PartName="/xl/threadedComments/threadedComment7.xml" ContentType="application/vnd.ms-excel.threadedcomments+xml"/>
  <Override PartName="/xl/comments8.xml" ContentType="application/vnd.openxmlformats-officedocument.spreadsheetml.comments+xml"/>
  <Override PartName="/xl/threadedComments/threadedComment8.xml" ContentType="application/vnd.ms-excel.threadedcomments+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129"/>
  <workbookPr/>
  <mc:AlternateContent xmlns:mc="http://schemas.openxmlformats.org/markup-compatibility/2006">
    <mc:Choice Requires="x15">
      <x15ac:absPath xmlns:x15ac="http://schemas.microsoft.com/office/spreadsheetml/2010/11/ac" url="C:\Users\Admin\Dropbox\SalpLIM\N15-LIM-SalpPOOP-main\"/>
    </mc:Choice>
  </mc:AlternateContent>
  <xr:revisionPtr revIDLastSave="0" documentId="13_ncr:1_{78D573FF-6CFA-4EF2-957C-F425A3A3FE15}" xr6:coauthVersionLast="47" xr6:coauthVersionMax="47" xr10:uidLastSave="{00000000-0000-0000-0000-000000000000}"/>
  <bookViews>
    <workbookView xWindow="-28920" yWindow="-120" windowWidth="29040" windowHeight="15840" xr2:uid="{00000000-000D-0000-FFFF-FFFF00000000}"/>
  </bookViews>
  <sheets>
    <sheet name="InputsNZ" sheetId="8" r:id="rId1"/>
    <sheet name="InputsNZ (2)" sheetId="15" r:id="rId2"/>
    <sheet name="Sheet1" sheetId="13" r:id="rId3"/>
    <sheet name="InputsNZ_C" sheetId="10" r:id="rId4"/>
    <sheet name="Sheet3" sheetId="12" r:id="rId5"/>
    <sheet name="InputsNZ_C_paper" sheetId="11" r:id="rId6"/>
    <sheet name="InputsNZ Old" sheetId="4" r:id="rId7"/>
    <sheet name="NZ_Extra" sheetId="6" r:id="rId8"/>
    <sheet name="Biom_comp" sheetId="14" r:id="rId9"/>
    <sheet name="InputsGoM" sheetId="3" r:id="rId10"/>
    <sheet name="InputCRD" sheetId="5" r:id="rId1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L59" i="15" l="1"/>
  <c r="J59" i="15"/>
  <c r="H59" i="15"/>
  <c r="F59" i="15"/>
  <c r="D59" i="15"/>
  <c r="L58" i="15"/>
  <c r="J58" i="15"/>
  <c r="H58" i="15"/>
  <c r="F58" i="15"/>
  <c r="D58" i="15"/>
  <c r="Q56" i="15"/>
  <c r="S23" i="15"/>
  <c r="R23" i="15"/>
  <c r="Q23" i="15"/>
  <c r="P23" i="15"/>
  <c r="O23" i="15"/>
  <c r="J20" i="15"/>
  <c r="J19" i="15"/>
  <c r="H19" i="15"/>
  <c r="J18" i="15"/>
  <c r="L17" i="15"/>
  <c r="L20" i="15" s="1"/>
  <c r="J17" i="15"/>
  <c r="K17" i="15" s="1"/>
  <c r="H17" i="15"/>
  <c r="H18" i="15" s="1"/>
  <c r="F17" i="15"/>
  <c r="F19" i="15" s="1"/>
  <c r="D17" i="15"/>
  <c r="D20" i="15" s="1"/>
  <c r="P13" i="15"/>
  <c r="L10" i="15"/>
  <c r="M10" i="15" s="1"/>
  <c r="K10" i="15"/>
  <c r="J10" i="15"/>
  <c r="I10" i="15"/>
  <c r="H10" i="15"/>
  <c r="F10" i="15"/>
  <c r="G10" i="15" s="1"/>
  <c r="D10" i="15"/>
  <c r="E10" i="15" s="1"/>
  <c r="M9" i="15"/>
  <c r="L9" i="15"/>
  <c r="K9" i="15"/>
  <c r="J9" i="15"/>
  <c r="H9" i="15"/>
  <c r="I9" i="15" s="1"/>
  <c r="F9" i="15"/>
  <c r="G9" i="15" s="1"/>
  <c r="E9" i="15"/>
  <c r="D9" i="15"/>
  <c r="M8" i="15"/>
  <c r="L8" i="15"/>
  <c r="J8" i="15"/>
  <c r="K8" i="15" s="1"/>
  <c r="H8" i="15"/>
  <c r="I8" i="15" s="1"/>
  <c r="G8" i="15"/>
  <c r="F8" i="15"/>
  <c r="E8" i="15"/>
  <c r="D8" i="15"/>
  <c r="L7" i="15"/>
  <c r="M7" i="15" s="1"/>
  <c r="J7" i="15"/>
  <c r="K7" i="15" s="1"/>
  <c r="I7" i="15"/>
  <c r="H7" i="15"/>
  <c r="G7" i="15"/>
  <c r="F7" i="15"/>
  <c r="D7" i="15"/>
  <c r="E7" i="15" s="1"/>
  <c r="L6" i="15"/>
  <c r="M6" i="15" s="1"/>
  <c r="K6" i="15"/>
  <c r="J6" i="15"/>
  <c r="I6" i="15"/>
  <c r="H6" i="15"/>
  <c r="F6" i="15"/>
  <c r="G6" i="15" s="1"/>
  <c r="D6" i="15"/>
  <c r="E6" i="15" s="1"/>
  <c r="M5" i="15"/>
  <c r="L5" i="15"/>
  <c r="K5" i="15"/>
  <c r="J5" i="15"/>
  <c r="H5" i="15"/>
  <c r="I5" i="15" s="1"/>
  <c r="F5" i="15"/>
  <c r="G5" i="15" s="1"/>
  <c r="E5" i="15"/>
  <c r="D5" i="15"/>
  <c r="S23" i="8"/>
  <c r="R23" i="8"/>
  <c r="Q23" i="8"/>
  <c r="P23" i="8"/>
  <c r="O23" i="8"/>
  <c r="K18" i="15" l="1"/>
  <c r="K19" i="15"/>
  <c r="E20" i="15"/>
  <c r="K20" i="15"/>
  <c r="F20" i="15"/>
  <c r="E17" i="15"/>
  <c r="M17" i="15"/>
  <c r="M20" i="15" s="1"/>
  <c r="D18" i="15"/>
  <c r="E18" i="15" s="1"/>
  <c r="L18" i="15"/>
  <c r="M18" i="15" s="1"/>
  <c r="H20" i="15"/>
  <c r="G17" i="15"/>
  <c r="G19" i="15" s="1"/>
  <c r="I17" i="15"/>
  <c r="I18" i="15" s="1"/>
  <c r="F18" i="15"/>
  <c r="D19" i="15"/>
  <c r="L19" i="15"/>
  <c r="D14" i="14"/>
  <c r="D13" i="14"/>
  <c r="G13" i="14"/>
  <c r="F13" i="14"/>
  <c r="E14" i="14"/>
  <c r="E13" i="14"/>
  <c r="E12" i="14"/>
  <c r="B14" i="14"/>
  <c r="B13" i="14"/>
  <c r="B12" i="14"/>
  <c r="J8" i="14"/>
  <c r="E7" i="14"/>
  <c r="J7" i="14" s="1"/>
  <c r="E4" i="14"/>
  <c r="J4" i="14" s="1"/>
  <c r="E5" i="14"/>
  <c r="J5" i="14" s="1"/>
  <c r="J23" i="14"/>
  <c r="J27" i="14"/>
  <c r="P13" i="8"/>
  <c r="Q56" i="8"/>
  <c r="I19" i="15" l="1"/>
  <c r="I20" i="15"/>
  <c r="M19" i="15"/>
  <c r="E19" i="15"/>
  <c r="G18" i="15"/>
  <c r="G20" i="15"/>
  <c r="I7" i="6"/>
  <c r="K14" i="13" l="1"/>
  <c r="I14" i="13"/>
  <c r="G14" i="13"/>
  <c r="E14" i="13"/>
  <c r="C14" i="13"/>
  <c r="K13" i="13"/>
  <c r="I13" i="13"/>
  <c r="G13" i="13"/>
  <c r="E13" i="13"/>
  <c r="C13" i="13"/>
  <c r="K11" i="13"/>
  <c r="I11" i="13"/>
  <c r="G11" i="13"/>
  <c r="E11" i="13"/>
  <c r="C11" i="13"/>
  <c r="K10" i="13"/>
  <c r="I10" i="13"/>
  <c r="G10" i="13"/>
  <c r="E10" i="13"/>
  <c r="C10" i="13"/>
  <c r="E9" i="13"/>
  <c r="G9" i="13"/>
  <c r="I9" i="13"/>
  <c r="K9" i="13"/>
  <c r="D8" i="13"/>
  <c r="E8" i="13"/>
  <c r="F8" i="13"/>
  <c r="G8" i="13"/>
  <c r="H8" i="13"/>
  <c r="I8" i="13"/>
  <c r="J8" i="13"/>
  <c r="K8" i="13"/>
  <c r="L8" i="13"/>
  <c r="C8" i="13"/>
  <c r="K64" i="12" l="1"/>
  <c r="I64" i="12"/>
  <c r="G64" i="12"/>
  <c r="E64" i="12"/>
  <c r="C64" i="12"/>
  <c r="K63" i="12"/>
  <c r="I63" i="12"/>
  <c r="G63" i="12"/>
  <c r="E63" i="12"/>
  <c r="C63" i="12"/>
  <c r="K62" i="12"/>
  <c r="I62" i="12"/>
  <c r="G62" i="12"/>
  <c r="E62" i="12"/>
  <c r="C62" i="12"/>
  <c r="K61" i="12"/>
  <c r="I61" i="12"/>
  <c r="G61" i="12"/>
  <c r="E61" i="12"/>
  <c r="C61" i="12"/>
  <c r="K38" i="12"/>
  <c r="K39" i="12"/>
  <c r="K40" i="12"/>
  <c r="K58" i="12"/>
  <c r="K59" i="12"/>
  <c r="K60" i="12"/>
  <c r="K65" i="12"/>
  <c r="K66" i="12"/>
  <c r="K67" i="12"/>
  <c r="I38" i="12"/>
  <c r="I39" i="12"/>
  <c r="I40" i="12"/>
  <c r="I58" i="12"/>
  <c r="I59" i="12"/>
  <c r="I60" i="12"/>
  <c r="I65" i="12"/>
  <c r="I66" i="12"/>
  <c r="I67" i="12"/>
  <c r="G38" i="12"/>
  <c r="G39" i="12"/>
  <c r="G40" i="12"/>
  <c r="G58" i="12"/>
  <c r="G59" i="12"/>
  <c r="G60" i="12"/>
  <c r="G65" i="12"/>
  <c r="G66" i="12"/>
  <c r="G67" i="12"/>
  <c r="E38" i="12"/>
  <c r="E39" i="12"/>
  <c r="E40" i="12"/>
  <c r="E58" i="12"/>
  <c r="E59" i="12"/>
  <c r="E60" i="12"/>
  <c r="E65" i="12"/>
  <c r="E66" i="12"/>
  <c r="E67" i="12"/>
  <c r="C38" i="12"/>
  <c r="C39" i="12"/>
  <c r="C40" i="12"/>
  <c r="C58" i="12"/>
  <c r="C59" i="12"/>
  <c r="C60" i="12"/>
  <c r="C65" i="12"/>
  <c r="C66" i="12"/>
  <c r="C67" i="12"/>
  <c r="K37" i="12"/>
  <c r="I37" i="12"/>
  <c r="G37" i="12"/>
  <c r="D13" i="11"/>
  <c r="E37" i="12"/>
  <c r="C37" i="12"/>
  <c r="H69" i="11"/>
  <c r="G69" i="11"/>
  <c r="F69" i="11"/>
  <c r="E69" i="11"/>
  <c r="D69" i="11"/>
  <c r="H58" i="11"/>
  <c r="G58" i="11"/>
  <c r="F58" i="11"/>
  <c r="E58" i="11"/>
  <c r="D58" i="11"/>
  <c r="H57" i="11"/>
  <c r="G57" i="11"/>
  <c r="F57" i="11"/>
  <c r="E57" i="11"/>
  <c r="D57" i="11"/>
  <c r="H56" i="11"/>
  <c r="G56" i="11"/>
  <c r="F56" i="11"/>
  <c r="E56" i="11"/>
  <c r="D56" i="11"/>
  <c r="H55" i="11"/>
  <c r="G55" i="11"/>
  <c r="F55" i="11"/>
  <c r="E55" i="11"/>
  <c r="D55" i="11"/>
  <c r="H54" i="11"/>
  <c r="G54" i="11"/>
  <c r="F54" i="11"/>
  <c r="E54" i="11"/>
  <c r="D54" i="11"/>
  <c r="H51" i="11"/>
  <c r="G51" i="11"/>
  <c r="F51" i="11"/>
  <c r="E51" i="11"/>
  <c r="D51" i="11"/>
  <c r="H50" i="11"/>
  <c r="G50" i="11"/>
  <c r="F50" i="11"/>
  <c r="E50" i="11"/>
  <c r="D50" i="11"/>
  <c r="H49" i="11"/>
  <c r="G49" i="11"/>
  <c r="F49" i="11"/>
  <c r="E49" i="11"/>
  <c r="D49" i="11"/>
  <c r="H48" i="11"/>
  <c r="G48" i="11"/>
  <c r="F48" i="11"/>
  <c r="E48" i="11"/>
  <c r="D48" i="11"/>
  <c r="H47" i="11"/>
  <c r="G47" i="11"/>
  <c r="F47" i="11"/>
  <c r="E47" i="11"/>
  <c r="D47" i="11"/>
  <c r="H46" i="11"/>
  <c r="G46" i="11"/>
  <c r="F46" i="11"/>
  <c r="E46" i="11"/>
  <c r="D46" i="11"/>
  <c r="H45" i="11"/>
  <c r="G45" i="11"/>
  <c r="F45" i="11"/>
  <c r="E45" i="11"/>
  <c r="D45" i="11"/>
  <c r="H44" i="11"/>
  <c r="G44" i="11"/>
  <c r="F44" i="11"/>
  <c r="E44" i="11"/>
  <c r="D44" i="11"/>
  <c r="H43" i="11"/>
  <c r="G43" i="11"/>
  <c r="F43" i="11"/>
  <c r="E43" i="11"/>
  <c r="D43" i="11"/>
  <c r="H42" i="11"/>
  <c r="G42" i="11"/>
  <c r="F42" i="11"/>
  <c r="E42" i="11"/>
  <c r="D42" i="11"/>
  <c r="L59" i="8" l="1"/>
  <c r="H53" i="11" s="1"/>
  <c r="J59" i="8"/>
  <c r="G53" i="11" s="1"/>
  <c r="H59" i="8"/>
  <c r="F53" i="11" s="1"/>
  <c r="F59" i="8"/>
  <c r="E53" i="11" s="1"/>
  <c r="D59" i="8"/>
  <c r="D53" i="11" s="1"/>
  <c r="L58" i="8"/>
  <c r="H52" i="11" s="1"/>
  <c r="J58" i="8"/>
  <c r="H58" i="8"/>
  <c r="G52" i="11" l="1"/>
  <c r="F52" i="11"/>
  <c r="L69" i="10"/>
  <c r="K68" i="12" s="1"/>
  <c r="J69" i="10"/>
  <c r="I68" i="12" s="1"/>
  <c r="H69" i="10"/>
  <c r="G68" i="12" s="1"/>
  <c r="F69" i="10"/>
  <c r="E68" i="12" s="1"/>
  <c r="D69" i="10"/>
  <c r="C68" i="12" s="1"/>
  <c r="M55" i="10"/>
  <c r="M54" i="10"/>
  <c r="M49" i="10"/>
  <c r="M50" i="10"/>
  <c r="M51" i="10"/>
  <c r="M48" i="10"/>
  <c r="K55" i="10"/>
  <c r="K54" i="10"/>
  <c r="K49" i="10"/>
  <c r="K50" i="10"/>
  <c r="K51" i="10"/>
  <c r="K48" i="10"/>
  <c r="I55" i="10"/>
  <c r="I54" i="10"/>
  <c r="I49" i="10"/>
  <c r="I50" i="10"/>
  <c r="I51" i="10"/>
  <c r="I48" i="10"/>
  <c r="G55" i="10"/>
  <c r="G54" i="10"/>
  <c r="G49" i="10"/>
  <c r="G50" i="10"/>
  <c r="G51" i="10"/>
  <c r="G48" i="10"/>
  <c r="D55" i="10"/>
  <c r="E55" i="10"/>
  <c r="E54" i="10"/>
  <c r="E49" i="10"/>
  <c r="E50" i="10"/>
  <c r="E51" i="10"/>
  <c r="E48" i="10"/>
  <c r="L48" i="10"/>
  <c r="K47" i="12" s="1"/>
  <c r="L49" i="10"/>
  <c r="L50" i="10"/>
  <c r="K49" i="12" s="1"/>
  <c r="L51" i="10"/>
  <c r="L52" i="10"/>
  <c r="K51" i="12" s="1"/>
  <c r="L53" i="10"/>
  <c r="K52" i="12" s="1"/>
  <c r="L54" i="10"/>
  <c r="K53" i="12" s="1"/>
  <c r="L55" i="10"/>
  <c r="L56" i="10"/>
  <c r="L57" i="10"/>
  <c r="K56" i="12" s="1"/>
  <c r="L58" i="10"/>
  <c r="K57" i="12" s="1"/>
  <c r="J48" i="10"/>
  <c r="I47" i="12" s="1"/>
  <c r="J49" i="10"/>
  <c r="J50" i="10"/>
  <c r="I49" i="12" s="1"/>
  <c r="J51" i="10"/>
  <c r="J52" i="10"/>
  <c r="I51" i="12" s="1"/>
  <c r="J53" i="10"/>
  <c r="I52" i="12" s="1"/>
  <c r="J54" i="10"/>
  <c r="I53" i="12" s="1"/>
  <c r="J55" i="10"/>
  <c r="J56" i="10"/>
  <c r="J57" i="10"/>
  <c r="I56" i="12" s="1"/>
  <c r="J58" i="10"/>
  <c r="I57" i="12" s="1"/>
  <c r="H48" i="10"/>
  <c r="G47" i="12" s="1"/>
  <c r="H49" i="10"/>
  <c r="H50" i="10"/>
  <c r="G49" i="12" s="1"/>
  <c r="H51" i="10"/>
  <c r="H53" i="10"/>
  <c r="G52" i="12" s="1"/>
  <c r="H54" i="10"/>
  <c r="G53" i="12" s="1"/>
  <c r="H55" i="10"/>
  <c r="H56" i="10"/>
  <c r="H57" i="10"/>
  <c r="G56" i="12" s="1"/>
  <c r="H58" i="10"/>
  <c r="G57" i="12" s="1"/>
  <c r="F48" i="10"/>
  <c r="E47" i="12" s="1"/>
  <c r="F49" i="10"/>
  <c r="F50" i="10"/>
  <c r="E49" i="12" s="1"/>
  <c r="F51" i="10"/>
  <c r="F53" i="10"/>
  <c r="E52" i="12" s="1"/>
  <c r="F54" i="10"/>
  <c r="E53" i="12" s="1"/>
  <c r="F55" i="10"/>
  <c r="F56" i="10"/>
  <c r="F57" i="10"/>
  <c r="E56" i="12" s="1"/>
  <c r="F58" i="10"/>
  <c r="E57" i="12" s="1"/>
  <c r="D48" i="10"/>
  <c r="D49" i="10"/>
  <c r="C48" i="12" s="1"/>
  <c r="D50" i="10"/>
  <c r="C49" i="12" s="1"/>
  <c r="D51" i="10"/>
  <c r="D53" i="10"/>
  <c r="C52" i="12" s="1"/>
  <c r="D54" i="10"/>
  <c r="C53" i="12" s="1"/>
  <c r="D56" i="10"/>
  <c r="D57" i="10"/>
  <c r="C56" i="12" s="1"/>
  <c r="D58" i="10"/>
  <c r="C57" i="12" s="1"/>
  <c r="F43" i="10"/>
  <c r="E42" i="12" s="1"/>
  <c r="H43" i="10"/>
  <c r="G42" i="12" s="1"/>
  <c r="J43" i="10"/>
  <c r="I42" i="12" s="1"/>
  <c r="L43" i="10"/>
  <c r="K42" i="12" s="1"/>
  <c r="F44" i="10"/>
  <c r="E43" i="12" s="1"/>
  <c r="H44" i="10"/>
  <c r="G43" i="12" s="1"/>
  <c r="J44" i="10"/>
  <c r="I43" i="12" s="1"/>
  <c r="L44" i="10"/>
  <c r="K43" i="12" s="1"/>
  <c r="F45" i="10"/>
  <c r="E44" i="12" s="1"/>
  <c r="H45" i="10"/>
  <c r="G44" i="12" s="1"/>
  <c r="J45" i="10"/>
  <c r="I44" i="12" s="1"/>
  <c r="L45" i="10"/>
  <c r="K44" i="12" s="1"/>
  <c r="F46" i="10"/>
  <c r="H46" i="10"/>
  <c r="J46" i="10"/>
  <c r="L46" i="10"/>
  <c r="F47" i="10"/>
  <c r="H47" i="10"/>
  <c r="J47" i="10"/>
  <c r="L47" i="10"/>
  <c r="D47" i="10"/>
  <c r="D44" i="10"/>
  <c r="C43" i="12" s="1"/>
  <c r="D45" i="10"/>
  <c r="C44" i="12" s="1"/>
  <c r="D46" i="10"/>
  <c r="D43" i="10"/>
  <c r="C42" i="12" s="1"/>
  <c r="E42" i="10"/>
  <c r="F42" i="10"/>
  <c r="E41" i="12" s="1"/>
  <c r="G42" i="10"/>
  <c r="H42" i="10"/>
  <c r="G41" i="12" s="1"/>
  <c r="I42" i="10"/>
  <c r="J42" i="10"/>
  <c r="I41" i="12" s="1"/>
  <c r="K42" i="10"/>
  <c r="L42" i="10"/>
  <c r="K41" i="12" s="1"/>
  <c r="M42" i="10"/>
  <c r="D42" i="10"/>
  <c r="C41" i="12" s="1"/>
  <c r="D4" i="10"/>
  <c r="C3" i="12" s="1"/>
  <c r="E4" i="10"/>
  <c r="D3" i="12" s="1"/>
  <c r="F4" i="10"/>
  <c r="E3" i="12" s="1"/>
  <c r="G4" i="10"/>
  <c r="F3" i="12" s="1"/>
  <c r="H4" i="10"/>
  <c r="G3" i="12" s="1"/>
  <c r="I4" i="10"/>
  <c r="H3" i="12" s="1"/>
  <c r="J4" i="10"/>
  <c r="I3" i="12" s="1"/>
  <c r="K4" i="10"/>
  <c r="J3" i="12" s="1"/>
  <c r="L4" i="10"/>
  <c r="K3" i="12" s="1"/>
  <c r="M4" i="10"/>
  <c r="L3" i="12" s="1"/>
  <c r="D11" i="10"/>
  <c r="C10" i="12" s="1"/>
  <c r="E11" i="10"/>
  <c r="D10" i="12" s="1"/>
  <c r="F11" i="10"/>
  <c r="E10" i="12" s="1"/>
  <c r="G11" i="10"/>
  <c r="F10" i="12" s="1"/>
  <c r="H11" i="10"/>
  <c r="G10" i="12" s="1"/>
  <c r="I11" i="10"/>
  <c r="H10" i="12" s="1"/>
  <c r="J11" i="10"/>
  <c r="I10" i="12" s="1"/>
  <c r="K11" i="10"/>
  <c r="J10" i="12" s="1"/>
  <c r="L11" i="10"/>
  <c r="K10" i="12" s="1"/>
  <c r="M11" i="10"/>
  <c r="L10" i="12" s="1"/>
  <c r="D12" i="10"/>
  <c r="C11" i="12" s="1"/>
  <c r="E12" i="10"/>
  <c r="D11" i="12" s="1"/>
  <c r="F12" i="10"/>
  <c r="E11" i="12" s="1"/>
  <c r="G12" i="10"/>
  <c r="F11" i="12" s="1"/>
  <c r="H12" i="10"/>
  <c r="G11" i="12" s="1"/>
  <c r="I12" i="10"/>
  <c r="H11" i="12" s="1"/>
  <c r="J12" i="10"/>
  <c r="I11" i="12" s="1"/>
  <c r="K12" i="10"/>
  <c r="J11" i="12" s="1"/>
  <c r="L12" i="10"/>
  <c r="K11" i="12" s="1"/>
  <c r="M12" i="10"/>
  <c r="L11" i="12" s="1"/>
  <c r="D13" i="10"/>
  <c r="E13" i="10"/>
  <c r="F13" i="10"/>
  <c r="E12" i="12" s="1"/>
  <c r="G13" i="10"/>
  <c r="F12" i="12" s="1"/>
  <c r="H13" i="10"/>
  <c r="G12" i="12" s="1"/>
  <c r="I13" i="10"/>
  <c r="H12" i="12" s="1"/>
  <c r="J13" i="10"/>
  <c r="I12" i="12" s="1"/>
  <c r="K13" i="10"/>
  <c r="J12" i="12" s="1"/>
  <c r="L13" i="10"/>
  <c r="K12" i="12" s="1"/>
  <c r="M13" i="10"/>
  <c r="L12" i="12" s="1"/>
  <c r="D14" i="10"/>
  <c r="C13" i="12" s="1"/>
  <c r="E14" i="10"/>
  <c r="D13" i="12" s="1"/>
  <c r="F14" i="10"/>
  <c r="E13" i="12" s="1"/>
  <c r="G14" i="10"/>
  <c r="F13" i="12" s="1"/>
  <c r="H14" i="10"/>
  <c r="G13" i="12" s="1"/>
  <c r="I14" i="10"/>
  <c r="H13" i="12" s="1"/>
  <c r="J14" i="10"/>
  <c r="I13" i="12" s="1"/>
  <c r="K14" i="10"/>
  <c r="J13" i="12" s="1"/>
  <c r="L14" i="10"/>
  <c r="K13" i="12" s="1"/>
  <c r="M14" i="10"/>
  <c r="L13" i="12" s="1"/>
  <c r="D15" i="10"/>
  <c r="C14" i="12" s="1"/>
  <c r="E15" i="10"/>
  <c r="D14" i="12" s="1"/>
  <c r="F15" i="10"/>
  <c r="E14" i="12" s="1"/>
  <c r="G15" i="10"/>
  <c r="F14" i="12" s="1"/>
  <c r="H15" i="10"/>
  <c r="G14" i="12" s="1"/>
  <c r="I15" i="10"/>
  <c r="H14" i="12" s="1"/>
  <c r="J15" i="10"/>
  <c r="I14" i="12" s="1"/>
  <c r="K15" i="10"/>
  <c r="J14" i="12" s="1"/>
  <c r="L15" i="10"/>
  <c r="K14" i="12" s="1"/>
  <c r="M15" i="10"/>
  <c r="L14" i="12" s="1"/>
  <c r="D16" i="10"/>
  <c r="C15" i="12" s="1"/>
  <c r="E16" i="10"/>
  <c r="D15" i="12" s="1"/>
  <c r="F16" i="10"/>
  <c r="E15" i="12" s="1"/>
  <c r="G16" i="10"/>
  <c r="F15" i="12" s="1"/>
  <c r="H16" i="10"/>
  <c r="G15" i="12" s="1"/>
  <c r="I16" i="10"/>
  <c r="H15" i="12" s="1"/>
  <c r="J16" i="10"/>
  <c r="I15" i="12" s="1"/>
  <c r="K16" i="10"/>
  <c r="J15" i="12" s="1"/>
  <c r="L16" i="10"/>
  <c r="K15" i="12" s="1"/>
  <c r="M16" i="10"/>
  <c r="L15" i="12" s="1"/>
  <c r="D21" i="10"/>
  <c r="C20" i="12" s="1"/>
  <c r="E21" i="10"/>
  <c r="D20" i="12" s="1"/>
  <c r="F21" i="10"/>
  <c r="E20" i="12" s="1"/>
  <c r="G21" i="10"/>
  <c r="F20" i="12" s="1"/>
  <c r="H21" i="10"/>
  <c r="G20" i="12" s="1"/>
  <c r="I21" i="10"/>
  <c r="H20" i="12" s="1"/>
  <c r="J21" i="10"/>
  <c r="I20" i="12" s="1"/>
  <c r="K21" i="10"/>
  <c r="J20" i="12" s="1"/>
  <c r="L21" i="10"/>
  <c r="K20" i="12" s="1"/>
  <c r="M21" i="10"/>
  <c r="L20" i="12" s="1"/>
  <c r="D22" i="10"/>
  <c r="C21" i="12" s="1"/>
  <c r="E22" i="10"/>
  <c r="D21" i="12" s="1"/>
  <c r="F22" i="10"/>
  <c r="E21" i="12" s="1"/>
  <c r="G22" i="10"/>
  <c r="F21" i="12" s="1"/>
  <c r="H22" i="10"/>
  <c r="G21" i="12" s="1"/>
  <c r="I22" i="10"/>
  <c r="H21" i="12" s="1"/>
  <c r="J22" i="10"/>
  <c r="I21" i="12" s="1"/>
  <c r="K22" i="10"/>
  <c r="J21" i="12" s="1"/>
  <c r="L22" i="10"/>
  <c r="K21" i="12" s="1"/>
  <c r="M22" i="10"/>
  <c r="L21" i="12" s="1"/>
  <c r="D23" i="10"/>
  <c r="C22" i="12" s="1"/>
  <c r="E23" i="10"/>
  <c r="D22" i="12" s="1"/>
  <c r="F23" i="10"/>
  <c r="E22" i="12" s="1"/>
  <c r="G23" i="10"/>
  <c r="F22" i="12" s="1"/>
  <c r="H23" i="10"/>
  <c r="G22" i="12" s="1"/>
  <c r="I23" i="10"/>
  <c r="H22" i="12" s="1"/>
  <c r="J23" i="10"/>
  <c r="I22" i="12" s="1"/>
  <c r="K23" i="10"/>
  <c r="J22" i="12" s="1"/>
  <c r="L23" i="10"/>
  <c r="K22" i="12" s="1"/>
  <c r="M23" i="10"/>
  <c r="L22" i="12" s="1"/>
  <c r="D24" i="10"/>
  <c r="C23" i="12" s="1"/>
  <c r="E24" i="10"/>
  <c r="D23" i="12" s="1"/>
  <c r="F24" i="10"/>
  <c r="E23" i="12" s="1"/>
  <c r="G24" i="10"/>
  <c r="F23" i="12" s="1"/>
  <c r="H24" i="10"/>
  <c r="G23" i="12" s="1"/>
  <c r="I24" i="10"/>
  <c r="H23" i="12" s="1"/>
  <c r="J24" i="10"/>
  <c r="I23" i="12" s="1"/>
  <c r="K24" i="10"/>
  <c r="J23" i="12" s="1"/>
  <c r="L24" i="10"/>
  <c r="K23" i="12" s="1"/>
  <c r="M24" i="10"/>
  <c r="L23" i="12" s="1"/>
  <c r="D25" i="10"/>
  <c r="C24" i="12" s="1"/>
  <c r="E25" i="10"/>
  <c r="D24" i="12" s="1"/>
  <c r="F25" i="10"/>
  <c r="E24" i="12" s="1"/>
  <c r="G25" i="10"/>
  <c r="F24" i="12" s="1"/>
  <c r="H25" i="10"/>
  <c r="G24" i="12" s="1"/>
  <c r="I25" i="10"/>
  <c r="H24" i="12" s="1"/>
  <c r="J25" i="10"/>
  <c r="I24" i="12" s="1"/>
  <c r="K25" i="10"/>
  <c r="J24" i="12" s="1"/>
  <c r="L25" i="10"/>
  <c r="K24" i="12" s="1"/>
  <c r="M25" i="10"/>
  <c r="L24" i="12" s="1"/>
  <c r="D26" i="10"/>
  <c r="C25" i="12" s="1"/>
  <c r="E26" i="10"/>
  <c r="D25" i="12" s="1"/>
  <c r="F26" i="10"/>
  <c r="E25" i="12" s="1"/>
  <c r="G26" i="10"/>
  <c r="F25" i="12" s="1"/>
  <c r="H26" i="10"/>
  <c r="G25" i="12" s="1"/>
  <c r="I26" i="10"/>
  <c r="H25" i="12" s="1"/>
  <c r="J26" i="10"/>
  <c r="I25" i="12" s="1"/>
  <c r="K26" i="10"/>
  <c r="J25" i="12" s="1"/>
  <c r="L26" i="10"/>
  <c r="K25" i="12" s="1"/>
  <c r="M26" i="10"/>
  <c r="L25" i="12" s="1"/>
  <c r="D27" i="10"/>
  <c r="C26" i="12" s="1"/>
  <c r="E27" i="10"/>
  <c r="D26" i="12" s="1"/>
  <c r="F27" i="10"/>
  <c r="E26" i="12" s="1"/>
  <c r="G27" i="10"/>
  <c r="F26" i="12" s="1"/>
  <c r="H27" i="10"/>
  <c r="G26" i="12" s="1"/>
  <c r="I27" i="10"/>
  <c r="H26" i="12" s="1"/>
  <c r="J27" i="10"/>
  <c r="I26" i="12" s="1"/>
  <c r="K27" i="10"/>
  <c r="J26" i="12" s="1"/>
  <c r="L27" i="10"/>
  <c r="K26" i="12" s="1"/>
  <c r="M27" i="10"/>
  <c r="L26" i="12" s="1"/>
  <c r="D28" i="10"/>
  <c r="C27" i="12" s="1"/>
  <c r="E28" i="10"/>
  <c r="D27" i="12" s="1"/>
  <c r="F28" i="10"/>
  <c r="E27" i="12" s="1"/>
  <c r="G28" i="10"/>
  <c r="F27" i="12" s="1"/>
  <c r="H28" i="10"/>
  <c r="G27" i="12" s="1"/>
  <c r="I28" i="10"/>
  <c r="H27" i="12" s="1"/>
  <c r="J28" i="10"/>
  <c r="I27" i="12" s="1"/>
  <c r="K28" i="10"/>
  <c r="J27" i="12" s="1"/>
  <c r="L28" i="10"/>
  <c r="K27" i="12" s="1"/>
  <c r="M28" i="10"/>
  <c r="L27" i="12" s="1"/>
  <c r="D29" i="10"/>
  <c r="C28" i="12" s="1"/>
  <c r="E29" i="10"/>
  <c r="D28" i="12" s="1"/>
  <c r="F29" i="10"/>
  <c r="E28" i="12" s="1"/>
  <c r="G29" i="10"/>
  <c r="F28" i="12" s="1"/>
  <c r="H29" i="10"/>
  <c r="G28" i="12" s="1"/>
  <c r="I29" i="10"/>
  <c r="H28" i="12" s="1"/>
  <c r="J29" i="10"/>
  <c r="I28" i="12" s="1"/>
  <c r="K29" i="10"/>
  <c r="J28" i="12" s="1"/>
  <c r="L29" i="10"/>
  <c r="K28" i="12" s="1"/>
  <c r="M29" i="10"/>
  <c r="L28" i="12" s="1"/>
  <c r="D30" i="10"/>
  <c r="C29" i="12" s="1"/>
  <c r="E30" i="10"/>
  <c r="D29" i="12" s="1"/>
  <c r="F30" i="10"/>
  <c r="E29" i="12" s="1"/>
  <c r="G30" i="10"/>
  <c r="F29" i="12" s="1"/>
  <c r="H30" i="10"/>
  <c r="G29" i="12" s="1"/>
  <c r="I30" i="10"/>
  <c r="H29" i="12" s="1"/>
  <c r="J30" i="10"/>
  <c r="I29" i="12" s="1"/>
  <c r="K30" i="10"/>
  <c r="J29" i="12" s="1"/>
  <c r="L30" i="10"/>
  <c r="K29" i="12" s="1"/>
  <c r="M30" i="10"/>
  <c r="L29" i="12" s="1"/>
  <c r="D31" i="10"/>
  <c r="C30" i="12" s="1"/>
  <c r="E31" i="10"/>
  <c r="D30" i="12" s="1"/>
  <c r="F31" i="10"/>
  <c r="E30" i="12" s="1"/>
  <c r="G31" i="10"/>
  <c r="F30" i="12" s="1"/>
  <c r="H31" i="10"/>
  <c r="G30" i="12" s="1"/>
  <c r="I31" i="10"/>
  <c r="H30" i="12" s="1"/>
  <c r="J31" i="10"/>
  <c r="I30" i="12" s="1"/>
  <c r="K31" i="10"/>
  <c r="J30" i="12" s="1"/>
  <c r="L31" i="10"/>
  <c r="K30" i="12" s="1"/>
  <c r="M31" i="10"/>
  <c r="L30" i="12" s="1"/>
  <c r="D32" i="10"/>
  <c r="C31" i="12" s="1"/>
  <c r="E32" i="10"/>
  <c r="D31" i="12" s="1"/>
  <c r="F32" i="10"/>
  <c r="E31" i="12" s="1"/>
  <c r="G32" i="10"/>
  <c r="F31" i="12" s="1"/>
  <c r="H32" i="10"/>
  <c r="G31" i="12" s="1"/>
  <c r="I32" i="10"/>
  <c r="H31" i="12" s="1"/>
  <c r="J32" i="10"/>
  <c r="I31" i="12" s="1"/>
  <c r="K32" i="10"/>
  <c r="J31" i="12" s="1"/>
  <c r="L32" i="10"/>
  <c r="K31" i="12" s="1"/>
  <c r="M32" i="10"/>
  <c r="L31" i="12" s="1"/>
  <c r="D33" i="10"/>
  <c r="C32" i="12" s="1"/>
  <c r="E33" i="10"/>
  <c r="D32" i="12" s="1"/>
  <c r="F33" i="10"/>
  <c r="E32" i="12" s="1"/>
  <c r="G33" i="10"/>
  <c r="F32" i="12" s="1"/>
  <c r="H33" i="10"/>
  <c r="G32" i="12" s="1"/>
  <c r="I33" i="10"/>
  <c r="H32" i="12" s="1"/>
  <c r="J33" i="10"/>
  <c r="I32" i="12" s="1"/>
  <c r="K33" i="10"/>
  <c r="J32" i="12" s="1"/>
  <c r="L33" i="10"/>
  <c r="K32" i="12" s="1"/>
  <c r="M33" i="10"/>
  <c r="L32" i="12" s="1"/>
  <c r="D34" i="10"/>
  <c r="C33" i="12" s="1"/>
  <c r="E34" i="10"/>
  <c r="D33" i="12" s="1"/>
  <c r="F34" i="10"/>
  <c r="E33" i="12" s="1"/>
  <c r="G34" i="10"/>
  <c r="F33" i="12" s="1"/>
  <c r="H34" i="10"/>
  <c r="G33" i="12" s="1"/>
  <c r="I34" i="10"/>
  <c r="H33" i="12" s="1"/>
  <c r="J34" i="10"/>
  <c r="I33" i="12" s="1"/>
  <c r="K34" i="10"/>
  <c r="J33" i="12" s="1"/>
  <c r="L34" i="10"/>
  <c r="K33" i="12" s="1"/>
  <c r="M34" i="10"/>
  <c r="L33" i="12" s="1"/>
  <c r="D35" i="10"/>
  <c r="C34" i="12" s="1"/>
  <c r="E35" i="10"/>
  <c r="D34" i="12" s="1"/>
  <c r="F35" i="10"/>
  <c r="E34" i="12" s="1"/>
  <c r="G35" i="10"/>
  <c r="F34" i="12" s="1"/>
  <c r="H35" i="10"/>
  <c r="G34" i="12" s="1"/>
  <c r="I35" i="10"/>
  <c r="H34" i="12" s="1"/>
  <c r="J35" i="10"/>
  <c r="I34" i="12" s="1"/>
  <c r="K35" i="10"/>
  <c r="J34" i="12" s="1"/>
  <c r="L35" i="10"/>
  <c r="K34" i="12" s="1"/>
  <c r="M35" i="10"/>
  <c r="L34" i="12" s="1"/>
  <c r="E3" i="10"/>
  <c r="D2" i="12" s="1"/>
  <c r="F3" i="10"/>
  <c r="G3" i="10"/>
  <c r="F2" i="12" s="1"/>
  <c r="H3" i="10"/>
  <c r="I3" i="10"/>
  <c r="H2" i="12" s="1"/>
  <c r="J3" i="10"/>
  <c r="K3" i="10"/>
  <c r="J2" i="12" s="1"/>
  <c r="L3" i="10"/>
  <c r="M3" i="10"/>
  <c r="L2" i="12" s="1"/>
  <c r="D3" i="10"/>
  <c r="F15" i="11" l="1"/>
  <c r="G14" i="11"/>
  <c r="H13" i="11"/>
  <c r="E12" i="11"/>
  <c r="F11" i="11"/>
  <c r="G22" i="11"/>
  <c r="H21" i="11"/>
  <c r="D21" i="11"/>
  <c r="E16" i="11"/>
  <c r="G2" i="12"/>
  <c r="F3" i="11" s="1"/>
  <c r="B33" i="14"/>
  <c r="I46" i="12"/>
  <c r="D34" i="14"/>
  <c r="C50" i="12"/>
  <c r="F31" i="14"/>
  <c r="G55" i="12"/>
  <c r="G33" i="14"/>
  <c r="G46" i="12"/>
  <c r="D33" i="14"/>
  <c r="G54" i="12"/>
  <c r="H33" i="14"/>
  <c r="I48" i="12"/>
  <c r="E34" i="14"/>
  <c r="E46" i="12"/>
  <c r="D32" i="14"/>
  <c r="E50" i="12"/>
  <c r="F32" i="14"/>
  <c r="I55" i="12"/>
  <c r="G34" i="14"/>
  <c r="K50" i="12"/>
  <c r="F35" i="14"/>
  <c r="C45" i="12"/>
  <c r="C31" i="14"/>
  <c r="K45" i="12"/>
  <c r="C35" i="14"/>
  <c r="C47" i="12"/>
  <c r="E31" i="14"/>
  <c r="I54" i="12"/>
  <c r="H34" i="14"/>
  <c r="C2" i="12"/>
  <c r="D3" i="11" s="1"/>
  <c r="B31" i="14"/>
  <c r="E2" i="12"/>
  <c r="E3" i="11" s="1"/>
  <c r="B32" i="14"/>
  <c r="K2" i="12"/>
  <c r="H3" i="11" s="1"/>
  <c r="B35" i="14"/>
  <c r="I45" i="12"/>
  <c r="C34" i="14"/>
  <c r="E48" i="12"/>
  <c r="E32" i="14"/>
  <c r="G50" i="12"/>
  <c r="F33" i="14"/>
  <c r="K48" i="12"/>
  <c r="E35" i="14"/>
  <c r="C54" i="12"/>
  <c r="H31" i="14"/>
  <c r="G45" i="12"/>
  <c r="C33" i="14"/>
  <c r="C55" i="12"/>
  <c r="G31" i="14"/>
  <c r="K55" i="12"/>
  <c r="G35" i="14"/>
  <c r="I2" i="12"/>
  <c r="G3" i="11" s="1"/>
  <c r="B34" i="14"/>
  <c r="C46" i="12"/>
  <c r="D31" i="14"/>
  <c r="E45" i="12"/>
  <c r="C32" i="14"/>
  <c r="E55" i="12"/>
  <c r="G32" i="14"/>
  <c r="G48" i="12"/>
  <c r="E33" i="14"/>
  <c r="K54" i="12"/>
  <c r="H35" i="14"/>
  <c r="K46" i="12"/>
  <c r="D35" i="14"/>
  <c r="E54" i="12"/>
  <c r="H32" i="14"/>
  <c r="I50" i="12"/>
  <c r="F34" i="14"/>
  <c r="H22" i="11"/>
  <c r="D22" i="11"/>
  <c r="E21" i="11"/>
  <c r="H34" i="11"/>
  <c r="E33" i="11"/>
  <c r="D30" i="11"/>
  <c r="F28" i="11"/>
  <c r="H26" i="11"/>
  <c r="E25" i="11"/>
  <c r="H23" i="11"/>
  <c r="H25" i="11"/>
  <c r="D25" i="11"/>
  <c r="F23" i="11"/>
  <c r="E22" i="11"/>
  <c r="F21" i="11"/>
  <c r="G16" i="11"/>
  <c r="H15" i="11"/>
  <c r="D15" i="11"/>
  <c r="E14" i="11"/>
  <c r="F13" i="11"/>
  <c r="G12" i="11"/>
  <c r="H11" i="11"/>
  <c r="D11" i="11"/>
  <c r="E4" i="11"/>
  <c r="F16" i="11"/>
  <c r="G15" i="11"/>
  <c r="H14" i="11"/>
  <c r="D14" i="11"/>
  <c r="E13" i="11"/>
  <c r="G11" i="11"/>
  <c r="H4" i="11"/>
  <c r="D4" i="11"/>
  <c r="G33" i="11"/>
  <c r="E27" i="11"/>
  <c r="G25" i="11"/>
  <c r="E23" i="11"/>
  <c r="F22" i="11"/>
  <c r="G21" i="11"/>
  <c r="H16" i="11"/>
  <c r="D16" i="11"/>
  <c r="E15" i="11"/>
  <c r="F14" i="11"/>
  <c r="G13" i="11"/>
  <c r="H12" i="11"/>
  <c r="D12" i="11"/>
  <c r="E11" i="11"/>
  <c r="F4" i="11"/>
  <c r="F12" i="11"/>
  <c r="G4" i="11"/>
  <c r="G34" i="11"/>
  <c r="G30" i="11"/>
  <c r="G26" i="11"/>
  <c r="E24" i="11"/>
  <c r="F31" i="11"/>
  <c r="D29" i="11"/>
  <c r="E28" i="11"/>
  <c r="F27" i="11"/>
  <c r="F34" i="11"/>
  <c r="H32" i="11"/>
  <c r="E31" i="11"/>
  <c r="G29" i="11"/>
  <c r="D28" i="11"/>
  <c r="D32" i="11"/>
  <c r="F30" i="11"/>
  <c r="H28" i="11"/>
  <c r="F26" i="11"/>
  <c r="H24" i="11"/>
  <c r="H35" i="11"/>
  <c r="D35" i="11"/>
  <c r="E34" i="11"/>
  <c r="F33" i="11"/>
  <c r="G32" i="11"/>
  <c r="H31" i="11"/>
  <c r="D31" i="11"/>
  <c r="E30" i="11"/>
  <c r="F29" i="11"/>
  <c r="G28" i="11"/>
  <c r="H27" i="11"/>
  <c r="D27" i="11"/>
  <c r="E26" i="11"/>
  <c r="F25" i="11"/>
  <c r="G24" i="11"/>
  <c r="D23" i="11"/>
  <c r="H33" i="11"/>
  <c r="E32" i="11"/>
  <c r="E35" i="11"/>
  <c r="F35" i="11"/>
  <c r="D33" i="11"/>
  <c r="H29" i="11"/>
  <c r="G35" i="11"/>
  <c r="D34" i="11"/>
  <c r="F32" i="11"/>
  <c r="G31" i="11"/>
  <c r="H30" i="11"/>
  <c r="E29" i="11"/>
  <c r="G27" i="11"/>
  <c r="D26" i="11"/>
  <c r="F24" i="11"/>
  <c r="G23" i="11"/>
  <c r="P13" i="10"/>
  <c r="J40" i="4"/>
  <c r="I40" i="4"/>
  <c r="H40" i="4"/>
  <c r="G40" i="4"/>
  <c r="F40" i="4"/>
  <c r="E40" i="4"/>
  <c r="D40" i="4"/>
  <c r="I39" i="4"/>
  <c r="H39" i="4"/>
  <c r="G39" i="4"/>
  <c r="F39" i="4"/>
  <c r="E39" i="4"/>
  <c r="D39" i="4"/>
  <c r="M20" i="4"/>
  <c r="L20" i="4"/>
  <c r="E20" i="4"/>
  <c r="D20" i="4"/>
  <c r="F19" i="4"/>
  <c r="H18" i="4"/>
  <c r="M17" i="4"/>
  <c r="L17" i="4"/>
  <c r="L19" i="4" s="1"/>
  <c r="M19" i="4" s="1"/>
  <c r="K17" i="4"/>
  <c r="J17" i="4"/>
  <c r="J20" i="4" s="1"/>
  <c r="K20" i="4" s="1"/>
  <c r="I17" i="4"/>
  <c r="I18" i="4" s="1"/>
  <c r="H17" i="4"/>
  <c r="H20" i="4" s="1"/>
  <c r="I20" i="4" s="1"/>
  <c r="F17" i="4"/>
  <c r="F18" i="4" s="1"/>
  <c r="E17" i="4"/>
  <c r="D17" i="4"/>
  <c r="D19" i="4" s="1"/>
  <c r="E19" i="4" s="1"/>
  <c r="H52" i="10"/>
  <c r="G51" i="12" s="1"/>
  <c r="F58" i="8"/>
  <c r="D58" i="8"/>
  <c r="L17" i="8"/>
  <c r="L20" i="8" s="1"/>
  <c r="J17" i="8"/>
  <c r="H17" i="8"/>
  <c r="H18" i="8" s="1"/>
  <c r="F17" i="8"/>
  <c r="F19" i="8" s="1"/>
  <c r="F19" i="10" s="1"/>
  <c r="E18" i="12" s="1"/>
  <c r="D17" i="8"/>
  <c r="D20" i="8" s="1"/>
  <c r="L33" i="14" l="1"/>
  <c r="J33" i="14"/>
  <c r="L34" i="14"/>
  <c r="J34" i="14"/>
  <c r="L32" i="14"/>
  <c r="J32" i="14"/>
  <c r="J35" i="14"/>
  <c r="L35" i="14"/>
  <c r="J31" i="14"/>
  <c r="L31" i="14"/>
  <c r="D20" i="10"/>
  <c r="C19" i="12" s="1"/>
  <c r="H18" i="10"/>
  <c r="G17" i="12" s="1"/>
  <c r="I17" i="8"/>
  <c r="I17" i="10" s="1"/>
  <c r="H16" i="12" s="1"/>
  <c r="D52" i="10"/>
  <c r="C51" i="12" s="1"/>
  <c r="D52" i="11"/>
  <c r="L20" i="10"/>
  <c r="K19" i="12" s="1"/>
  <c r="L19" i="8"/>
  <c r="L17" i="10"/>
  <c r="K16" i="12" s="1"/>
  <c r="M17" i="8"/>
  <c r="M17" i="10" s="1"/>
  <c r="L16" i="12" s="1"/>
  <c r="F52" i="10"/>
  <c r="E51" i="12" s="1"/>
  <c r="E52" i="11"/>
  <c r="D19" i="8"/>
  <c r="D17" i="10"/>
  <c r="C16" i="12" s="1"/>
  <c r="E17" i="8"/>
  <c r="E17" i="10" s="1"/>
  <c r="D16" i="12" s="1"/>
  <c r="H20" i="8"/>
  <c r="H17" i="10"/>
  <c r="G16" i="12" s="1"/>
  <c r="J20" i="8"/>
  <c r="J20" i="10" s="1"/>
  <c r="I19" i="12" s="1"/>
  <c r="J17" i="10"/>
  <c r="I16" i="12" s="1"/>
  <c r="D18" i="8"/>
  <c r="F18" i="8"/>
  <c r="F18" i="10" s="1"/>
  <c r="E17" i="12" s="1"/>
  <c r="F17" i="10"/>
  <c r="E16" i="12" s="1"/>
  <c r="L18" i="8"/>
  <c r="J18" i="4"/>
  <c r="K18" i="4" s="1"/>
  <c r="H19" i="4"/>
  <c r="I19" i="4" s="1"/>
  <c r="F20" i="4"/>
  <c r="D18" i="4"/>
  <c r="E18" i="4" s="1"/>
  <c r="L18" i="4"/>
  <c r="M18" i="4" s="1"/>
  <c r="J19" i="4"/>
  <c r="K19" i="4" s="1"/>
  <c r="G17" i="4"/>
  <c r="G19" i="4" s="1"/>
  <c r="K17" i="8"/>
  <c r="J18" i="8"/>
  <c r="J18" i="10" s="1"/>
  <c r="I17" i="12" s="1"/>
  <c r="H19" i="8"/>
  <c r="F20" i="8"/>
  <c r="J19" i="8"/>
  <c r="G17" i="8"/>
  <c r="E19" i="8" l="1"/>
  <c r="D19" i="10"/>
  <c r="C18" i="12" s="1"/>
  <c r="G19" i="8"/>
  <c r="G17" i="10"/>
  <c r="F16" i="12" s="1"/>
  <c r="E17" i="11" s="1"/>
  <c r="E18" i="8"/>
  <c r="D18" i="10"/>
  <c r="C17" i="12" s="1"/>
  <c r="G20" i="8"/>
  <c r="F20" i="10"/>
  <c r="E19" i="12" s="1"/>
  <c r="H17" i="11"/>
  <c r="F17" i="11"/>
  <c r="I20" i="8"/>
  <c r="H20" i="10"/>
  <c r="G19" i="12" s="1"/>
  <c r="M19" i="8"/>
  <c r="M19" i="10" s="1"/>
  <c r="L18" i="12" s="1"/>
  <c r="L19" i="10"/>
  <c r="K18" i="12" s="1"/>
  <c r="I18" i="8"/>
  <c r="I19" i="8"/>
  <c r="H19" i="10"/>
  <c r="G18" i="12" s="1"/>
  <c r="K20" i="8"/>
  <c r="K17" i="10"/>
  <c r="J16" i="12" s="1"/>
  <c r="G17" i="11" s="1"/>
  <c r="M18" i="8"/>
  <c r="M18" i="10" s="1"/>
  <c r="L17" i="12" s="1"/>
  <c r="L18" i="10"/>
  <c r="K17" i="12" s="1"/>
  <c r="K19" i="8"/>
  <c r="J19" i="10"/>
  <c r="I18" i="12" s="1"/>
  <c r="D17" i="11"/>
  <c r="M20" i="8"/>
  <c r="M20" i="10" s="1"/>
  <c r="L19" i="12" s="1"/>
  <c r="H20" i="11" s="1"/>
  <c r="E20" i="8"/>
  <c r="G20" i="4"/>
  <c r="G18" i="4"/>
  <c r="G18" i="8"/>
  <c r="K18" i="8"/>
  <c r="I19" i="10" l="1"/>
  <c r="H18" i="12" s="1"/>
  <c r="F19" i="11" s="1"/>
  <c r="K18" i="10"/>
  <c r="J17" i="12" s="1"/>
  <c r="G18" i="11" s="1"/>
  <c r="I18" i="10"/>
  <c r="H17" i="12" s="1"/>
  <c r="F18" i="11" s="1"/>
  <c r="K19" i="10"/>
  <c r="J18" i="12" s="1"/>
  <c r="G19" i="11" s="1"/>
  <c r="G20" i="10"/>
  <c r="F19" i="12" s="1"/>
  <c r="E20" i="11" s="1"/>
  <c r="G18" i="10"/>
  <c r="F17" i="12" s="1"/>
  <c r="E18" i="11" s="1"/>
  <c r="E18" i="10"/>
  <c r="D17" i="12" s="1"/>
  <c r="D18" i="11" s="1"/>
  <c r="E20" i="10"/>
  <c r="D19" i="12" s="1"/>
  <c r="D20" i="11" s="1"/>
  <c r="I20" i="10"/>
  <c r="H19" i="12" s="1"/>
  <c r="F20" i="11" s="1"/>
  <c r="G19" i="10"/>
  <c r="F18" i="12" s="1"/>
  <c r="E19" i="11" s="1"/>
  <c r="K20" i="10"/>
  <c r="J19" i="12" s="1"/>
  <c r="G20" i="11" s="1"/>
  <c r="E19" i="10"/>
  <c r="D18" i="12" s="1"/>
  <c r="D19" i="11" s="1"/>
  <c r="H19" i="11"/>
  <c r="H18" i="11"/>
  <c r="O14" i="4"/>
  <c r="P19" i="3" l="1"/>
  <c r="F13" i="6"/>
  <c r="F15" i="6" s="1"/>
  <c r="M13" i="6"/>
  <c r="L13" i="6"/>
  <c r="L15" i="6" s="1"/>
  <c r="K13" i="6"/>
  <c r="J13" i="6"/>
  <c r="J16" i="6" s="1"/>
  <c r="I13" i="6"/>
  <c r="H13" i="6"/>
  <c r="H15" i="6" s="1"/>
  <c r="G13" i="6"/>
  <c r="E13" i="6"/>
  <c r="D13" i="6"/>
  <c r="D15" i="6" s="1"/>
  <c r="P18" i="3"/>
  <c r="I15" i="6" l="1"/>
  <c r="H9" i="8"/>
  <c r="H9" i="4"/>
  <c r="I9" i="4" s="1"/>
  <c r="L9" i="4"/>
  <c r="L9" i="8"/>
  <c r="J10" i="8"/>
  <c r="J10" i="4"/>
  <c r="K10" i="4" s="1"/>
  <c r="F9" i="4"/>
  <c r="G9" i="4" s="1"/>
  <c r="F9" i="8"/>
  <c r="D9" i="4"/>
  <c r="D9" i="8"/>
  <c r="K16" i="6"/>
  <c r="G15" i="6"/>
  <c r="L14" i="6"/>
  <c r="H14" i="6"/>
  <c r="D14" i="6"/>
  <c r="J15" i="6"/>
  <c r="D16" i="6"/>
  <c r="H16" i="6"/>
  <c r="E15" i="6"/>
  <c r="M15" i="6"/>
  <c r="L16" i="6"/>
  <c r="J14" i="6"/>
  <c r="F16" i="6"/>
  <c r="F14" i="6"/>
  <c r="G5" i="6"/>
  <c r="E5" i="6"/>
  <c r="K10" i="8" l="1"/>
  <c r="K10" i="10" s="1"/>
  <c r="J9" i="12" s="1"/>
  <c r="J10" i="10"/>
  <c r="I9" i="12" s="1"/>
  <c r="M9" i="8"/>
  <c r="M9" i="10" s="1"/>
  <c r="L8" i="12" s="1"/>
  <c r="L9" i="10"/>
  <c r="K8" i="12" s="1"/>
  <c r="L8" i="4"/>
  <c r="L8" i="8"/>
  <c r="M9" i="4"/>
  <c r="E14" i="6"/>
  <c r="D8" i="4"/>
  <c r="D8" i="8"/>
  <c r="I16" i="6"/>
  <c r="H10" i="4"/>
  <c r="I10" i="4" s="1"/>
  <c r="H10" i="8"/>
  <c r="E9" i="8"/>
  <c r="E9" i="10" s="1"/>
  <c r="D8" i="12" s="1"/>
  <c r="D9" i="10"/>
  <c r="C8" i="12" s="1"/>
  <c r="K15" i="6"/>
  <c r="J9" i="8"/>
  <c r="J9" i="4"/>
  <c r="E9" i="4"/>
  <c r="I9" i="8"/>
  <c r="I9" i="10" s="1"/>
  <c r="H8" i="12" s="1"/>
  <c r="H9" i="10"/>
  <c r="G8" i="12" s="1"/>
  <c r="K14" i="6"/>
  <c r="J8" i="4"/>
  <c r="K8" i="4" s="1"/>
  <c r="J8" i="8"/>
  <c r="M16" i="6"/>
  <c r="L10" i="4"/>
  <c r="L10" i="8"/>
  <c r="I14" i="6"/>
  <c r="H8" i="8"/>
  <c r="H8" i="4"/>
  <c r="I8" i="4" s="1"/>
  <c r="E16" i="6"/>
  <c r="D10" i="4"/>
  <c r="D10" i="8"/>
  <c r="G14" i="6"/>
  <c r="F8" i="4"/>
  <c r="F8" i="8"/>
  <c r="G16" i="6"/>
  <c r="F10" i="4"/>
  <c r="G10" i="4" s="1"/>
  <c r="F10" i="8"/>
  <c r="M14" i="6"/>
  <c r="G9" i="8"/>
  <c r="G9" i="10" s="1"/>
  <c r="F8" i="12" s="1"/>
  <c r="F9" i="10"/>
  <c r="E8" i="12" s="1"/>
  <c r="F9" i="11" l="1"/>
  <c r="D9" i="11"/>
  <c r="H9" i="11"/>
  <c r="E9" i="11"/>
  <c r="G10" i="11"/>
  <c r="M8" i="8"/>
  <c r="M8" i="10" s="1"/>
  <c r="L7" i="12" s="1"/>
  <c r="L8" i="10"/>
  <c r="K7" i="12" s="1"/>
  <c r="H8" i="10"/>
  <c r="G7" i="12" s="1"/>
  <c r="I8" i="8"/>
  <c r="I8" i="10" s="1"/>
  <c r="H7" i="12" s="1"/>
  <c r="I10" i="8"/>
  <c r="I10" i="10" s="1"/>
  <c r="H9" i="12" s="1"/>
  <c r="H10" i="10"/>
  <c r="G9" i="12" s="1"/>
  <c r="M8" i="4"/>
  <c r="G8" i="4"/>
  <c r="M10" i="8"/>
  <c r="M10" i="10" s="1"/>
  <c r="L9" i="12" s="1"/>
  <c r="L10" i="10"/>
  <c r="K9" i="12" s="1"/>
  <c r="K8" i="8"/>
  <c r="K8" i="10" s="1"/>
  <c r="J7" i="12" s="1"/>
  <c r="J8" i="10"/>
  <c r="I7" i="12" s="1"/>
  <c r="F8" i="10"/>
  <c r="E7" i="12" s="1"/>
  <c r="G8" i="8"/>
  <c r="G8" i="10" s="1"/>
  <c r="F7" i="12" s="1"/>
  <c r="D10" i="10"/>
  <c r="C9" i="12" s="1"/>
  <c r="E10" i="8"/>
  <c r="E10" i="10" s="1"/>
  <c r="D9" i="12" s="1"/>
  <c r="M10" i="4"/>
  <c r="K9" i="4"/>
  <c r="E8" i="8"/>
  <c r="E8" i="10" s="1"/>
  <c r="D7" i="12" s="1"/>
  <c r="D8" i="10"/>
  <c r="C7" i="12" s="1"/>
  <c r="G10" i="8"/>
  <c r="G10" i="10" s="1"/>
  <c r="F9" i="12" s="1"/>
  <c r="F10" i="10"/>
  <c r="E9" i="12" s="1"/>
  <c r="E10" i="4"/>
  <c r="J9" i="10"/>
  <c r="I8" i="12" s="1"/>
  <c r="K9" i="8"/>
  <c r="K9" i="10" s="1"/>
  <c r="J8" i="12" s="1"/>
  <c r="E8" i="4"/>
  <c r="M5" i="6"/>
  <c r="L5" i="6"/>
  <c r="L8" i="6" s="1"/>
  <c r="K5" i="6"/>
  <c r="J5" i="6"/>
  <c r="J8" i="6" s="1"/>
  <c r="I5" i="6"/>
  <c r="H5" i="6"/>
  <c r="H6" i="6" s="1"/>
  <c r="F5" i="6"/>
  <c r="F7" i="6" s="1"/>
  <c r="D5" i="6"/>
  <c r="D8" i="6" s="1"/>
  <c r="F8" i="11" l="1"/>
  <c r="E10" i="11"/>
  <c r="F10" i="11"/>
  <c r="D10" i="11"/>
  <c r="E8" i="11"/>
  <c r="D8" i="11"/>
  <c r="G8" i="11"/>
  <c r="H10" i="11"/>
  <c r="H8" i="11"/>
  <c r="G9" i="11"/>
  <c r="J7" i="4"/>
  <c r="J7" i="8"/>
  <c r="L7" i="4"/>
  <c r="L7" i="8"/>
  <c r="D7" i="4"/>
  <c r="D7" i="8"/>
  <c r="I6" i="6"/>
  <c r="H5" i="4"/>
  <c r="I5" i="4" s="1"/>
  <c r="H5" i="8"/>
  <c r="F6" i="4"/>
  <c r="F6" i="8"/>
  <c r="G7" i="6"/>
  <c r="M8" i="6"/>
  <c r="K8" i="6"/>
  <c r="E8" i="6"/>
  <c r="J6" i="6"/>
  <c r="H7" i="6"/>
  <c r="F8" i="6"/>
  <c r="D6" i="6"/>
  <c r="L6" i="6"/>
  <c r="J7" i="6"/>
  <c r="H8" i="6"/>
  <c r="F6" i="6"/>
  <c r="D7" i="6"/>
  <c r="L7" i="6"/>
  <c r="J5" i="4" l="1"/>
  <c r="J5" i="8"/>
  <c r="E7" i="8"/>
  <c r="E7" i="10" s="1"/>
  <c r="D6" i="12" s="1"/>
  <c r="D7" i="10"/>
  <c r="C6" i="12" s="1"/>
  <c r="E7" i="4"/>
  <c r="H7" i="8"/>
  <c r="H7" i="4"/>
  <c r="L7" i="10"/>
  <c r="K6" i="12" s="1"/>
  <c r="M7" i="8"/>
  <c r="M7" i="10" s="1"/>
  <c r="L6" i="12" s="1"/>
  <c r="J6" i="4"/>
  <c r="J6" i="8"/>
  <c r="D5" i="8"/>
  <c r="D5" i="4"/>
  <c r="F6" i="10"/>
  <c r="E5" i="12" s="1"/>
  <c r="G6" i="8"/>
  <c r="G6" i="10" s="1"/>
  <c r="F5" i="12" s="1"/>
  <c r="M7" i="4"/>
  <c r="D6" i="4"/>
  <c r="D6" i="8"/>
  <c r="F5" i="4"/>
  <c r="F5" i="8"/>
  <c r="G6" i="6"/>
  <c r="L5" i="8"/>
  <c r="M5" i="8" s="1"/>
  <c r="L5" i="4"/>
  <c r="M5" i="4" s="1"/>
  <c r="G6" i="4"/>
  <c r="J7" i="10"/>
  <c r="I6" i="12" s="1"/>
  <c r="K7" i="8"/>
  <c r="K7" i="10" s="1"/>
  <c r="J6" i="12" s="1"/>
  <c r="F7" i="4"/>
  <c r="F7" i="8"/>
  <c r="G8" i="6"/>
  <c r="L6" i="4"/>
  <c r="L6" i="8"/>
  <c r="H6" i="4"/>
  <c r="I6" i="4" s="1"/>
  <c r="H6" i="8"/>
  <c r="I5" i="8"/>
  <c r="I5" i="10" s="1"/>
  <c r="H4" i="12" s="1"/>
  <c r="H5" i="10"/>
  <c r="G4" i="12" s="1"/>
  <c r="K7" i="4"/>
  <c r="K7" i="6"/>
  <c r="I8" i="6"/>
  <c r="M6" i="6"/>
  <c r="E6" i="6"/>
  <c r="M7" i="6"/>
  <c r="E7" i="6"/>
  <c r="K6" i="6"/>
  <c r="E6" i="11" l="1"/>
  <c r="G7" i="11"/>
  <c r="F5" i="11"/>
  <c r="H7" i="11"/>
  <c r="D7" i="11"/>
  <c r="I7" i="4"/>
  <c r="M6" i="8"/>
  <c r="M6" i="10" s="1"/>
  <c r="L5" i="12" s="1"/>
  <c r="L6" i="10"/>
  <c r="K5" i="12" s="1"/>
  <c r="M5" i="10"/>
  <c r="L4" i="12" s="1"/>
  <c r="L5" i="10"/>
  <c r="K4" i="12" s="1"/>
  <c r="I7" i="8"/>
  <c r="I7" i="10" s="1"/>
  <c r="H6" i="12" s="1"/>
  <c r="H7" i="10"/>
  <c r="G6" i="12" s="1"/>
  <c r="M6" i="4"/>
  <c r="E5" i="4"/>
  <c r="G7" i="8"/>
  <c r="G7" i="10" s="1"/>
  <c r="F6" i="12" s="1"/>
  <c r="F7" i="10"/>
  <c r="E6" i="12" s="1"/>
  <c r="G5" i="8"/>
  <c r="G5" i="10" s="1"/>
  <c r="F4" i="12" s="1"/>
  <c r="F5" i="10"/>
  <c r="E4" i="12" s="1"/>
  <c r="E5" i="8"/>
  <c r="E5" i="10" s="1"/>
  <c r="D4" i="12" s="1"/>
  <c r="D5" i="10"/>
  <c r="C4" i="12" s="1"/>
  <c r="G7" i="4"/>
  <c r="G5" i="4"/>
  <c r="K6" i="8"/>
  <c r="K6" i="10" s="1"/>
  <c r="J5" i="12" s="1"/>
  <c r="J6" i="10"/>
  <c r="I5" i="12" s="1"/>
  <c r="E6" i="8"/>
  <c r="E6" i="10" s="1"/>
  <c r="D5" i="12" s="1"/>
  <c r="D6" i="10"/>
  <c r="C5" i="12" s="1"/>
  <c r="K6" i="4"/>
  <c r="K5" i="8"/>
  <c r="K5" i="10" s="1"/>
  <c r="J4" i="12" s="1"/>
  <c r="J5" i="10"/>
  <c r="I4" i="12" s="1"/>
  <c r="I6" i="8"/>
  <c r="I6" i="10" s="1"/>
  <c r="H5" i="12" s="1"/>
  <c r="H6" i="10"/>
  <c r="G5" i="12" s="1"/>
  <c r="E6" i="4"/>
  <c r="K5" i="4"/>
  <c r="F7" i="11" l="1"/>
  <c r="D5" i="11"/>
  <c r="F6" i="11"/>
  <c r="G6" i="11"/>
  <c r="E7" i="11"/>
  <c r="H6" i="11"/>
  <c r="D6" i="11"/>
  <c r="E5" i="11"/>
  <c r="H5" i="11"/>
  <c r="G5" i="1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tc={C9321EC1-C54A-4402-A381-082F7FC96C10}</author>
    <author>tc={7045FCE5-3A87-4FBF-B6F1-BC024BEE59A1}</author>
    <author>tc={8BE84C23-F75F-4414-A1A7-1A84A8EF8EB8}</author>
    <author>tc={15045B05-10DE-4E65-B0CD-1B0B521A9A2E}</author>
    <author>tc={6E548164-2486-43AA-96CB-AEFE50AC49EF}</author>
    <author>tc={5BCA0CA7-4A5F-4643-8F99-8AA21CFAE0DA}</author>
    <author>tc={39E5418F-D062-42ED-8182-4701033C8B91}</author>
    <author>tc={3D531B54-D69C-4E78-944E-9042C07CB63D}</author>
    <author>tc={AF39DA95-28CD-4973-84AA-695E9C202026}</author>
    <author>tc={50CC9E64-4390-4FD2-A57F-EEC8CC9CFA07}</author>
    <author>tc={20F50585-25E0-4134-AF5C-27B1C2BFAB6E}</author>
    <author>tc={B1F63136-4CE2-470C-BB8D-8F1F7C643504}</author>
    <author>tc={7932B4CD-16AC-4EDD-A197-FBAF28A0FDE5}</author>
    <author>tc={5CF8C8A7-211A-4AAC-8E5E-01EE4F5460A2}</author>
    <author>tc={4B07E90F-B29D-49D0-B5CB-CDF0678A54A5}</author>
    <author>tc={4FD5CD79-14BD-47C6-81AD-6473489CF586}</author>
    <author>tc={0A4D7499-6033-4B6F-8198-79529F363461}</author>
    <author>tc={E0D1BD51-A2E9-4D8E-AA2D-752A5E96C2F5}</author>
    <author>tc={000224A4-961D-4F2B-92DD-54CD47A2ACA8}</author>
    <author>tc={A683D8FF-A089-4192-9FFD-577557199F99}</author>
    <author>tc={1885F30C-F341-4D2E-9651-EE488C41EF95}</author>
    <author>tc={00C1D92D-6ADA-4D17-83E5-56F7C20E5764}</author>
    <author>tc={14B1FA45-4227-49E7-94B6-1A34BEC3361F}</author>
    <author>tc={FDD19E43-7AE2-45AB-84AC-F9D66C29D7E2}</author>
    <author>tc={D9955415-FED0-44C0-BC16-F9E54BDF36C5}</author>
    <author>tc={0221D7AC-C2CE-4CFD-A107-83804FA7DEB2}</author>
    <author>tc={ED156D63-9226-4285-9642-FE5B54B44B86}</author>
    <author>tc={EBF2FC4C-979F-487C-88E7-8F514024A04A}</author>
    <author>tc={D6BB1E0A-46EC-4897-B7EE-97D3DD6412B8}</author>
    <author>tc={664CADBB-E1F0-4D30-AB02-56F405F3ECA9}</author>
    <author>tc={887E5342-55B6-4C93-8797-7262C58686C6}</author>
    <author>tc={0A0DA0CD-BF16-4AF5-9CDA-2BAEA1D87123}</author>
    <author>tc={D15B56A0-ECF1-4551-AC76-C05FB4B77D41}</author>
    <author>tc={42E928C0-BFF7-4EE2-9E5C-2949580CD02B}</author>
    <author>tc={760B478C-BB0D-496F-8D4D-6D787D8893D5}</author>
    <author>tc={40F2A3D9-1C45-422E-BE19-C8ABADF804BE}</author>
    <author>tc={66515E3B-0EBF-4E28-85C5-1097A2397EF1}</author>
    <author>tc={A3C6ED71-DFF9-4332-B100-5E6E62A5EBC5}</author>
    <author>tc={D6A5CE93-E0DF-477D-87F3-94EACA07D068}</author>
    <author>tc={648B468E-67A4-48C3-9C87-BDC3076198BB}</author>
    <author>tc={818DF7F4-9EA9-41FE-90EC-1C78948EC005}</author>
    <author>tc={EA4F3444-7881-4791-9244-28C89C8A4E21}</author>
    <author>tc={44948E60-2AEE-4C3E-9F5B-025E9E44FACA}</author>
    <author>tc={E2006A91-EDE6-47F8-8B36-2E8BD62B515A}</author>
    <author>tc={F48A9073-5E21-4080-A2A6-F80FC55A731F}</author>
    <author>tc={AFE7CD19-8B93-4EA8-813E-091D3642CDB5}</author>
    <author>tc={F7703A5E-E499-4CD5-A091-E5C81DC6257B}</author>
    <author>tc={9679DC21-7A4F-45A2-9637-4CDB9652E774}</author>
    <author>tc={45202BF0-CB74-4ED7-BA43-1A39F79BC28E}</author>
    <author>tc={36FC5EA6-3821-4FCA-9FBB-EF98E86CD340}</author>
    <author>tc={AF15DB7D-3976-4743-B74F-257C56E370F3}</author>
    <author>tc={CDDD20E0-6220-489C-81DB-6838F5BB6655}</author>
    <author>tc={2771CAEB-C687-4622-AD44-EAFC9EB45E26}</author>
    <author>tc={3964EABD-1BE7-4C35-B0F7-D6982C585C00}</author>
    <author>tc={A14E79CE-A02C-460A-B97C-E93DF8F9FBB3}</author>
    <author>tc={776C9AA4-ECDC-4D9C-99FD-B693383A130D}</author>
  </authors>
  <commentList>
    <comment ref="D3" authorId="0" shapeId="0" xr:uid="{C9321EC1-C54A-4402-A381-082F7FC96C10}">
      <text>
        <t>[Threaded comment]
Your version of Excel allows you to read this threaded comment; however, any edits to it will get removed if the file is opened in a newer version of Excel. Learn more: https://go.microsoft.com/fwlink/?linkid=870924
Comment:
    Note that because cycle 1 was split into 2 subcycles, all following values are (wherever possible) the weighted average of the two subcycles weighted by their duration.</t>
      </text>
    </comment>
    <comment ref="B4" authorId="1" shapeId="0" xr:uid="{7045FCE5-3A87-4FBF-B6F1-BC024BEE59A1}">
      <text>
        <t>[Threaded comment]
Your version of Excel allows you to read this threaded comment; however, any edits to it will get removed if the file is opened in a newer version of Excel. Learn more: https://go.microsoft.com/fwlink/?linkid=870924
Comment:
    Flux to 70m, the base(ish) of the euphotic zone</t>
      </text>
    </comment>
    <comment ref="B5" authorId="2" shapeId="0" xr:uid="{8BE84C23-F75F-4414-A1A7-1A84A8EF8EB8}">
      <text>
        <t>[Threaded comment]
Your version of Excel allows you to read this threaded comment; however, any edits to it will get removed if the file is opened in a newer version of Excel. Learn more: https://go.microsoft.com/fwlink/?linkid=870924
Comment:
    Note that the summed NPP of the 3 phytoplankton groups via dilution method exceeds 14C NPP. We trust the latter more , so the given value is calculated from the total 14C NPP and the proportion of FCyt NPP attributable to the group.</t>
      </text>
    </comment>
    <comment ref="B7" authorId="3" shapeId="0" xr:uid="{15045B05-10DE-4E65-B0CD-1B0B521A9A2E}">
      <text>
        <t>[Threaded comment]
Your version of Excel allows you to read this threaded comment; however, any edits to it will get removed if the file is opened in a newer version of Excel. Learn more: https://go.microsoft.com/fwlink/?linkid=870924
Comment:
    Both diatom NPP and Mortality are subject to a variety of assumptions. They are calculated using FlowCam biomass with the missing values at the surface assumed to be same as at 12 m, missing values at depth assumed to be proportional to chemtax fuco chl, and values in between assumed to be linearly related to the biomasses we have. Instantaneous growth and grazing rates come from those of fucoxanthin HPLC</t>
      </text>
    </comment>
    <comment ref="B11" authorId="4" shapeId="0" xr:uid="{6E548164-2486-43AA-96CB-AEFE50AC49EF}">
      <text>
        <t>[Threaded comment]
Your version of Excel allows you to read this threaded comment; however, any edits to it will get removed if the file is opened in a newer version of Excel. Learn more: https://go.microsoft.com/fwlink/?linkid=870924
Comment:
    Estimated for each discrete depth from the 14C-incorporation and the grazing:growth ratio estimated from dilution experiments ( NPP * µnetratio (mgC m-3 day-1))integrated over depth. 
Reply:
    Note this differs from Moira and other's use of pigment based grazing rates. Were I to use pigment based grazing I believe the balance generally shifts to favor protistan grazing more.</t>
      </text>
    </comment>
    <comment ref="B12" authorId="5" shapeId="0" xr:uid="{5BCA0CA7-4A5F-4643-8F99-8AA21CFAE0DA}">
      <text>
        <t>[Threaded comment]
Your version of Excel allows you to read this threaded comment; however, any edits to it will get removed if the file is opened in a newer version of Excel. Learn more: https://go.microsoft.com/fwlink/?linkid=870924
Comment:
    Grazing in ug chl/h comes from phaeopigment content per sample * a temperature dependent feeding rate from Dam and Peterson using the temperature at 25 meters. Phaeo consumption was then converted to C using C:Chl detected via HPLC and fluorometry. Because daytime grazing rates were often higher than nighttime, we estimated resident vs migrant contributions to total grazing based on time spent in the euphotic zone and relative proportion of the total biomass.
Reply:
    The C:Chl I'm using is the most up to date and therefore may differ from others like Moira et al 2023</t>
      </text>
    </comment>
    <comment ref="C12" authorId="6" shapeId="0" xr:uid="{39E5418F-D062-42ED-8182-4701033C8B91}">
      <text>
        <t>[Threaded comment]
Your version of Excel allows you to read this threaded comment; however, any edits to it will get removed if the file is opened in a newer version of Excel. Learn more: https://go.microsoft.com/fwlink/?linkid=870924
Comment:
    Requires an accurate C:Chl to convert to C and then N units. Waiting on Andres</t>
      </text>
    </comment>
    <comment ref="B13" authorId="7" shapeId="0" xr:uid="{3D531B54-D69C-4E78-944E-9042C07CB63D}">
      <text>
        <t>[Threaded comment]
Your version of Excel allows you to read this threaded comment; however, any edits to it will get removed if the file is opened in a newer version of Excel. Learn more: https://go.microsoft.com/fwlink/?linkid=870924
Comment:
    DVM portion of the community determined through difference between day and night biomass. Day=nonDVM, Night-Day=DVM. DVM are assumed to spend 12 hours at DVM depth (typically ~200 meters) and contribute to deep nutrient pools during that time.</t>
      </text>
    </comment>
    <comment ref="C14" authorId="8" shapeId="0" xr:uid="{AF39DA95-28CD-4973-84AA-695E9C202026}">
      <text>
        <t>[Threaded comment]
Your version of Excel allows you to read this threaded comment; however, any edits to it will get removed if the file is opened in a newer version of Excel. Learn more: https://go.microsoft.com/fwlink/?linkid=870924
Comment:
    Requires an accurate C:Chl to convert to C and then N units. Waiting on Andres</t>
      </text>
    </comment>
    <comment ref="B16" authorId="9" shapeId="0" xr:uid="{50CC9E64-4390-4FD2-A57F-EEC8CC9CFA07}">
      <text>
        <t>[Threaded comment]
Your version of Excel allows you to read this threaded comment; however, any edits to it will get removed if the file is opened in a newer version of Excel. Learn more: https://go.microsoft.com/fwlink/?linkid=870924
Comment:
    Salps were collected using double oblique Bongo tows, with 0.7m diameter frames equipped with 202 µm nets, General Oceanics flow meters, and an RBR temperature depth recorder. Salp specimens (typically 10) from each tow had their guts excised, and chl a and phaeopigments gut contents were measured. A power function was used to fit the size-specific Gpig (chl a + phaeo) contents for each tow, allowing the estimation of Gpig for each size bin per tow, and this was multiplied by the abundance in each size bin. Gut passage time (GPT) was calculated using a modified equation, based on (von Harbou, Dubischar et al. 2011 doi:10.1007/s00227-011-1709-4) where GPT(h) = 2.607*ln(OAL, mm) - 2.6. Grazing was estimated as: G (h-1) = Gpig /GPT, and scaled using a Q10=2. Daily salp grazing rates were obtained by assuming 14 h of day and 10 h of night, coincident with the times and latitudes at which we sampled these communities during the Salp Particle expOrt and Ocean Production (SalpPOOP) campaign. Cycle estimates were calculated by first averaging all day and all night tows separately, and then adding the two estimates.
Reply:
    Practically speaking I took Moira's fecal pellet production rates and divided by .36 to get the assumed carbon consumption back.</t>
      </text>
    </comment>
    <comment ref="B17" authorId="10" shapeId="0" xr:uid="{20F50585-25E0-4134-AF5C-27B1C2BFAB6E}">
      <text>
        <t xml:space="preserve">[Threaded comment]
Your version of Excel allows you to read this threaded comment; however, any edits to it will get removed if the file is opened in a newer version of Excel. Learn more: https://go.microsoft.com/fwlink/?linkid=870924
Comment:
    Inferred from Moira's Gut Chl based on salp carnivory via trophic level. </t>
      </text>
    </comment>
    <comment ref="D17" authorId="11" shapeId="0" xr:uid="{B1F63136-4CE2-470C-BB8D-8F1F7C643504}">
      <text>
        <t>[Threaded comment]
Your version of Excel allows you to read this threaded comment; however, any edits to it will get removed if the file is opened in a newer version of Excel. Learn more: https://go.microsoft.com/fwlink/?linkid=870924
Comment:
    The typed value here is the cycle averaged proportion of salp diet autotrophy followed by heterotrophy based on CSIAA trophic level (a TL of 2.4 implies ~40% heterotrophy for example)</t>
      </text>
    </comment>
    <comment ref="E17" authorId="12" shapeId="0" xr:uid="{7932B4CD-16AC-4EDD-A197-FBAF28A0FDE5}">
      <text>
        <t>[Threaded comment]
Your version of Excel allows you to read this threaded comment; however, any edits to it will get removed if the file is opened in a newer version of Excel. Learn more: https://go.microsoft.com/fwlink/?linkid=870924
Comment:
    The typed values are, in order, the SD of herbivory, herbivory fraction, SD of carnivory, carnivory fraction.</t>
      </text>
    </comment>
    <comment ref="H17" authorId="13" shapeId="0" xr:uid="{5CF8C8A7-211A-4AAC-8E5E-01EE4F5460A2}">
      <text>
        <t>[Threaded comment]
Your version of Excel allows you to read this threaded comment; however, any edits to it will get removed if the file is opened in a newer version of Excel. Learn more: https://go.microsoft.com/fwlink/?linkid=870924
Comment:
    Note that because Cycle 3 was a nonsalp cycle with no trophic level data, I use the mean of Cycles 1, 2, and 4.</t>
      </text>
    </comment>
    <comment ref="L17" authorId="14" shapeId="0" xr:uid="{4B07E90F-B29D-49D0-B5CB-CDF0678A54A5}">
      <text>
        <t>[Threaded comment]
Your version of Excel allows you to read this threaded comment; however, any edits to it will get removed if the file is opened in a newer version of Excel. Learn more: https://go.microsoft.com/fwlink/?linkid=870924
Comment:
    This value has no standard deviation because it is a single sample from cycle 5. The other 3 had TL&lt;2 which is not possible and were therefore discarded.</t>
      </text>
    </comment>
    <comment ref="B18" authorId="15" shapeId="0" xr:uid="{4FD5CD79-14BD-47C6-81AD-6473489CF586}">
      <text>
        <t>[Threaded comment]
Your version of Excel allows you to read this threaded comment; however, any edits to it will get removed if the file is opened in a newer version of Excel. Learn more: https://go.microsoft.com/fwlink/?linkid=870924
Comment:
    The above number multiplied by the fraction of gut biomass made up by BLPs</t>
      </text>
    </comment>
    <comment ref="D18" authorId="16" shapeId="0" xr:uid="{0A4D7499-6033-4B6F-8198-79529F363461}">
      <text>
        <t>[Threaded comment]
Your version of Excel allows you to read this threaded comment; however, any edits to it will get removed if the file is opened in a newer version of Excel. Learn more: https://go.microsoft.com/fwlink/?linkid=870924
Comment:
    The typed value here is cycle averaged proportion of all salp gut biomass made up by BLPs.</t>
      </text>
    </comment>
    <comment ref="E18" authorId="17" shapeId="0" xr:uid="{E0D1BD51-A2E9-4D8E-AA2D-752A5E96C2F5}">
      <text>
        <t>[Threaded comment]
Your version of Excel allows you to read this threaded comment; however, any edits to it will get removed if the file is opened in a newer version of Excel. Learn more: https://go.microsoft.com/fwlink/?linkid=870924
Comment:
    Typed values are PicoFractSD and PicoFract</t>
      </text>
    </comment>
    <comment ref="L18" authorId="18" shapeId="0" xr:uid="{000224A4-961D-4F2B-92DD-54CD47A2ACA8}">
      <text>
        <t>[Threaded comment]
Your version of Excel allows you to read this threaded comment; however, any edits to it will get removed if the file is opened in a newer version of Excel. Learn more: https://go.microsoft.com/fwlink/?linkid=870924
Comment:
    Because no salp samples were collected from cycle 5, taking the average of the other 4 cycles.</t>
      </text>
    </comment>
    <comment ref="B19" authorId="19" shapeId="0" xr:uid="{A683D8FF-A089-4192-9FFD-577557199F99}">
      <text>
        <t>[Threaded comment]
Your version of Excel allows you to read this threaded comment; however, any edits to it will get removed if the file is opened in a newer version of Excel. Learn more: https://go.microsoft.com/fwlink/?linkid=870924
Comment:
    As above but proportion of diatoms in guts</t>
      </text>
    </comment>
    <comment ref="B20" authorId="20" shapeId="0" xr:uid="{1885F30C-F341-4D2E-9651-EE488C41EF95}">
      <text>
        <t>[Threaded comment]
Your version of Excel allows you to read this threaded comment; however, any edits to it will get removed if the file is opened in a newer version of Excel. Learn more: https://go.microsoft.com/fwlink/?linkid=870924
Comment:
    As above but multiplied by proportion of everything else (hnf, flag, mic).</t>
      </text>
    </comment>
    <comment ref="B21" authorId="21" shapeId="0" xr:uid="{00C1D92D-6ADA-4D17-83E5-56F7C20E5764}">
      <text>
        <t>[Threaded comment]
Your version of Excel allows you to read this threaded comment; however, any edits to it will get removed if the file is opened in a newer version of Excel. Learn more: https://go.microsoft.com/fwlink/?linkid=870924
Comment:
    Determined from grazing rates assuming an egestion efficiency of 0.36 (Huntley, Sykes et al. 1989).</t>
      </text>
    </comment>
    <comment ref="H21" authorId="22" shapeId="0" xr:uid="{14B1FA45-4227-49E7-94B6-1A34BEC3361F}">
      <text>
        <t xml:space="preserve">[Threaded comment]
Your version of Excel allows you to read this threaded comment; however, any edits to it will get removed if the file is opened in a newer version of Excel. Learn more: https://go.microsoft.com/fwlink/?linkid=870924
Comment:
    Because no data is available for Cycles 3 and 5, divided Cycle 1, 2, and 4 production by the salp biomass from each tow to get a per unit biomass rate (again for day and night separately). Then multiplied this by the observed day/night salp biomass for Cycles 3 and 5. </t>
      </text>
    </comment>
    <comment ref="L21" authorId="23" shapeId="0" xr:uid="{FDD19E43-7AE2-45AB-84AC-F9D66C29D7E2}">
      <text>
        <t xml:space="preserve">[Threaded comment]
Your version of Excel allows you to read this threaded comment; however, any edits to it will get removed if the file is opened in a newer version of Excel. Learn more: https://go.microsoft.com/fwlink/?linkid=870924
Comment:
    Because no data is available for Cycles 3 and 5, divided Cycle 1, 2, and 4 production by the salp biomass from each tow to get a per unit biomass rate (again for day and night separately). Then multiplied this by the observed day/night salp biomass for Cycles 3 and 5. </t>
      </text>
    </comment>
    <comment ref="B22" authorId="24" shapeId="0" xr:uid="{D9955415-FED0-44C0-BC16-F9E54BDF36C5}">
      <text>
        <t>[Threaded comment]
Your version of Excel allows you to read this threaded comment; however, any edits to it will get removed if the file is opened in a newer version of Excel. Learn more: https://go.microsoft.com/fwlink/?linkid=870924
Comment:
    Vertically integrated from Fenella Dean's tritiated leucine incorporation.</t>
      </text>
    </comment>
    <comment ref="B23" authorId="25" shapeId="0" xr:uid="{0221D7AC-C2CE-4CFD-A107-83804FA7DEB2}">
      <text>
        <t>[Threaded comment]
Your version of Excel allows you to read this threaded comment; however, any edits to it will get removed if the file is opened in a newer version of Excel. Learn more: https://go.microsoft.com/fwlink/?linkid=870924
Comment:
    Predicted consumption of fish for each prey type based on Pinkerton 2010 average biomass of both prey and fish in the region + average fish consumption and diet makeup. From this I estimated the average daily portion of prey biomass the fish consumed and multiplied by observed prey biomass per cycle to get a predicted ingestion, plus or minus 50% STD</t>
      </text>
    </comment>
    <comment ref="B46" authorId="26" shapeId="0" xr:uid="{ED156D63-9226-4285-9642-FE5B54B44B86}">
      <text>
        <t>[Threaded comment]
Your version of Excel allows you to read this threaded comment; however, any edits to it will get removed if the file is opened in a newer version of Excel. Learn more: https://go.microsoft.com/fwlink/?linkid=870924
Comment:
    Note that because most CTDs do not approach the bottom, this is the temp at 50 m above bottom for only those casts that went that deep.</t>
      </text>
    </comment>
    <comment ref="B47" authorId="27" shapeId="0" xr:uid="{EBF2FC4C-979F-487C-88E7-8F514024A04A}">
      <text>
        <t>[Threaded comment]
Your version of Excel allows you to read this threaded comment; however, any edits to it will get removed if the file is opened in a newer version of Excel. Learn more: https://go.microsoft.com/fwlink/?linkid=870924
Comment:
    Cycle averaged depth 50 meters above bottom for use in estimating rates of demersal fish assuming they spend their time primarily within 100 meters of bottom.</t>
      </text>
    </comment>
    <comment ref="B48" authorId="28" shapeId="0" xr:uid="{D6BB1E0A-46EC-4897-B7EE-97D3DD6412B8}">
      <text>
        <t>[Threaded comment]
Your version of Excel allows you to read this threaded comment; however, any edits to it will get removed if the file is opened in a newer version of Excel. Learn more: https://go.microsoft.com/fwlink/?linkid=870924
Comment:
    Considered a minimum rather than an AE due to likelihood of missing some pellets</t>
      </text>
    </comment>
    <comment ref="B50" authorId="29" shapeId="0" xr:uid="{664CADBB-E1F0-4D30-AB02-56F405F3ECA9}">
      <text>
        <t xml:space="preserve">[Threaded comment]
Your version of Excel allows you to read this threaded comment; however, any edits to it will get removed if the file is opened in a newer version of Excel. Learn more: https://go.microsoft.com/fwlink/?linkid=870924
Comment:
    Note that the large phyto biomasses come from FlowCam and are therefore integrated to the deepest FlowCam depth (typically the DCM or within the mixed layer if there was no DCM). Therefore they are likely underestimates of the true biomass for cycles where the euphotic zone extends past the DCM.
Reply:
    Also note that since these biomasses were not subject to the same issues as the pigments, they are averaged over a larger number of casts for Cycles 1 and 2. This leads to notably higher average biomasses in Cycle 1 than if averaging over only over the casts NPP was taken from (about twice what they would be otherwise) since 14C/pigments missed many of the earlier high productivity casts. </t>
      </text>
    </comment>
    <comment ref="B54" authorId="30" shapeId="0" xr:uid="{887E5342-55B6-4C93-8797-7262C58686C6}">
      <text>
        <t>[Threaded comment]
Your version of Excel allows you to read this threaded comment; however, any edits to it will get removed if the file is opened in a newer version of Excel. Learn more: https://go.microsoft.com/fwlink/?linkid=870924
Comment:
    Via C:N combustion of size fractionated zooplankton biomass.</t>
      </text>
    </comment>
    <comment ref="D54" authorId="31" shapeId="0" xr:uid="{0A0DA0CD-BF16-4AF5-9CDA-2BAEA1D87123}">
      <text>
        <t>[Threaded comment]
Your version of Excel allows you to read this threaded comment; however, any edits to it will get removed if the file is opened in a newer version of Excel. Learn more: https://go.microsoft.com/fwlink/?linkid=870924
Comment:
    Note the daytime biomass here is higher than nighttime, which is not reflected in the bulk dry weight. Could alternatively use dry weight values instead assuming 40% carbon conversion and RR to nitrogen.</t>
      </text>
    </comment>
    <comment ref="B58" authorId="32" shapeId="0" xr:uid="{D15B56A0-ECF1-4551-AC76-C05FB4B77D41}">
      <text>
        <t>[Threaded comment]
Your version of Excel allows you to read this threaded comment; however, any edits to it will get removed if the file is opened in a newer version of Excel. Learn more: https://go.microsoft.com/fwlink/?linkid=870924
Comment:
    This will eventually come from Zooscan and allows me to link respiration and max ingestion inequalities.</t>
      </text>
    </comment>
    <comment ref="B59" authorId="33" shapeId="0" xr:uid="{42E928C0-BFF7-4EE2-9E5C-2949580CD02B}">
      <text>
        <t>[Threaded comment]
Your version of Excel allows you to read this threaded comment; however, any edits to it will get removed if the file is opened in a newer version of Excel. Learn more: https://go.microsoft.com/fwlink/?linkid=870924
Comment:
    This will eventually come from Zooscan and allows me to link respiration and max ingestion inequalities.</t>
      </text>
    </comment>
    <comment ref="B60" authorId="34" shapeId="0" xr:uid="{760B478C-BB0D-496F-8D4D-6D787D8893D5}">
      <text>
        <t>[Threaded comment]
Your version of Excel allows you to read this threaded comment; however, any edits to it will get removed if the file is opened in a newer version of Excel. Learn more: https://go.microsoft.com/fwlink/?linkid=870924
Comment:
    Summed biomass of all salps collected in all bongo tows of a given cycle, averaged over that cycle</t>
      </text>
    </comment>
    <comment ref="D60" authorId="35" shapeId="0" xr:uid="{40F2A3D9-1C45-422E-BE19-C8ABADF804BE}">
      <text>
        <t>[Threaded comment]
Your version of Excel allows you to read this threaded comment; however, any edits to it will get removed if the file is opened in a newer version of Excel. Learn more: https://go.microsoft.com/fwlink/?linkid=870924
Comment:
    Note this is for all salps, not just ST.</t>
      </text>
    </comment>
    <comment ref="B62" authorId="36" shapeId="0" xr:uid="{66515E3B-0EBF-4E28-85C5-1097A2397EF1}">
      <text>
        <t>[Threaded comment]
Your version of Excel allows you to read this threaded comment; however, any edits to it will get removed if the file is opened in a newer version of Excel. Learn more: https://go.microsoft.com/fwlink/?linkid=870924
Comment:
    These are Pinkerton average biomasses scaled to the difference in average prey concentrations vs what we observed in each cycle. Thus they assume a roughly linear relationship between prey and biomass. Utilizing them for Iguchi respiration and Kiorboe total ingestion is thus equivalent to the assumption made for Pinkerton prey-specific ingestions.</t>
      </text>
    </comment>
    <comment ref="D62" authorId="37" shapeId="0" xr:uid="{A3C6ED71-DFF9-4332-B100-5E6E62A5EBC5}">
      <text>
        <t>[Threaded comment]
Your version of Excel allows you to read this threaded comment; however, any edits to it will get removed if the file is opened in a newer version of Excel. Learn more: https://go.microsoft.com/fwlink/?linkid=870924
Comment:
    Mesopelagic fish (myctophids) from Pinkerton 2011</t>
      </text>
    </comment>
    <comment ref="D63" authorId="38" shapeId="0" xr:uid="{D6A5CE93-E0DF-477D-87F3-94EACA07D068}">
      <text>
        <t>[Threaded comment]
Your version of Excel allows you to read this threaded comment; however, any edits to it will get removed if the file is opened in a newer version of Excel. Learn more: https://go.microsoft.com/fwlink/?linkid=870924
Comment:
    Hoki from Pinkerton 2011</t>
      </text>
    </comment>
    <comment ref="D64" authorId="39" shapeId="0" xr:uid="{648B468E-67A4-48C3-9C87-BDC3076198BB}">
      <text>
        <t>[Threaded comment]
Your version of Excel allows you to read this threaded comment; however, any edits to it will get removed if the file is opened in a newer version of Excel. Learn more: https://go.microsoft.com/fwlink/?linkid=870924
Comment:
    S_oreo + warehou from Pinkerton 2011</t>
      </text>
    </comment>
    <comment ref="B68" authorId="40" shapeId="0" xr:uid="{818DF7F4-9EA9-41FE-90EC-1C78948EC005}">
      <text>
        <t xml:space="preserve">[Threaded comment]
Your version of Excel allows you to read this threaded comment; however, any edits to it will get removed if the file is opened in a newer version of Excel. Learn more: https://go.microsoft.com/fwlink/?linkid=870924
Comment:
    Average size of mesozooplankton paramterized as the calanoid copepod Pleuromamma scutullata per Yamaguchi and Ikeda 2000 (Bradford-Grieve actually says P. glacialis but it's at least the same genera). DW (ug) = 18.91*1mm^2.723 = 18.91 ug DW * .4 = 7.564 ug C = 0.007564 mg C
</t>
      </text>
    </comment>
    <comment ref="B69" authorId="41" shapeId="0" xr:uid="{EA4F3444-7881-4791-9244-28C89C8A4E21}">
      <text>
        <t>[Threaded comment]
Your version of Excel allows you to read this threaded comment; however, any edits to it will get removed if the file is opened in a newer version of Excel. Learn more: https://go.microsoft.com/fwlink/?linkid=870924
Comment:
    As the mean of all 4 life stages of Euphausia lucens in the Benguela Current. Alternatively we have mean of only adults at 1.499 +_ 0.299</t>
      </text>
    </comment>
    <comment ref="B70" authorId="42" shapeId="0" xr:uid="{44948E60-2AEE-4C3E-9F5B-025E9E44FACA}">
      <text>
        <t>[Threaded comment]
Your version of Excel allows you to read this threaded comment; however, any edits to it will get removed if the file is opened in a newer version of Excel. Learn more: https://go.microsoft.com/fwlink/?linkid=870924
Comment:
    As Themisto gaudichaudii from a high chl region off South Georgia (Kruse et al 2015) assuming a 40% DW to C conversion.</t>
      </text>
    </comment>
    <comment ref="D71" authorId="43" shapeId="0" xr:uid="{E2006A91-EDE6-47F8-8B36-2E8BD62B515A}">
      <text>
        <t>[Threaded comment]
Your version of Excel allows you to read this threaded comment; however, any edits to it will get removed if the file is opened in a newer version of Excel. Learn more: https://go.microsoft.com/fwlink/?linkid=870924
Comment:
    As the mean of all Siphonophores, Ctenophores, and cnidarians in the Zooscan.</t>
      </text>
    </comment>
    <comment ref="B72" authorId="44" shapeId="0" xr:uid="{F48A9073-5E21-4080-A2A6-F80FC55A731F}">
      <text>
        <t>[Threaded comment]
Your version of Excel allows you to read this threaded comment; however, any edits to it will get removed if the file is opened in a newer version of Excel. Learn more: https://go.microsoft.com/fwlink/?linkid=870924
Comment:
    As the mean ST size from bongo tows, averaged per Cycle and converted to carbon weight using Iguchi and Ikeda 2004. For Cycles 3 and 5 the average of the other 3 cycles is used.</t>
      </text>
    </comment>
    <comment ref="B73" authorId="45" shapeId="0" xr:uid="{AFE7CD19-8B93-4EA8-813E-091D3642CDB5}">
      <text>
        <t xml:space="preserve">[Threaded comment]
Your version of Excel allows you to read this threaded comment; however, any edits to it will get removed if the file is opened in a newer version of Excel. Learn more: https://go.microsoft.com/fwlink/?linkid=870924
Comment:
    From Pinkerton 2011. Ikeda 2016 equation for oxygen respiration and O:N ratio can take WW as we all C mass
</t>
      </text>
    </comment>
    <comment ref="B74" authorId="46" shapeId="0" xr:uid="{F7703A5E-E499-4CD5-A091-E5C81DC6257B}">
      <text>
        <t>[Threaded comment]
Your version of Excel allows you to read this threaded comment; however, any edits to it will get removed if the file is opened in a newer version of Excel. Learn more: https://go.microsoft.com/fwlink/?linkid=870924
Comment:
    As Hoki using median length and W:L conversion from Connell et al 2010</t>
      </text>
    </comment>
    <comment ref="B75" authorId="47" shapeId="0" xr:uid="{9679DC21-7A4F-45A2-9637-4CDB9652E774}">
      <text>
        <t>[Threaded comment]
Your version of Excel allows you to read this threaded comment; however, any edits to it will get removed if the file is opened in a newer version of Excel. Learn more: https://go.microsoft.com/fwlink/?linkid=870924
Comment:
    As Smooth Oreo with mean length from Coombs and Barr, 2004 and W:L from Clark et al. 1999</t>
      </text>
    </comment>
    <comment ref="B76" authorId="48" shapeId="0" xr:uid="{45202BF0-CB74-4ED7-BA43-1A39F79BC28E}">
      <text>
        <t>[Threaded comment]
Your version of Excel allows you to read this threaded comment; however, any edits to it will get removed if the file is opened in a newer version of Excel. Learn more: https://go.microsoft.com/fwlink/?linkid=870924
Comment:
    From Iguchi and Ikeda 2014 daily loss of body nitrogen to ammonia excretion. Temperature corrected daily losses (using a Q10 of 2.8 and euphotic temperatures for day casts and 200 m temps for night) were calculated for each bongo tow and averaged to get separate day and night respiratory quotients. Day and night respiratory losses were then calculated for migratory and resident portions of the community and summed for total community loss.</t>
      </text>
    </comment>
    <comment ref="B81" authorId="49" shapeId="0" xr:uid="{36FC5EA6-3821-4FCA-9FBB-EF98E86CD340}">
      <text>
        <t>[Threaded comment]
Your version of Excel allows you to read this threaded comment; however, any edits to it will get removed if the file is opened in a newer version of Excel. Learn more: https://go.microsoft.com/fwlink/?linkid=870924
Comment:
    Currently displayed is just ST bodies</t>
      </text>
    </comment>
    <comment ref="D81" authorId="50" shapeId="0" xr:uid="{AF15DB7D-3976-4743-B74F-257C56E370F3}">
      <text>
        <t>[Threaded comment]
Your version of Excel allows you to read this threaded comment; however, any edits to it will get removed if the file is opened in a newer version of Excel. Learn more: https://go.microsoft.com/fwlink/?linkid=870924
Comment:
    2.57 if using all salps</t>
      </text>
    </comment>
    <comment ref="E81" authorId="51" shapeId="0" xr:uid="{CDDD20E0-6220-489C-81DB-6838F5BB6655}">
      <text>
        <t>[Threaded comment]
Your version of Excel allows you to read this threaded comment; however, any edits to it will get removed if the file is opened in a newer version of Excel. Learn more: https://go.microsoft.com/fwlink/?linkid=870924
Comment:
    0.88 if using all salps</t>
      </text>
    </comment>
    <comment ref="F81" authorId="52" shapeId="0" xr:uid="{2771CAEB-C687-4622-AD44-EAFC9EB45E26}">
      <text>
        <t>[Threaded comment]
Your version of Excel allows you to read this threaded comment; however, any edits to it will get removed if the file is opened in a newer version of Excel. Learn more: https://go.microsoft.com/fwlink/?linkid=870924
Comment:
    1.30 if using all salps</t>
      </text>
    </comment>
    <comment ref="G81" authorId="53" shapeId="0" xr:uid="{3964EABD-1BE7-4C35-B0F7-D6982C585C00}">
      <text>
        <t>[Threaded comment]
Your version of Excel allows you to read this threaded comment; however, any edits to it will get removed if the file is opened in a newer version of Excel. Learn more: https://go.microsoft.com/fwlink/?linkid=870924
Comment:
    1.22 if using all salps</t>
      </text>
    </comment>
    <comment ref="J81" authorId="54" shapeId="0" xr:uid="{A14E79CE-A02C-460A-B97C-E93DF8F9FBB3}">
      <text>
        <t>[Threaded comment]
Your version of Excel allows you to read this threaded comment; however, any edits to it will get removed if the file is opened in a newer version of Excel. Learn more: https://go.microsoft.com/fwlink/?linkid=870924
Comment:
    7.49 if using all salps</t>
      </text>
    </comment>
    <comment ref="K81" authorId="55" shapeId="0" xr:uid="{776C9AA4-ECDC-4D9C-99FD-B693383A130D}">
      <text>
        <t>[Threaded comment]
Your version of Excel allows you to read this threaded comment; however, any edits to it will get removed if the file is opened in a newer version of Excel. Learn more: https://go.microsoft.com/fwlink/?linkid=870924
Comment:
    1.19 if using all salps</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tc={54EF86B6-5502-4598-9CDA-F8BB5CD5984F}</author>
    <author>tc={92912526-C464-42D6-BB9A-6C1B0FC86DA8}</author>
    <author>tc={848E3BA0-2D40-41CD-9E95-7C261C3778CD}</author>
    <author>tc={74DF4045-DF81-435E-91BC-3A32FB5D278F}</author>
    <author>tc={2D48652A-0B9D-425B-9A4A-E7708C92A393}</author>
    <author>tc={C65BECA0-47FA-4F10-BFCA-BBF81418170F}</author>
    <author>tc={4F2CA99A-1F4C-4408-9CBA-574F8B30048F}</author>
    <author>tc={C1398F09-3AEE-4AEC-A42E-B438478586F4}</author>
    <author>tc={BB0B6915-96FE-4B3E-9E12-8FCFB40B5567}</author>
    <author>tc={1FDE964E-F9A9-4616-BDCB-730BDC43D77F}</author>
    <author>tc={34A41410-02B5-4183-8AB4-796E04646837}</author>
    <author>tc={E72A82FF-0B73-4BDC-84A9-87A417705F94}</author>
    <author>tc={5DF64066-6007-4855-B351-06575781BCA4}</author>
    <author>tc={DCA30B1E-94F0-4F4E-9370-05FBC1DF4172}</author>
    <author>tc={CDE7972F-8C5C-4678-A964-AE0D4DD2834A}</author>
    <author>tc={A95281B9-FCF8-48E6-B515-C3675C30C407}</author>
    <author>tc={6F8D6295-C96C-4932-8EFF-22CD823C0B26}</author>
    <author>tc={5D448680-ACEA-4BFF-9DAC-DB836DE372E7}</author>
    <author>tc={B8F79A70-B531-4D33-BA49-51F9D72C83CA}</author>
    <author>tc={6350287F-4E82-4B5F-AA9F-A769A84B4BCC}</author>
    <author>tc={D7FA3A16-A4C5-4170-8F27-B8973DF6042C}</author>
    <author>tc={B7B9E5A4-0358-4C52-8000-1805B620AE36}</author>
    <author>tc={50F62DB0-5C85-4C36-9ED1-31A3EABF713D}</author>
    <author>tc={0908089F-DCBC-47CB-ADA2-D5AC359CFDC4}</author>
    <author>tc={04A26114-FD93-4E39-8DA4-B3E582A25133}</author>
    <author>tc={4DB47C88-B503-408C-B4F3-1DAB4FCBA1D2}</author>
    <author>tc={BC2AF2ED-F9F5-4564-B464-3BA15526B17E}</author>
    <author>tc={66E4B897-D267-4BAD-A9CF-7DC73822E3D9}</author>
    <author>tc={51D0568E-4241-486D-9ADC-736FE3DCD8B4}</author>
    <author>tc={EA0B3975-E875-45D0-866B-59E314DB8409}</author>
    <author>tc={CC885D9A-F0B1-4F0B-BB88-582FEB4B3429}</author>
    <author>tc={D5CCDA18-DB13-4CA7-AB4A-251A8546588F}</author>
    <author>tc={7DBEEB94-4A3D-4F49-B3A4-F10015EA9FD7}</author>
    <author>tc={9B41417B-0033-4689-B660-149C8EC5123B}</author>
    <author>tc={EDCD72AD-3493-4EB7-8B4C-8247FFDC08C1}</author>
    <author>tc={27ED9E92-8ACC-49BE-B766-9A0ADC50794C}</author>
    <author>tc={9E10101C-4742-4693-8BDC-45D6F3D551B7}</author>
    <author>tc={09A75FA0-C9F7-43C7-B6AB-B0586CA5EAD0}</author>
    <author>tc={6347F9EB-22A8-43A0-896E-DA5E0B1E9040}</author>
    <author>tc={4036D3C0-F414-4F9D-861A-53DBDC9A28B9}</author>
    <author>tc={45B7A00B-8B7F-4209-85C6-DFEF29596922}</author>
    <author>tc={749F45AC-7E56-4A7E-B7AE-87F9CEFFFD82}</author>
    <author>tc={2A8588C9-F9B2-466C-B3AB-81DF102B6E9C}</author>
    <author>tc={D07ACE21-7FA2-4A4C-B2CD-B75DBC5C365C}</author>
    <author>tc={33C5F81B-E39D-4DCD-B627-478835FB309C}</author>
    <author>tc={C93AB2F3-EB62-4222-9472-6308FDFDAE9A}</author>
    <author>tc={A0B0205E-11B1-4817-8BE6-21576A73C9CB}</author>
    <author>tc={77D12CB3-9262-40C3-B606-913D357D1383}</author>
    <author>tc={294A4309-1FF6-4D53-B5C5-3EDBBF9AF4BC}</author>
    <author>tc={78FBB15B-8A2F-4047-BE5A-05DABDE3C4F6}</author>
    <author>tc={08314FC3-18CC-40C3-99E8-A81DDA4C5374}</author>
    <author>tc={E104ACA7-7463-4691-A4D1-FCBC2B7CB427}</author>
    <author>tc={F8EC1267-53B2-4A3E-9699-86EA3A50D7D9}</author>
    <author>tc={6E73C80D-F584-4180-A60D-6D32B93692E2}</author>
    <author>tc={7ACDB6F5-1516-4C3C-A672-0CA2CC539ACF}</author>
    <author>tc={1B4B75D3-5DE2-4753-B8E7-B3505804D110}</author>
  </authors>
  <commentList>
    <comment ref="D3" authorId="0" shapeId="0" xr:uid="{54EF86B6-5502-4598-9CDA-F8BB5CD5984F}">
      <text>
        <t>[Threaded comment]
Your version of Excel allows you to read this threaded comment; however, any edits to it will get removed if the file is opened in a newer version of Excel. Learn more: https://go.microsoft.com/fwlink/?linkid=870924
Comment:
    Note that because cycle 1 was split into 2 subcycles, all following values are (wherever possible) the weighted average of the two subcycles weighted by their duration.</t>
      </text>
    </comment>
    <comment ref="B4" authorId="1" shapeId="0" xr:uid="{92912526-C464-42D6-BB9A-6C1B0FC86DA8}">
      <text>
        <t>[Threaded comment]
Your version of Excel allows you to read this threaded comment; however, any edits to it will get removed if the file is opened in a newer version of Excel. Learn more: https://go.microsoft.com/fwlink/?linkid=870924
Comment:
    Flux to 70m, the base(ish) of the euphotic zone</t>
      </text>
    </comment>
    <comment ref="B5" authorId="2" shapeId="0" xr:uid="{848E3BA0-2D40-41CD-9E95-7C261C3778CD}">
      <text>
        <t>[Threaded comment]
Your version of Excel allows you to read this threaded comment; however, any edits to it will get removed if the file is opened in a newer version of Excel. Learn more: https://go.microsoft.com/fwlink/?linkid=870924
Comment:
    Note that the summed NPP of the 3 phytoplankton groups via dilution method exceeds 14C NPP. We trust the latter more , so the given value is calculated from the total 14C NPP and the proportion of FCyt NPP attributable to the group.</t>
      </text>
    </comment>
    <comment ref="B7" authorId="3" shapeId="0" xr:uid="{74DF4045-DF81-435E-91BC-3A32FB5D278F}">
      <text>
        <t>[Threaded comment]
Your version of Excel allows you to read this threaded comment; however, any edits to it will get removed if the file is opened in a newer version of Excel. Learn more: https://go.microsoft.com/fwlink/?linkid=870924
Comment:
    Both diatom NPP and Mortality are subject to a variety of assumptions. They are calculated using FlowCam biomass with the missing values at the surface assumed to be same as at 12 m, missing values at depth assumed to be proportional to chemtax fuco chl, and values in between assumed to be linearly related to the biomasses we have. Instantaneous growth and grazing rates come from those of fucoxanthin HPLC</t>
      </text>
    </comment>
    <comment ref="B11" authorId="4" shapeId="0" xr:uid="{2D48652A-0B9D-425B-9A4A-E7708C92A393}">
      <text>
        <t>[Threaded comment]
Your version of Excel allows you to read this threaded comment; however, any edits to it will get removed if the file is opened in a newer version of Excel. Learn more: https://go.microsoft.com/fwlink/?linkid=870924
Comment:
    Estimated for each discrete depth from the 14C-incorporation and the grazing:growth ratio estimated from dilution experiments ( NPP * µnetratio (mgC m-3 day-1))integrated over depth. 
Reply:
    Note this differs from Moira and other's use of pigment based grazing rates. Were I to use pigment based grazing I believe the balance generally shifts to favor protistan grazing more.</t>
      </text>
    </comment>
    <comment ref="B12" authorId="5" shapeId="0" xr:uid="{C65BECA0-47FA-4F10-BFCA-BBF81418170F}">
      <text>
        <t>[Threaded comment]
Your version of Excel allows you to read this threaded comment; however, any edits to it will get removed if the file is opened in a newer version of Excel. Learn more: https://go.microsoft.com/fwlink/?linkid=870924
Comment:
    Grazing in ug chl/h comes from phaeopigment content per sample * a temperature dependent feeding rate from Dam and Peterson using the temperature at 25 meters. Phaeo consumption was then converted to C using C:Chl detected via HPLC and fluorometry. Because daytime grazing rates were often higher than nighttime, we estimated resident vs migrant contributions to total grazing based on time spent in the euphotic zone and relative proportion of the total biomass.
Reply:
    The C:Chl I'm using is the most up to date and therefore may differ from others like Moira et al 2023</t>
      </text>
    </comment>
    <comment ref="C12" authorId="6" shapeId="0" xr:uid="{4F2CA99A-1F4C-4408-9CBA-574F8B30048F}">
      <text>
        <t>[Threaded comment]
Your version of Excel allows you to read this threaded comment; however, any edits to it will get removed if the file is opened in a newer version of Excel. Learn more: https://go.microsoft.com/fwlink/?linkid=870924
Comment:
    Requires an accurate C:Chl to convert to C and then N units. Waiting on Andres</t>
      </text>
    </comment>
    <comment ref="B13" authorId="7" shapeId="0" xr:uid="{C1398F09-3AEE-4AEC-A42E-B438478586F4}">
      <text>
        <t>[Threaded comment]
Your version of Excel allows you to read this threaded comment; however, any edits to it will get removed if the file is opened in a newer version of Excel. Learn more: https://go.microsoft.com/fwlink/?linkid=870924
Comment:
    DVM portion of the community determined through difference between day and night biomass. Day=nonDVM, Night-Day=DVM. DVM are assumed to spend 12 hours at DVM depth (typically ~200 meters) and contribute to deep nutrient pools during that time.</t>
      </text>
    </comment>
    <comment ref="C14" authorId="8" shapeId="0" xr:uid="{BB0B6915-96FE-4B3E-9E12-8FCFB40B5567}">
      <text>
        <t>[Threaded comment]
Your version of Excel allows you to read this threaded comment; however, any edits to it will get removed if the file is opened in a newer version of Excel. Learn more: https://go.microsoft.com/fwlink/?linkid=870924
Comment:
    Requires an accurate C:Chl to convert to C and then N units. Waiting on Andres</t>
      </text>
    </comment>
    <comment ref="B16" authorId="9" shapeId="0" xr:uid="{1FDE964E-F9A9-4616-BDCB-730BDC43D77F}">
      <text>
        <t>[Threaded comment]
Your version of Excel allows you to read this threaded comment; however, any edits to it will get removed if the file is opened in a newer version of Excel. Learn more: https://go.microsoft.com/fwlink/?linkid=870924
Comment:
    Salps were collected using double oblique Bongo tows, with 0.7m diameter frames equipped with 202 µm nets, General Oceanics flow meters, and an RBR temperature depth recorder. Salp specimens (typically 10) from each tow had their guts excised, and chl a and phaeopigments gut contents were measured. A power function was used to fit the size-specific Gpig (chl a + phaeo) contents for each tow, allowing the estimation of Gpig for each size bin per tow, and this was multiplied by the abundance in each size bin. Gut passage time (GPT) was calculated using a modified equation, based on (von Harbou, Dubischar et al. 2011 doi:10.1007/s00227-011-1709-4) where GPT(h) = 2.607*ln(OAL, mm) - 2.6. Grazing was estimated as: G (h-1) = Gpig /GPT, and scaled using a Q10=2. Daily salp grazing rates were obtained by assuming 14 h of day and 10 h of night, coincident with the times and latitudes at which we sampled these communities during the Salp Particle expOrt and Ocean Production (SalpPOOP) campaign. Cycle estimates were calculated by first averaging all day and all night tows separately, and then adding the two estimates.
Reply:
    Practically speaking I took Moira's fecal pellet production rates and divided by .36 to get the assumed carbon consumption back.</t>
      </text>
    </comment>
    <comment ref="B17" authorId="10" shapeId="0" xr:uid="{34A41410-02B5-4183-8AB4-796E04646837}">
      <text>
        <t xml:space="preserve">[Threaded comment]
Your version of Excel allows you to read this threaded comment; however, any edits to it will get removed if the file is opened in a newer version of Excel. Learn more: https://go.microsoft.com/fwlink/?linkid=870924
Comment:
    Inferred from Moira's Gut Chl based on salp carnivory via trophic level. </t>
      </text>
    </comment>
    <comment ref="D17" authorId="11" shapeId="0" xr:uid="{E72A82FF-0B73-4BDC-84A9-87A417705F94}">
      <text>
        <t>[Threaded comment]
Your version of Excel allows you to read this threaded comment; however, any edits to it will get removed if the file is opened in a newer version of Excel. Learn more: https://go.microsoft.com/fwlink/?linkid=870924
Comment:
    The typed value here is the cycle averaged proportion of salp diet autotrophy followed by heterotrophy based on CSIAA trophic level (a TL of 2.4 implies ~40% heterotrophy for example)</t>
      </text>
    </comment>
    <comment ref="E17" authorId="12" shapeId="0" xr:uid="{5DF64066-6007-4855-B351-06575781BCA4}">
      <text>
        <t>[Threaded comment]
Your version of Excel allows you to read this threaded comment; however, any edits to it will get removed if the file is opened in a newer version of Excel. Learn more: https://go.microsoft.com/fwlink/?linkid=870924
Comment:
    The typed values are, in order, the SD of herbivory, herbivory fraction, SD of carnivory, carnivory fraction.</t>
      </text>
    </comment>
    <comment ref="H17" authorId="13" shapeId="0" xr:uid="{DCA30B1E-94F0-4F4E-9370-05FBC1DF4172}">
      <text>
        <t>[Threaded comment]
Your version of Excel allows you to read this threaded comment; however, any edits to it will get removed if the file is opened in a newer version of Excel. Learn more: https://go.microsoft.com/fwlink/?linkid=870924
Comment:
    Note that because Cycle 3 was a nonsalp cycle with no trophic level data, I use the mean of Cycles 1, 2, and 4.</t>
      </text>
    </comment>
    <comment ref="L17" authorId="14" shapeId="0" xr:uid="{CDE7972F-8C5C-4678-A964-AE0D4DD2834A}">
      <text>
        <t>[Threaded comment]
Your version of Excel allows you to read this threaded comment; however, any edits to it will get removed if the file is opened in a newer version of Excel. Learn more: https://go.microsoft.com/fwlink/?linkid=870924
Comment:
    This value has no standard deviation because it is a single sample from cycle 5. The other 3 had TL&lt;2 which is not possible and were therefore discarded.</t>
      </text>
    </comment>
    <comment ref="B18" authorId="15" shapeId="0" xr:uid="{A95281B9-FCF8-48E6-B515-C3675C30C407}">
      <text>
        <t>[Threaded comment]
Your version of Excel allows you to read this threaded comment; however, any edits to it will get removed if the file is opened in a newer version of Excel. Learn more: https://go.microsoft.com/fwlink/?linkid=870924
Comment:
    The above number multiplied by the fraction of gut biomass made up by BLPs</t>
      </text>
    </comment>
    <comment ref="D18" authorId="16" shapeId="0" xr:uid="{6F8D6295-C96C-4932-8EFF-22CD823C0B26}">
      <text>
        <t>[Threaded comment]
Your version of Excel allows you to read this threaded comment; however, any edits to it will get removed if the file is opened in a newer version of Excel. Learn more: https://go.microsoft.com/fwlink/?linkid=870924
Comment:
    The typed value here is cycle averaged proportion of all salp gut biomass made up by BLPs.</t>
      </text>
    </comment>
    <comment ref="E18" authorId="17" shapeId="0" xr:uid="{5D448680-ACEA-4BFF-9DAC-DB836DE372E7}">
      <text>
        <t>[Threaded comment]
Your version of Excel allows you to read this threaded comment; however, any edits to it will get removed if the file is opened in a newer version of Excel. Learn more: https://go.microsoft.com/fwlink/?linkid=870924
Comment:
    Typed values are PicoFractSD and PicoFract</t>
      </text>
    </comment>
    <comment ref="L18" authorId="18" shapeId="0" xr:uid="{B8F79A70-B531-4D33-BA49-51F9D72C83CA}">
      <text>
        <t>[Threaded comment]
Your version of Excel allows you to read this threaded comment; however, any edits to it will get removed if the file is opened in a newer version of Excel. Learn more: https://go.microsoft.com/fwlink/?linkid=870924
Comment:
    Because no salp samples were collected from cycle 5, taking the average of the other 4 cycles.</t>
      </text>
    </comment>
    <comment ref="B19" authorId="19" shapeId="0" xr:uid="{6350287F-4E82-4B5F-AA9F-A769A84B4BCC}">
      <text>
        <t>[Threaded comment]
Your version of Excel allows you to read this threaded comment; however, any edits to it will get removed if the file is opened in a newer version of Excel. Learn more: https://go.microsoft.com/fwlink/?linkid=870924
Comment:
    As above but proportion of diatoms in guts</t>
      </text>
    </comment>
    <comment ref="B20" authorId="20" shapeId="0" xr:uid="{D7FA3A16-A4C5-4170-8F27-B8973DF6042C}">
      <text>
        <t>[Threaded comment]
Your version of Excel allows you to read this threaded comment; however, any edits to it will get removed if the file is opened in a newer version of Excel. Learn more: https://go.microsoft.com/fwlink/?linkid=870924
Comment:
    As above but multiplied by proportion of everything else (hnf, flag, mic).</t>
      </text>
    </comment>
    <comment ref="B21" authorId="21" shapeId="0" xr:uid="{B7B9E5A4-0358-4C52-8000-1805B620AE36}">
      <text>
        <t>[Threaded comment]
Your version of Excel allows you to read this threaded comment; however, any edits to it will get removed if the file is opened in a newer version of Excel. Learn more: https://go.microsoft.com/fwlink/?linkid=870924
Comment:
    Determined from grazing rates assuming an egestion efficiency of 0.36 (Huntley, Sykes et al. 1989).</t>
      </text>
    </comment>
    <comment ref="H21" authorId="22" shapeId="0" xr:uid="{50F62DB0-5C85-4C36-9ED1-31A3EABF713D}">
      <text>
        <t xml:space="preserve">[Threaded comment]
Your version of Excel allows you to read this threaded comment; however, any edits to it will get removed if the file is opened in a newer version of Excel. Learn more: https://go.microsoft.com/fwlink/?linkid=870924
Comment:
    Because no data is available for Cycles 3 and 5, divided Cycle 1, 2, and 4 production by the salp biomass from each tow to get a per unit biomass rate (again for day and night separately). Then multiplied this by the observed day/night salp biomass for Cycles 3 and 5. </t>
      </text>
    </comment>
    <comment ref="L21" authorId="23" shapeId="0" xr:uid="{0908089F-DCBC-47CB-ADA2-D5AC359CFDC4}">
      <text>
        <t xml:space="preserve">[Threaded comment]
Your version of Excel allows you to read this threaded comment; however, any edits to it will get removed if the file is opened in a newer version of Excel. Learn more: https://go.microsoft.com/fwlink/?linkid=870924
Comment:
    Because no data is available for Cycles 3 and 5, divided Cycle 1, 2, and 4 production by the salp biomass from each tow to get a per unit biomass rate (again for day and night separately). Then multiplied this by the observed day/night salp biomass for Cycles 3 and 5. </t>
      </text>
    </comment>
    <comment ref="B22" authorId="24" shapeId="0" xr:uid="{04A26114-FD93-4E39-8DA4-B3E582A25133}">
      <text>
        <t>[Threaded comment]
Your version of Excel allows you to read this threaded comment; however, any edits to it will get removed if the file is opened in a newer version of Excel. Learn more: https://go.microsoft.com/fwlink/?linkid=870924
Comment:
    Vertically integrated from Fenella Dean's tritiated leucine incorporation.</t>
      </text>
    </comment>
    <comment ref="B23" authorId="25" shapeId="0" xr:uid="{4DB47C88-B503-408C-B4F3-1DAB4FCBA1D2}">
      <text>
        <t>[Threaded comment]
Your version of Excel allows you to read this threaded comment; however, any edits to it will get removed if the file is opened in a newer version of Excel. Learn more: https://go.microsoft.com/fwlink/?linkid=870924
Comment:
    Predicted consumption of fish for each prey type based on Pinkerton 2010 average biomass of both prey and fish in the region + average fish consumption and diet makeup. From this I estimated the average daily portion of prey biomass the fish consumed and multiplied by observed prey biomass per cycle to get a predicted ingestion, plus or minus 50% STD</t>
      </text>
    </comment>
    <comment ref="B46" authorId="26" shapeId="0" xr:uid="{BC2AF2ED-F9F5-4564-B464-3BA15526B17E}">
      <text>
        <t>[Threaded comment]
Your version of Excel allows you to read this threaded comment; however, any edits to it will get removed if the file is opened in a newer version of Excel. Learn more: https://go.microsoft.com/fwlink/?linkid=870924
Comment:
    Note that because most CTDs do not approach the bottom, this is the temp at 50 m above bottom for only those casts that went that deep.</t>
      </text>
    </comment>
    <comment ref="B47" authorId="27" shapeId="0" xr:uid="{66E4B897-D267-4BAD-A9CF-7DC73822E3D9}">
      <text>
        <t>[Threaded comment]
Your version of Excel allows you to read this threaded comment; however, any edits to it will get removed if the file is opened in a newer version of Excel. Learn more: https://go.microsoft.com/fwlink/?linkid=870924
Comment:
    Cycle averaged depth 50 meters above bottom for use in estimating rates of demersal fish assuming they spend their time primarily within 100 meters of bottom.</t>
      </text>
    </comment>
    <comment ref="B48" authorId="28" shapeId="0" xr:uid="{51D0568E-4241-486D-9ADC-736FE3DCD8B4}">
      <text>
        <t>[Threaded comment]
Your version of Excel allows you to read this threaded comment; however, any edits to it will get removed if the file is opened in a newer version of Excel. Learn more: https://go.microsoft.com/fwlink/?linkid=870924
Comment:
    Considered a minimum rather than an AE due to likelihood of missing some pellets</t>
      </text>
    </comment>
    <comment ref="B50" authorId="29" shapeId="0" xr:uid="{EA0B3975-E875-45D0-866B-59E314DB8409}">
      <text>
        <t xml:space="preserve">[Threaded comment]
Your version of Excel allows you to read this threaded comment; however, any edits to it will get removed if the file is opened in a newer version of Excel. Learn more: https://go.microsoft.com/fwlink/?linkid=870924
Comment:
    Note that the large phyto biomasses come from FlowCam and are therefore integrated to the deepest FlowCam depth (typically the DCM or within the mixed layer if there was no DCM). Therefore they are likely underestimates of the true biomass for cycles where the euphotic zone extends past the DCM.
Reply:
    Also note that since these biomasses were not subject to the same issues as the pigments, they are averaged over a larger number of casts for Cycles 1 and 2. This leads to notably higher average biomasses in Cycle 1 than if averaging over only over the casts NPP was taken from (about twice what they would be otherwise) since 14C/pigments missed many of the earlier high productivity casts. </t>
      </text>
    </comment>
    <comment ref="B54" authorId="30" shapeId="0" xr:uid="{CC885D9A-F0B1-4F0B-BB88-582FEB4B3429}">
      <text>
        <t>[Threaded comment]
Your version of Excel allows you to read this threaded comment; however, any edits to it will get removed if the file is opened in a newer version of Excel. Learn more: https://go.microsoft.com/fwlink/?linkid=870924
Comment:
    Via C:N combustion of size fractionated zooplankton biomass.</t>
      </text>
    </comment>
    <comment ref="D54" authorId="31" shapeId="0" xr:uid="{D5CCDA18-DB13-4CA7-AB4A-251A8546588F}">
      <text>
        <t>[Threaded comment]
Your version of Excel allows you to read this threaded comment; however, any edits to it will get removed if the file is opened in a newer version of Excel. Learn more: https://go.microsoft.com/fwlink/?linkid=870924
Comment:
    Note the daytime biomass here is higher than nighttime, which is not reflected in the bulk dry weight. Could alternatively use dry weight values instead assuming 40% carbon conversion and RR to nitrogen.</t>
      </text>
    </comment>
    <comment ref="B58" authorId="32" shapeId="0" xr:uid="{7DBEEB94-4A3D-4F49-B3A4-F10015EA9FD7}">
      <text>
        <t>[Threaded comment]
Your version of Excel allows you to read this threaded comment; however, any edits to it will get removed if the file is opened in a newer version of Excel. Learn more: https://go.microsoft.com/fwlink/?linkid=870924
Comment:
    This will eventually come from Zooscan and allows me to link respiration and max ingestion inequalities.</t>
      </text>
    </comment>
    <comment ref="B59" authorId="33" shapeId="0" xr:uid="{9B41417B-0033-4689-B660-149C8EC5123B}">
      <text>
        <t>[Threaded comment]
Your version of Excel allows you to read this threaded comment; however, any edits to it will get removed if the file is opened in a newer version of Excel. Learn more: https://go.microsoft.com/fwlink/?linkid=870924
Comment:
    This will eventually come from Zooscan and allows me to link respiration and max ingestion inequalities.</t>
      </text>
    </comment>
    <comment ref="B60" authorId="34" shapeId="0" xr:uid="{EDCD72AD-3493-4EB7-8B4C-8247FFDC08C1}">
      <text>
        <t>[Threaded comment]
Your version of Excel allows you to read this threaded comment; however, any edits to it will get removed if the file is opened in a newer version of Excel. Learn more: https://go.microsoft.com/fwlink/?linkid=870924
Comment:
    Summed biomass of all salps collected in all bongo tows of a given cycle, averaged over that cycle</t>
      </text>
    </comment>
    <comment ref="D60" authorId="35" shapeId="0" xr:uid="{27ED9E92-8ACC-49BE-B766-9A0ADC50794C}">
      <text>
        <t>[Threaded comment]
Your version of Excel allows you to read this threaded comment; however, any edits to it will get removed if the file is opened in a newer version of Excel. Learn more: https://go.microsoft.com/fwlink/?linkid=870924
Comment:
    Note this is for all salps, not just ST.</t>
      </text>
    </comment>
    <comment ref="B62" authorId="36" shapeId="0" xr:uid="{9E10101C-4742-4693-8BDC-45D6F3D551B7}">
      <text>
        <t>[Threaded comment]
Your version of Excel allows you to read this threaded comment; however, any edits to it will get removed if the file is opened in a newer version of Excel. Learn more: https://go.microsoft.com/fwlink/?linkid=870924
Comment:
    These are Pinkerton average biomasses scaled to the difference in average prey concentrations vs what we observed in each cycle. Thus they assume a roughly linear relationship between prey and biomass. Utilizing them for Iguchi respiration and Kiorboe total ingestion is thus equivalent to the assumption made for Pinkerton prey-specific ingestions.</t>
      </text>
    </comment>
    <comment ref="D62" authorId="37" shapeId="0" xr:uid="{09A75FA0-C9F7-43C7-B6AB-B0586CA5EAD0}">
      <text>
        <t>[Threaded comment]
Your version of Excel allows you to read this threaded comment; however, any edits to it will get removed if the file is opened in a newer version of Excel. Learn more: https://go.microsoft.com/fwlink/?linkid=870924
Comment:
    Mesopelagic fish (myctophids) from Pinkerton 2011</t>
      </text>
    </comment>
    <comment ref="D63" authorId="38" shapeId="0" xr:uid="{6347F9EB-22A8-43A0-896E-DA5E0B1E9040}">
      <text>
        <t>[Threaded comment]
Your version of Excel allows you to read this threaded comment; however, any edits to it will get removed if the file is opened in a newer version of Excel. Learn more: https://go.microsoft.com/fwlink/?linkid=870924
Comment:
    Hoki from Pinkerton 2011</t>
      </text>
    </comment>
    <comment ref="D64" authorId="39" shapeId="0" xr:uid="{4036D3C0-F414-4F9D-861A-53DBDC9A28B9}">
      <text>
        <t>[Threaded comment]
Your version of Excel allows you to read this threaded comment; however, any edits to it will get removed if the file is opened in a newer version of Excel. Learn more: https://go.microsoft.com/fwlink/?linkid=870924
Comment:
    S_oreo + warehou from Pinkerton 2011</t>
      </text>
    </comment>
    <comment ref="B68" authorId="40" shapeId="0" xr:uid="{45B7A00B-8B7F-4209-85C6-DFEF29596922}">
      <text>
        <t xml:space="preserve">[Threaded comment]
Your version of Excel allows you to read this threaded comment; however, any edits to it will get removed if the file is opened in a newer version of Excel. Learn more: https://go.microsoft.com/fwlink/?linkid=870924
Comment:
    Average size of mesozooplankton paramterized as the calanoid copepod Pleuromamma scutullata per Yamaguchi and Ikeda 2000 (Bradford-Grieve actually says P. glacialis but it's at least the same genera). DW (ug) = 18.91*1mm^2.723 = 18.91 ug DW * .4 = 7.564 ug C = 0.007564 mg C
</t>
      </text>
    </comment>
    <comment ref="B69" authorId="41" shapeId="0" xr:uid="{749F45AC-7E56-4A7E-B7AE-87F9CEFFFD82}">
      <text>
        <t>[Threaded comment]
Your version of Excel allows you to read this threaded comment; however, any edits to it will get removed if the file is opened in a newer version of Excel. Learn more: https://go.microsoft.com/fwlink/?linkid=870924
Comment:
    As the mean of all 4 life stages of Euphausia lucens in the Benguela Current. Alternatively we have mean of only adults at 1.499 +_ 0.299</t>
      </text>
    </comment>
    <comment ref="B70" authorId="42" shapeId="0" xr:uid="{2A8588C9-F9B2-466C-B3AB-81DF102B6E9C}">
      <text>
        <t>[Threaded comment]
Your version of Excel allows you to read this threaded comment; however, any edits to it will get removed if the file is opened in a newer version of Excel. Learn more: https://go.microsoft.com/fwlink/?linkid=870924
Comment:
    As Themisto gaudichaudii from a high chl region off South Georgia (Kruse et al 2015) assuming a 40% DW to C conversion.</t>
      </text>
    </comment>
    <comment ref="D71" authorId="43" shapeId="0" xr:uid="{D07ACE21-7FA2-4A4C-B2CD-B75DBC5C365C}">
      <text>
        <t>[Threaded comment]
Your version of Excel allows you to read this threaded comment; however, any edits to it will get removed if the file is opened in a newer version of Excel. Learn more: https://go.microsoft.com/fwlink/?linkid=870924
Comment:
    As the mean of all Siphonophores, Ctenophores, and cnidarians in the Zooscan.</t>
      </text>
    </comment>
    <comment ref="B72" authorId="44" shapeId="0" xr:uid="{33C5F81B-E39D-4DCD-B627-478835FB309C}">
      <text>
        <t>[Threaded comment]
Your version of Excel allows you to read this threaded comment; however, any edits to it will get removed if the file is opened in a newer version of Excel. Learn more: https://go.microsoft.com/fwlink/?linkid=870924
Comment:
    As the mean ST size from bongo tows, averaged per Cycle and converted to carbon weight using Iguchi and Ikeda 2004. For Cycles 3 and 5 the average of the other 3 cycles is used.</t>
      </text>
    </comment>
    <comment ref="B73" authorId="45" shapeId="0" xr:uid="{C93AB2F3-EB62-4222-9472-6308FDFDAE9A}">
      <text>
        <t xml:space="preserve">[Threaded comment]
Your version of Excel allows you to read this threaded comment; however, any edits to it will get removed if the file is opened in a newer version of Excel. Learn more: https://go.microsoft.com/fwlink/?linkid=870924
Comment:
    From Pinkerton 2011. Ikeda 2016 equation for oxygen respiration and O:N ratio can take WW as we all C mass
</t>
      </text>
    </comment>
    <comment ref="B74" authorId="46" shapeId="0" xr:uid="{A0B0205E-11B1-4817-8BE6-21576A73C9CB}">
      <text>
        <t>[Threaded comment]
Your version of Excel allows you to read this threaded comment; however, any edits to it will get removed if the file is opened in a newer version of Excel. Learn more: https://go.microsoft.com/fwlink/?linkid=870924
Comment:
    As Hoki using median length and W:L conversion from Connell et al 2010</t>
      </text>
    </comment>
    <comment ref="B75" authorId="47" shapeId="0" xr:uid="{77D12CB3-9262-40C3-B606-913D357D1383}">
      <text>
        <t>[Threaded comment]
Your version of Excel allows you to read this threaded comment; however, any edits to it will get removed if the file is opened in a newer version of Excel. Learn more: https://go.microsoft.com/fwlink/?linkid=870924
Comment:
    As Smooth Oreo with mean length from Coombs and Barr, 2004 and W:L from Clark et al. 1999</t>
      </text>
    </comment>
    <comment ref="B76" authorId="48" shapeId="0" xr:uid="{294A4309-1FF6-4D53-B5C5-3EDBBF9AF4BC}">
      <text>
        <t>[Threaded comment]
Your version of Excel allows you to read this threaded comment; however, any edits to it will get removed if the file is opened in a newer version of Excel. Learn more: https://go.microsoft.com/fwlink/?linkid=870924
Comment:
    From Iguchi and Ikeda 2014 daily loss of body nitrogen to ammonia excretion. Temperature corrected daily losses (using a Q10 of 2.8 and euphotic temperatures for day casts and 200 m temps for night) were calculated for each bongo tow and averaged to get separate day and night respiratory quotients. Day and night respiratory losses were then calculated for migratory and resident portions of the community and summed for total community loss.</t>
      </text>
    </comment>
    <comment ref="B81" authorId="49" shapeId="0" xr:uid="{78FBB15B-8A2F-4047-BE5A-05DABDE3C4F6}">
      <text>
        <t>[Threaded comment]
Your version of Excel allows you to read this threaded comment; however, any edits to it will get removed if the file is opened in a newer version of Excel. Learn more: https://go.microsoft.com/fwlink/?linkid=870924
Comment:
    Currently displayed is just ST bodies</t>
      </text>
    </comment>
    <comment ref="D81" authorId="50" shapeId="0" xr:uid="{08314FC3-18CC-40C3-99E8-A81DDA4C5374}">
      <text>
        <t>[Threaded comment]
Your version of Excel allows you to read this threaded comment; however, any edits to it will get removed if the file is opened in a newer version of Excel. Learn more: https://go.microsoft.com/fwlink/?linkid=870924
Comment:
    2.57 if using all salps</t>
      </text>
    </comment>
    <comment ref="E81" authorId="51" shapeId="0" xr:uid="{E104ACA7-7463-4691-A4D1-FCBC2B7CB427}">
      <text>
        <t>[Threaded comment]
Your version of Excel allows you to read this threaded comment; however, any edits to it will get removed if the file is opened in a newer version of Excel. Learn more: https://go.microsoft.com/fwlink/?linkid=870924
Comment:
    0.88 if using all salps</t>
      </text>
    </comment>
    <comment ref="F81" authorId="52" shapeId="0" xr:uid="{F8EC1267-53B2-4A3E-9699-86EA3A50D7D9}">
      <text>
        <t>[Threaded comment]
Your version of Excel allows you to read this threaded comment; however, any edits to it will get removed if the file is opened in a newer version of Excel. Learn more: https://go.microsoft.com/fwlink/?linkid=870924
Comment:
    1.30 if using all salps</t>
      </text>
    </comment>
    <comment ref="G81" authorId="53" shapeId="0" xr:uid="{6E73C80D-F584-4180-A60D-6D32B93692E2}">
      <text>
        <t>[Threaded comment]
Your version of Excel allows you to read this threaded comment; however, any edits to it will get removed if the file is opened in a newer version of Excel. Learn more: https://go.microsoft.com/fwlink/?linkid=870924
Comment:
    1.22 if using all salps</t>
      </text>
    </comment>
    <comment ref="J81" authorId="54" shapeId="0" xr:uid="{7ACDB6F5-1516-4C3C-A672-0CA2CC539ACF}">
      <text>
        <t>[Threaded comment]
Your version of Excel allows you to read this threaded comment; however, any edits to it will get removed if the file is opened in a newer version of Excel. Learn more: https://go.microsoft.com/fwlink/?linkid=870924
Comment:
    7.49 if using all salps</t>
      </text>
    </comment>
    <comment ref="K81" authorId="55" shapeId="0" xr:uid="{1B4B75D3-5DE2-4753-B8E7-B3505804D110}">
      <text>
        <t>[Threaded comment]
Your version of Excel allows you to read this threaded comment; however, any edits to it will get removed if the file is opened in a newer version of Excel. Learn more: https://go.microsoft.com/fwlink/?linkid=870924
Comment:
    1.19 if using all salps</t>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tc={B760B01E-DA2A-4381-BFD5-3007882D6D76}</author>
    <author>tc={36F86761-0987-46E6-8F5B-10C4E820CE88}</author>
  </authors>
  <commentList>
    <comment ref="A3" authorId="0" shapeId="0" xr:uid="{B760B01E-DA2A-4381-BFD5-3007882D6D76}">
      <text>
        <t>[Threaded comment]
Your version of Excel allows you to read this threaded comment; however, any edits to it will get removed if the file is opened in a newer version of Excel. Learn more: https://go.microsoft.com/fwlink/?linkid=870924
Comment:
    Via C:N combustion of size fractionated zooplankton biomass.</t>
      </text>
    </comment>
    <comment ref="C3" authorId="1" shapeId="0" xr:uid="{36F86761-0987-46E6-8F5B-10C4E820CE88}">
      <text>
        <t>[Threaded comment]
Your version of Excel allows you to read this threaded comment; however, any edits to it will get removed if the file is opened in a newer version of Excel. Learn more: https://go.microsoft.com/fwlink/?linkid=870924
Comment:
    Note the daytime biomass here is higher than nighttime, which is not reflected in the bulk dry weight. Could alternatively use dry weight values instead assuming 40% carbon conversion and RR to nitrogen.</t>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tc={705A02BC-CD00-43B3-98CC-5E3714234762}</author>
    <author>tc={C4E26ACD-38B6-411B-A9A1-10C5624AB0C0}</author>
    <author>tc={617364F0-772A-4FFE-8403-3A3FB723E264}</author>
    <author>tc={22A90A35-8B94-464A-839C-64FA6D9A7181}</author>
    <author>tc={A7A556B1-6666-495B-8C43-BF2994406262}</author>
    <author>tc={F8D287DC-9525-4F5B-A6DE-D80CEFDA2EA2}</author>
    <author>tc={05243869-D8BC-461D-9047-A4E63277108E}</author>
    <author>tc={9ADACE9C-4311-4E19-859A-842647E3C8FF}</author>
    <author>tc={73AD2CE5-1D60-4A0C-A8F3-BCABD31D584E}</author>
    <author>tc={B247E582-3FE1-4330-8CEB-EE5571A820DB}</author>
    <author>tc={45E55CD9-E759-42BE-9FE7-D8FC9070F1C7}</author>
    <author>tc={93316BB0-605A-4F7A-AD45-21E7B6EDC592}</author>
    <author>tc={A029D51E-0310-4CAB-A5F8-272C422F8363}</author>
    <author>tc={F992F7EE-ED28-4E78-82B7-C38A7CD3B194}</author>
    <author>tc={6A5C16C6-5067-44BD-B311-6E91E15BD723}</author>
    <author>tc={B64DA95C-02CC-4B83-B621-59EB8B4833FF}</author>
    <author>tc={BCCCA01A-B73D-42F3-BD35-43A6E71F9316}</author>
    <author>tc={822AAAF5-5AC4-4E63-B32B-036C0F45AE78}</author>
    <author>tc={52ACD037-8897-4E8C-872A-EBEF26B63D77}</author>
    <author>tc={9CD98D81-F3F3-4760-B4A3-95AC746AEC52}</author>
    <author>tc={BAED7370-823E-4E08-9430-DDA6E5F912E0}</author>
    <author>tc={893D209A-2A2E-4005-9DD5-E3237DD8E022}</author>
    <author>tc={79EC72CB-C696-4D51-A11E-42613CE8C8DF}</author>
    <author>tc={A72475D7-17C4-483B-BBB0-76D0837759E2}</author>
    <author>tc={631D0395-F36F-4574-8697-C33F9092F903}</author>
    <author>tc={376D24B1-E126-4ED9-9056-F2999F8F05AF}</author>
    <author>tc={8988D7A0-0656-45F1-9960-E40C6DD717ED}</author>
    <author>tc={7C34F1DC-84A5-4408-975A-82CE99F9C05D}</author>
    <author>tc={EBE67F0E-35DA-445C-97DB-0FBA8DA58B02}</author>
    <author>tc={FF214039-436A-4811-95B2-CDCF043D5E08}</author>
    <author>tc={2006690C-6614-4F92-9AD8-B8C00EC38ED3}</author>
    <author>tc={C495CECC-13E4-4C76-AAE2-BD2113BE17E9}</author>
    <author>tc={E8B1C77E-8BEE-447C-ADA8-7F8F8B96A13D}</author>
    <author>tc={92CE0572-DDE3-46C7-943A-F418244B0376}</author>
    <author>tc={16B70573-53B5-4FAA-AB26-CB55DCA38166}</author>
    <author>tc={AA6CC52D-2133-40D2-AB16-9703A4BBF699}</author>
    <author>tc={C7798419-77C2-4E66-A560-C87AA0A37415}</author>
    <author>tc={06346D66-E1FD-47E2-8266-59FDB4BA466A}</author>
    <author>tc={1F4C402C-C566-4FE9-8889-9A4EA0AA0067}</author>
    <author>tc={0C2B144B-AEAB-48A1-9DCA-F93920EA2AA1}</author>
    <author>tc={581B2C15-14C7-48DC-94A6-946F9B2F5423}</author>
    <author>tc={B9B4EE1D-653C-4113-8D88-D5C4C5034DA1}</author>
    <author>tc={85A4AEB8-5504-476D-AA67-2A2E0DAAC377}</author>
    <author>tc={90CE029B-3935-4DDD-9F65-E27CD4E0D8CC}</author>
    <author>tc={03246229-5831-4581-8FC1-2BC8CA325EB5}</author>
    <author>tc={871C2170-2679-4721-9641-95571292CFC1}</author>
    <author>tc={6A83E6DA-627D-43BE-852F-C3A5DBDFFA3B}</author>
    <author>tc={E0331EB5-EBE1-4331-AF0C-39A14E57F77C}</author>
    <author>tc={59F9D56C-9BF6-49CE-A2F7-1BA9BA63828A}</author>
    <author>tc={F7D24828-C2AA-4CE3-AEBC-AD7381505550}</author>
    <author>tc={81F5C962-12AA-48E0-BA8D-900861E0BE33}</author>
    <author>tc={2DC77086-5432-4DEB-9B32-F7444133A2F0}</author>
    <author>tc={0938D3C8-EF36-4BA0-9E68-776D7A282EAE}</author>
    <author>tc={65D28D00-DB08-4A06-8F29-32C3B44949ED}</author>
    <author>tc={60FC6B95-2DB7-459A-90B5-693C2EBE98C0}</author>
  </authors>
  <commentList>
    <comment ref="D3" authorId="0" shapeId="0" xr:uid="{705A02BC-CD00-43B3-98CC-5E3714234762}">
      <text>
        <t>[Threaded comment]
Your version of Excel allows you to read this threaded comment; however, any edits to it will get removed if the file is opened in a newer version of Excel. Learn more: https://go.microsoft.com/fwlink/?linkid=870924
Comment:
    Note that because cycle 1 was split into 2 subcycles, all following values are (wherever possible) the weighted average of the two subcycles weighted by their duration.</t>
      </text>
    </comment>
    <comment ref="B4" authorId="1" shapeId="0" xr:uid="{C4E26ACD-38B6-411B-A9A1-10C5624AB0C0}">
      <text>
        <t>[Threaded comment]
Your version of Excel allows you to read this threaded comment; however, any edits to it will get removed if the file is opened in a newer version of Excel. Learn more: https://go.microsoft.com/fwlink/?linkid=870924
Comment:
    Flux to 70m, the base(ish) of the euphotic zone</t>
      </text>
    </comment>
    <comment ref="B5" authorId="2" shapeId="0" xr:uid="{617364F0-772A-4FFE-8403-3A3FB723E264}">
      <text>
        <t>[Threaded comment]
Your version of Excel allows you to read this threaded comment; however, any edits to it will get removed if the file is opened in a newer version of Excel. Learn more: https://go.microsoft.com/fwlink/?linkid=870924
Comment:
    Note that the summed NPP of the 3 phytoplankton groups via dilution method exceeds 14C NPP. We trust the latter more , so the given value is calculated from the total 14C NPP and the proportion of FCyt NPP attributable to the group.</t>
      </text>
    </comment>
    <comment ref="B7" authorId="3" shapeId="0" xr:uid="{22A90A35-8B94-464A-839C-64FA6D9A7181}">
      <text>
        <t>[Threaded comment]
Your version of Excel allows you to read this threaded comment; however, any edits to it will get removed if the file is opened in a newer version of Excel. Learn more: https://go.microsoft.com/fwlink/?linkid=870924
Comment:
    Both diatom NPP and Mortality are subject to a variety of assumptions. They are calculated using FlowCam biomass with the missing values at the surface assumed to be same as at 12 m, missing values at depth assumed to be proportional to chemtax fuco chl, and values in between assumed to be linearly related to the biomasses we have. Instantaneous growth and grazing rates come from those of fucoxanthin HPLC</t>
      </text>
    </comment>
    <comment ref="B11" authorId="4" shapeId="0" xr:uid="{A7A556B1-6666-495B-8C43-BF2994406262}">
      <text>
        <t>[Threaded comment]
Your version of Excel allows you to read this threaded comment; however, any edits to it will get removed if the file is opened in a newer version of Excel. Learn more: https://go.microsoft.com/fwlink/?linkid=870924
Comment:
    From HPLC of Total Chl a of minidilution experiments</t>
      </text>
    </comment>
    <comment ref="B12" authorId="5" shapeId="0" xr:uid="{F8D287DC-9525-4F5B-A6DE-D80CEFDA2EA2}">
      <text>
        <t>[Threaded comment]
Your version of Excel allows you to read this threaded comment; however, any edits to it will get removed if the file is opened in a newer version of Excel. Learn more: https://go.microsoft.com/fwlink/?linkid=870924
Comment:
    Grazing in ug chl/h comes from chl content per sample * a temperature dependent feeding rate from Dam and Peterson using the temperature at 25 meters. Because daytime grazing rates were often higher than nighttime, we estimated resident vs migrant contributions to total grazing based on time spent in the euphotic zone and relative proportion of the total biomass.</t>
      </text>
    </comment>
    <comment ref="C12" authorId="6" shapeId="0" xr:uid="{05243869-D8BC-461D-9047-A4E63277108E}">
      <text>
        <t>[Threaded comment]
Your version of Excel allows you to read this threaded comment; however, any edits to it will get removed if the file is opened in a newer version of Excel. Learn more: https://go.microsoft.com/fwlink/?linkid=870924
Comment:
    Requires an accurate C:Chl to convert to C and then N units. Waiting on Andres</t>
      </text>
    </comment>
    <comment ref="B13" authorId="7" shapeId="0" xr:uid="{9ADACE9C-4311-4E19-859A-842647E3C8FF}">
      <text>
        <t>[Threaded comment]
Your version of Excel allows you to read this threaded comment; however, any edits to it will get removed if the file is opened in a newer version of Excel. Learn more: https://go.microsoft.com/fwlink/?linkid=870924
Comment:
    DVM portion of the community determined through difference between day and night biomass. Day=nonDVM, Night-Day=DVM. DVM are assumed to spend 12 hours at DVM depth (typically ~200 meters) and contribute to deep nutrient pools during that time.</t>
      </text>
    </comment>
    <comment ref="C14" authorId="8" shapeId="0" xr:uid="{73AD2CE5-1D60-4A0C-A8F3-BCABD31D584E}">
      <text>
        <t>[Threaded comment]
Your version of Excel allows you to read this threaded comment; however, any edits to it will get removed if the file is opened in a newer version of Excel. Learn more: https://go.microsoft.com/fwlink/?linkid=870924
Comment:
    Requires an accurate C:Chl to convert to C and then N units. Waiting on Andres</t>
      </text>
    </comment>
    <comment ref="B16" authorId="9" shapeId="0" xr:uid="{B247E582-3FE1-4330-8CEB-EE5571A820DB}">
      <text>
        <t>[Threaded comment]
Your version of Excel allows you to read this threaded comment; however, any edits to it will get removed if the file is opened in a newer version of Excel. Learn more: https://go.microsoft.com/fwlink/?linkid=870924
Comment:
    Salps were collected using double oblique Bongo tows, with 0.7m diameter frames equipped with 202 µm nets, General Oceanics flow meters, and an RBR temperature depth recorder. Salp specimens (typically 10) from each tow had their guts excised, and chl a and phaeopigments gut contents were measured. A power function was used to fit the size-specific Gpig (chl a + phaeo) contents for each tow, allowing the estimation of Gpig for each size bin per tow, and this was multiplied by the abundance in each size bin. Gut passage time (GPT) was calculated using a modified equation, based on (von Harbou, Dubischar et al. 2011 doi:10.1007/s00227-011-1709-4) where GPT(h) = 2.607*ln(OAL, mm) - 2.6. Grazing was estimated as: G (h-1) = Gpig /GPT, and scaled using a Q10=2. Daily salp grazing rates were obtained by assuming 14 h of day and 10 h of night, coincident with the times and latitudes at which we sampled these communities during the Salp Particle expOrt and Ocean Production (SalpPOOP) campaign. Cycle estimates were calculated by first averaging all day and all night tows separately, and then adding the two estimates.</t>
      </text>
    </comment>
    <comment ref="B17" authorId="10" shapeId="0" xr:uid="{45E55CD9-E759-42BE-9FE7-D8FC9070F1C7}">
      <text>
        <t xml:space="preserve">[Threaded comment]
Your version of Excel allows you to read this threaded comment; however, any edits to it will get removed if the file is opened in a newer version of Excel. Learn more: https://go.microsoft.com/fwlink/?linkid=870924
Comment:
    Inferred from Moira's Gut Chl based on salp carnivory via trophic level. </t>
      </text>
    </comment>
    <comment ref="D17" authorId="11" shapeId="0" xr:uid="{93316BB0-605A-4F7A-AD45-21E7B6EDC592}">
      <text>
        <t>[Threaded comment]
Your version of Excel allows you to read this threaded comment; however, any edits to it will get removed if the file is opened in a newer version of Excel. Learn more: https://go.microsoft.com/fwlink/?linkid=870924
Comment:
    The typed value here is the cycle averaged proportion of salp diet autotrophy followed by heterotrophy based on CSIAA trophic level (a TL of 2.4 implies ~40% heterotrophy for example)</t>
      </text>
    </comment>
    <comment ref="E17" authorId="12" shapeId="0" xr:uid="{A029D51E-0310-4CAB-A5F8-272C422F8363}">
      <text>
        <t>[Threaded comment]
Your version of Excel allows you to read this threaded comment; however, any edits to it will get removed if the file is opened in a newer version of Excel. Learn more: https://go.microsoft.com/fwlink/?linkid=870924
Comment:
    The typed values are, in order, the SD of herbivory, herbivory fraction, SD of carnivory, carnivory fraction.</t>
      </text>
    </comment>
    <comment ref="H17" authorId="13" shapeId="0" xr:uid="{F992F7EE-ED28-4E78-82B7-C38A7CD3B194}">
      <text>
        <t>[Threaded comment]
Your version of Excel allows you to read this threaded comment; however, any edits to it will get removed if the file is opened in a newer version of Excel. Learn more: https://go.microsoft.com/fwlink/?linkid=870924
Comment:
    Note that because Cycle 3 was a nonsalp cycle with no trophic level data, I use the mean of Cycles 1, 2, and 4.</t>
      </text>
    </comment>
    <comment ref="L17" authorId="14" shapeId="0" xr:uid="{6A5C16C6-5067-44BD-B311-6E91E15BD723}">
      <text>
        <t>[Threaded comment]
Your version of Excel allows you to read this threaded comment; however, any edits to it will get removed if the file is opened in a newer version of Excel. Learn more: https://go.microsoft.com/fwlink/?linkid=870924
Comment:
    This value has no standard deviation because it is a single sample from cycle 5. The other 3 had TL&lt;2 which is not possible and were therefore discarded.</t>
      </text>
    </comment>
    <comment ref="B18" authorId="15" shapeId="0" xr:uid="{B64DA95C-02CC-4B83-B621-59EB8B4833FF}">
      <text>
        <t>[Threaded comment]
Your version of Excel allows you to read this threaded comment; however, any edits to it will get removed if the file is opened in a newer version of Excel. Learn more: https://go.microsoft.com/fwlink/?linkid=870924
Comment:
    The above number multiplied by the fraction of gut biomass made up by BLPs</t>
      </text>
    </comment>
    <comment ref="D18" authorId="16" shapeId="0" xr:uid="{BCCCA01A-B73D-42F3-BD35-43A6E71F9316}">
      <text>
        <t>[Threaded comment]
Your version of Excel allows you to read this threaded comment; however, any edits to it will get removed if the file is opened in a newer version of Excel. Learn more: https://go.microsoft.com/fwlink/?linkid=870924
Comment:
    The typed value here is cycle averaged proportion of all salp gut biomass made up by BLPs.</t>
      </text>
    </comment>
    <comment ref="E18" authorId="17" shapeId="0" xr:uid="{822AAAF5-5AC4-4E63-B32B-036C0F45AE78}">
      <text>
        <t>[Threaded comment]
Your version of Excel allows you to read this threaded comment; however, any edits to it will get removed if the file is opened in a newer version of Excel. Learn more: https://go.microsoft.com/fwlink/?linkid=870924
Comment:
    Typed values are PicoFractSD and PicoFract</t>
      </text>
    </comment>
    <comment ref="L18" authorId="18" shapeId="0" xr:uid="{52ACD037-8897-4E8C-872A-EBEF26B63D77}">
      <text>
        <t>[Threaded comment]
Your version of Excel allows you to read this threaded comment; however, any edits to it will get removed if the file is opened in a newer version of Excel. Learn more: https://go.microsoft.com/fwlink/?linkid=870924
Comment:
    Because no salp samples were collected from cycle 5, taking the average of the other 4 cycles.</t>
      </text>
    </comment>
    <comment ref="B19" authorId="19" shapeId="0" xr:uid="{9CD98D81-F3F3-4760-B4A3-95AC746AEC52}">
      <text>
        <t>[Threaded comment]
Your version of Excel allows you to read this threaded comment; however, any edits to it will get removed if the file is opened in a newer version of Excel. Learn more: https://go.microsoft.com/fwlink/?linkid=870924
Comment:
    As above but proportion of diatoms in guts</t>
      </text>
    </comment>
    <comment ref="B20" authorId="20" shapeId="0" xr:uid="{BAED7370-823E-4E08-9430-DDA6E5F912E0}">
      <text>
        <t>[Threaded comment]
Your version of Excel allows you to read this threaded comment; however, any edits to it will get removed if the file is opened in a newer version of Excel. Learn more: https://go.microsoft.com/fwlink/?linkid=870924
Comment:
    As above but multiplied by proportion of everything else (hnf, flag, mic).</t>
      </text>
    </comment>
    <comment ref="B21" authorId="21" shapeId="0" xr:uid="{893D209A-2A2E-4005-9DD5-E3237DD8E022}">
      <text>
        <t>[Threaded comment]
Your version of Excel allows you to read this threaded comment; however, any edits to it will get removed if the file is opened in a newer version of Excel. Learn more: https://go.microsoft.com/fwlink/?linkid=870924
Comment:
    Determined from grazing rates assuming an egestion efficiency of 0.36 (Huntley, Sykes et al. 1989).</t>
      </text>
    </comment>
    <comment ref="H21" authorId="22" shapeId="0" xr:uid="{79EC72CB-C696-4D51-A11E-42613CE8C8DF}">
      <text>
        <t xml:space="preserve">[Threaded comment]
Your version of Excel allows you to read this threaded comment; however, any edits to it will get removed if the file is opened in a newer version of Excel. Learn more: https://go.microsoft.com/fwlink/?linkid=870924
Comment:
    Because no data is available for Cycles 3 and 5, divided Cycle 1, 2, and 4 production by the salp biomass from each tow to get a per unit biomass rate (again for day and night separately). Then multiplied this by the observed day/night salp biomass for Cycles 3 and 5. </t>
      </text>
    </comment>
    <comment ref="L21" authorId="23" shapeId="0" xr:uid="{A72475D7-17C4-483B-BBB0-76D0837759E2}">
      <text>
        <t xml:space="preserve">[Threaded comment]
Your version of Excel allows you to read this threaded comment; however, any edits to it will get removed if the file is opened in a newer version of Excel. Learn more: https://go.microsoft.com/fwlink/?linkid=870924
Comment:
    Because no data is available for Cycles 3 and 5, divided Cycle 1, 2, and 4 production by the salp biomass from each tow to get a per unit biomass rate (again for day and night separately). Then multiplied this by the observed day/night salp biomass for Cycles 3 and 5. </t>
      </text>
    </comment>
    <comment ref="B22" authorId="24" shapeId="0" xr:uid="{631D0395-F36F-4574-8697-C33F9092F903}">
      <text>
        <t>[Threaded comment]
Your version of Excel allows you to read this threaded comment; however, any edits to it will get removed if the file is opened in a newer version of Excel. Learn more: https://go.microsoft.com/fwlink/?linkid=870924
Comment:
    Vertically integrated from Fenella Dean's tritiated leucine incorporation.</t>
      </text>
    </comment>
    <comment ref="B23" authorId="25" shapeId="0" xr:uid="{376D24B1-E126-4ED9-9056-F2999F8F05AF}">
      <text>
        <t>[Threaded comment]
Your version of Excel allows you to read this threaded comment; however, any edits to it will get removed if the file is opened in a newer version of Excel. Learn more: https://go.microsoft.com/fwlink/?linkid=870924
Comment:
    Predicted consumption of fish for each prey type based on Pinkerton 2010 average biomass of both prey and fish in the region + average fish consumption and diet makeup. From this I estimated the average daily portion of prey biomass the fish consumed and multiplied by observed prey biomass per cycle to get a predicted ingestion, plus or minus 50% STD</t>
      </text>
    </comment>
    <comment ref="B40" authorId="26" shapeId="0" xr:uid="{8988D7A0-0656-45F1-9960-E40C6DD717ED}">
      <text>
        <t>[Threaded comment]
Your version of Excel allows you to read this threaded comment; however, any edits to it will get removed if the file is opened in a newer version of Excel. Learn more: https://go.microsoft.com/fwlink/?linkid=870924
Comment:
    Note that because most CTDs do not approach the bottom, this is the temp at 50 m above bottom for only those casts that went that deep.</t>
      </text>
    </comment>
    <comment ref="B41" authorId="27" shapeId="0" xr:uid="{7C34F1DC-84A5-4408-975A-82CE99F9C05D}">
      <text>
        <t>[Threaded comment]
Your version of Excel allows you to read this threaded comment; however, any edits to it will get removed if the file is opened in a newer version of Excel. Learn more: https://go.microsoft.com/fwlink/?linkid=870924
Comment:
    Cycle averaged depth 50 meters above bottom for use in estimating rates of demersal fish assuming they spend their time primarily within 100 meters of bottom.</t>
      </text>
    </comment>
    <comment ref="B42" authorId="28" shapeId="0" xr:uid="{EBE67F0E-35DA-445C-97DB-0FBA8DA58B02}">
      <text>
        <t>[Threaded comment]
Your version of Excel allows you to read this threaded comment; however, any edits to it will get removed if the file is opened in a newer version of Excel. Learn more: https://go.microsoft.com/fwlink/?linkid=870924
Comment:
    Considered a minimum rather than an AE due to likelihood of missing some pellets</t>
      </text>
    </comment>
    <comment ref="B44" authorId="29" shapeId="0" xr:uid="{FF214039-436A-4811-95B2-CDCF043D5E08}">
      <text>
        <t xml:space="preserve">[Threaded comment]
Your version of Excel allows you to read this threaded comment; however, any edits to it will get removed if the file is opened in a newer version of Excel. Learn more: https://go.microsoft.com/fwlink/?linkid=870924
Comment:
    Note that the large phyto biomasses come from FlowCam and are therefore integrated to the deepest FlowCam depth (typically the DCM or within the mixed layer if there was no DCM). Therefore they are likely underestimates of the true biomass for cycles where the euphotic zone extends past the DCM.
Reply:
    Also note that since these biomasses were not subject to the same issues as the pigments, they are averaged over a larger number of casts for Cycles 1 and 2. This leads to notably higher average biomasses in Cycle 1 than if averaging over only over the casts NPP was taken from (about twice what they would be otherwise) since 14C/pigments missed many of the earlier high productivity casts. </t>
      </text>
    </comment>
    <comment ref="B48" authorId="30" shapeId="0" xr:uid="{2006690C-6614-4F92-9AD8-B8C00EC38ED3}">
      <text>
        <t>[Threaded comment]
Your version of Excel allows you to read this threaded comment; however, any edits to it will get removed if the file is opened in a newer version of Excel. Learn more: https://go.microsoft.com/fwlink/?linkid=870924
Comment:
    Via C:N combustion of size fractionated zooplankton biomass.</t>
      </text>
    </comment>
    <comment ref="D48" authorId="31" shapeId="0" xr:uid="{C495CECC-13E4-4C76-AAE2-BD2113BE17E9}">
      <text>
        <t>[Threaded comment]
Your version of Excel allows you to read this threaded comment; however, any edits to it will get removed if the file is opened in a newer version of Excel. Learn more: https://go.microsoft.com/fwlink/?linkid=870924
Comment:
    Note the daytime biomass here is higher than nighttime, which is not reflected in the bulk dry weight. Could alternatively use dry weight values instead assuming 40% carbon conversion and RR to nitrogen.</t>
      </text>
    </comment>
    <comment ref="B52" authorId="32" shapeId="0" xr:uid="{E8B1C77E-8BEE-447C-ADA8-7F8F8B96A13D}">
      <text>
        <t>[Threaded comment]
Your version of Excel allows you to read this threaded comment; however, any edits to it will get removed if the file is opened in a newer version of Excel. Learn more: https://go.microsoft.com/fwlink/?linkid=870924
Comment:
    This will eventually come from Zooscan and allows me to link respiration and max ingestion inequalities.</t>
      </text>
    </comment>
    <comment ref="B53" authorId="33" shapeId="0" xr:uid="{92CE0572-DDE3-46C7-943A-F418244B0376}">
      <text>
        <t>[Threaded comment]
Your version of Excel allows you to read this threaded comment; however, any edits to it will get removed if the file is opened in a newer version of Excel. Learn more: https://go.microsoft.com/fwlink/?linkid=870924
Comment:
    This will eventually come from Zooscan and allows me to link respiration and max ingestion inequalities.</t>
      </text>
    </comment>
    <comment ref="B54" authorId="34" shapeId="0" xr:uid="{16B70573-53B5-4FAA-AB26-CB55DCA38166}">
      <text>
        <t>[Threaded comment]
Your version of Excel allows you to read this threaded comment; however, any edits to it will get removed if the file is opened in a newer version of Excel. Learn more: https://go.microsoft.com/fwlink/?linkid=870924
Comment:
    Summed biomass of all salps collected in all bongo tows of a given cycle, averaged over that cycle</t>
      </text>
    </comment>
    <comment ref="D54" authorId="35" shapeId="0" xr:uid="{AA6CC52D-2133-40D2-AB16-9703A4BBF699}">
      <text>
        <t>[Threaded comment]
Your version of Excel allows you to read this threaded comment; however, any edits to it will get removed if the file is opened in a newer version of Excel. Learn more: https://go.microsoft.com/fwlink/?linkid=870924
Comment:
    Note this is for all salps, not just ST.</t>
      </text>
    </comment>
    <comment ref="B56" authorId="36" shapeId="0" xr:uid="{C7798419-77C2-4E66-A560-C87AA0A37415}">
      <text>
        <t>[Threaded comment]
Your version of Excel allows you to read this threaded comment; however, any edits to it will get removed if the file is opened in a newer version of Excel. Learn more: https://go.microsoft.com/fwlink/?linkid=870924
Comment:
    These are Pinkerton average biomasses scaled to the difference in average prey concentrations vs what we observed in each cycle. Thus they assume a roughly linear relationship between prey and biomass. Utilizing them for Iguchi respiration and Kiorboe total ingestion is thus equivalent to the assumption made for Pinkerton prey-specific max ingestions.</t>
      </text>
    </comment>
    <comment ref="D56" authorId="37" shapeId="0" xr:uid="{06346D66-E1FD-47E2-8266-59FDB4BA466A}">
      <text>
        <t>[Threaded comment]
Your version of Excel allows you to read this threaded comment; however, any edits to it will get removed if the file is opened in a newer version of Excel. Learn more: https://go.microsoft.com/fwlink/?linkid=870924
Comment:
    Mesopelagic fish (myctophids) from Pinkerton 2011</t>
      </text>
    </comment>
    <comment ref="D57" authorId="38" shapeId="0" xr:uid="{1F4C402C-C566-4FE9-8889-9A4EA0AA0067}">
      <text>
        <t>[Threaded comment]
Your version of Excel allows you to read this threaded comment; however, any edits to it will get removed if the file is opened in a newer version of Excel. Learn more: https://go.microsoft.com/fwlink/?linkid=870924
Comment:
    Hoki from Pinkerton 2011</t>
      </text>
    </comment>
    <comment ref="D58" authorId="39" shapeId="0" xr:uid="{0C2B144B-AEAB-48A1-9DCA-F93920EA2AA1}">
      <text>
        <t>[Threaded comment]
Your version of Excel allows you to read this threaded comment; however, any edits to it will get removed if the file is opened in a newer version of Excel. Learn more: https://go.microsoft.com/fwlink/?linkid=870924
Comment:
    S_oreo + warehou from Pinkerton 2011</t>
      </text>
    </comment>
    <comment ref="B62" authorId="40" shapeId="0" xr:uid="{581B2C15-14C7-48DC-94A6-946F9B2F5423}">
      <text>
        <t xml:space="preserve">[Threaded comment]
Your version of Excel allows you to read this threaded comment; however, any edits to it will get removed if the file is opened in a newer version of Excel. Learn more: https://go.microsoft.com/fwlink/?linkid=870924
Comment:
    Average size of mesozooplankton paramterized as the calanoid copepod Pleuromamma scutullata per Yamaguchi and Ikeda 2000 (Bradford-Grieve actually says P. glacialis but it's at least the same genera). DW (ug) = 18.91*1mm^2.723 = 18.91 ug DW * .4 = 7.564 ug C = 0.007564 mg C
</t>
      </text>
    </comment>
    <comment ref="B63" authorId="41" shapeId="0" xr:uid="{B9B4EE1D-653C-4113-8D88-D5C4C5034DA1}">
      <text>
        <t>[Threaded comment]
Your version of Excel allows you to read this threaded comment; however, any edits to it will get removed if the file is opened in a newer version of Excel. Learn more: https://go.microsoft.com/fwlink/?linkid=870924
Comment:
    As the mean of all 4 life stages of Euphausia lucens in the Benguela Current. Alternatively we have mean of only adults at 1.499 +_ 0.299</t>
      </text>
    </comment>
    <comment ref="B64" authorId="42" shapeId="0" xr:uid="{85A4AEB8-5504-476D-AA67-2A2E0DAAC377}">
      <text>
        <t>[Threaded comment]
Your version of Excel allows you to read this threaded comment; however, any edits to it will get removed if the file is opened in a newer version of Excel. Learn more: https://go.microsoft.com/fwlink/?linkid=870924
Comment:
    As Themisto gaudichaudii from a high chl region off South Georgia (Kruse et al 2015) assuming a 40% DW to C conversion.</t>
      </text>
    </comment>
    <comment ref="D65" authorId="43" shapeId="0" xr:uid="{90CE029B-3935-4DDD-9F65-E27CD4E0D8CC}">
      <text>
        <t>[Threaded comment]
Your version of Excel allows you to read this threaded comment; however, any edits to it will get removed if the file is opened in a newer version of Excel. Learn more: https://go.microsoft.com/fwlink/?linkid=870924
Comment:
    As the mean of all Siphonophores, Ctenophores, and cnidarians in the Zooscan.</t>
      </text>
    </comment>
    <comment ref="B66" authorId="44" shapeId="0" xr:uid="{03246229-5831-4581-8FC1-2BC8CA325EB5}">
      <text>
        <t xml:space="preserve">[Threaded comment]
Your version of Excel allows you to read this threaded comment; however, any edits to it will get removed if the file is opened in a newer version of Excel. Learn more: https://go.microsoft.com/fwlink/?linkid=870924
Comment:
    From Pinkerton 2011. Ikeda 2016 equation for oxygen respiration and O:N ratio can take WW as we all C mass
</t>
      </text>
    </comment>
    <comment ref="B67" authorId="45" shapeId="0" xr:uid="{871C2170-2679-4721-9641-95571292CFC1}">
      <text>
        <t>[Threaded comment]
Your version of Excel allows you to read this threaded comment; however, any edits to it will get removed if the file is opened in a newer version of Excel. Learn more: https://go.microsoft.com/fwlink/?linkid=870924
Comment:
    As Hoki using median length and W:L conversion from Connell et al 2010</t>
      </text>
    </comment>
    <comment ref="B68" authorId="46" shapeId="0" xr:uid="{6A83E6DA-627D-43BE-852F-C3A5DBDFFA3B}">
      <text>
        <t>[Threaded comment]
Your version of Excel allows you to read this threaded comment; however, any edits to it will get removed if the file is opened in a newer version of Excel. Learn more: https://go.microsoft.com/fwlink/?linkid=870924
Comment:
    As Smooth Oreo with mean length from Coombs and Barr, 2004 and W:L from Clark et al. 1999</t>
      </text>
    </comment>
    <comment ref="B69" authorId="47" shapeId="0" xr:uid="{E0331EB5-EBE1-4331-AF0C-39A14E57F77C}">
      <text>
        <t>[Threaded comment]
Your version of Excel allows you to read this threaded comment; however, any edits to it will get removed if the file is opened in a newer version of Excel. Learn more: https://go.microsoft.com/fwlink/?linkid=870924
Comment:
    From Iguchi and Ikeda's salp respiration regressions based on body length, using midpoints of size binned bongo salp abundance from Moira. Values were calculated per tow and converted to per day assuming 14 daylight hours and 10 night time hours (adding the average of day and night respiration).</t>
      </text>
    </comment>
    <comment ref="B76" authorId="48" shapeId="0" xr:uid="{59F9D56C-9BF6-49CE-A2F7-1BA9BA63828A}">
      <text>
        <t>[Threaded comment]
Your version of Excel allows you to read this threaded comment; however, any edits to it will get removed if the file is opened in a newer version of Excel. Learn more: https://go.microsoft.com/fwlink/?linkid=870924
Comment:
    Currently displayed is just ST bodies</t>
      </text>
    </comment>
    <comment ref="D76" authorId="49" shapeId="0" xr:uid="{F7D24828-C2AA-4CE3-AEBC-AD7381505550}">
      <text>
        <t>[Threaded comment]
Your version of Excel allows you to read this threaded comment; however, any edits to it will get removed if the file is opened in a newer version of Excel. Learn more: https://go.microsoft.com/fwlink/?linkid=870924
Comment:
    2.57 if using all salps</t>
      </text>
    </comment>
    <comment ref="E76" authorId="50" shapeId="0" xr:uid="{81F5C962-12AA-48E0-BA8D-900861E0BE33}">
      <text>
        <t>[Threaded comment]
Your version of Excel allows you to read this threaded comment; however, any edits to it will get removed if the file is opened in a newer version of Excel. Learn more: https://go.microsoft.com/fwlink/?linkid=870924
Comment:
    0.88 if using all salps</t>
      </text>
    </comment>
    <comment ref="F76" authorId="51" shapeId="0" xr:uid="{2DC77086-5432-4DEB-9B32-F7444133A2F0}">
      <text>
        <t>[Threaded comment]
Your version of Excel allows you to read this threaded comment; however, any edits to it will get removed if the file is opened in a newer version of Excel. Learn more: https://go.microsoft.com/fwlink/?linkid=870924
Comment:
    1.30 if using all salps</t>
      </text>
    </comment>
    <comment ref="G76" authorId="52" shapeId="0" xr:uid="{0938D3C8-EF36-4BA0-9E68-776D7A282EAE}">
      <text>
        <t>[Threaded comment]
Your version of Excel allows you to read this threaded comment; however, any edits to it will get removed if the file is opened in a newer version of Excel. Learn more: https://go.microsoft.com/fwlink/?linkid=870924
Comment:
    1.22 if using all salps</t>
      </text>
    </comment>
    <comment ref="J76" authorId="53" shapeId="0" xr:uid="{65D28D00-DB08-4A06-8F29-32C3B44949ED}">
      <text>
        <t>[Threaded comment]
Your version of Excel allows you to read this threaded comment; however, any edits to it will get removed if the file is opened in a newer version of Excel. Learn more: https://go.microsoft.com/fwlink/?linkid=870924
Comment:
    7.49 if using all salps</t>
      </text>
    </comment>
    <comment ref="K76" authorId="54" shapeId="0" xr:uid="{60FC6B95-2DB7-459A-90B5-693C2EBE98C0}">
      <text>
        <t>[Threaded comment]
Your version of Excel allows you to read this threaded comment; however, any edits to it will get removed if the file is opened in a newer version of Excel. Learn more: https://go.microsoft.com/fwlink/?linkid=870924
Comment:
    1.19 if using all salps</t>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tc={9CCB5D3E-705A-4986-A285-3CD2614CFFAE}</author>
    <author>tc={70EA66CC-4BFE-437C-9A2F-412F768BE6C5}</author>
    <author>tc={C2DC3717-6255-4F23-93F1-9EA936D798AE}</author>
    <author>tc={5A4BD411-7E7B-4884-874D-4D223A39ADF5}</author>
    <author>tc={1ACBB65C-608B-4A2F-9D49-8807536DDEB2}</author>
    <author>tc={A9ACE641-E49C-4137-A6E6-399B4FAA7235}</author>
    <author>tc={AFCEB961-B027-4798-8534-5F47F34C3E5D}</author>
    <author>tc={B89B69F9-D7D2-4165-A6C4-FFF02C2FAFD8}</author>
    <author>tc={34602274-7729-48E6-8071-3FB763683408}</author>
    <author>tc={94D87753-A559-482E-A8E6-F3B6DB2562C3}</author>
    <author>tc={C58E3464-C691-4735-A596-A6AEDD335689}</author>
    <author>tc={AAC3782E-B926-4948-87E7-9833CB33B981}</author>
    <author>tc={941EA1E5-9BF6-4B58-8DF6-847394E0F3E4}</author>
    <author>tc={7F145528-EF6A-4490-A3FD-859C9EC07C81}</author>
    <author>tc={419F9943-099E-4C0E-AB82-E9F10319FE63}</author>
    <author>tc={ADF02867-C0D8-4B94-B081-0903C74A3AFD}</author>
    <author>tc={BB7F7615-C5DA-479D-87B1-CEA2D67C9F5E}</author>
    <author>tc={C967B7E5-B87C-4076-9820-3EAA15A05E36}</author>
    <author>tc={C9BA34AA-2FA0-4D8B-85F2-2BF9848369DB}</author>
    <author>tc={D5999947-E81C-4BEB-9DF9-A1E205AA0161}</author>
    <author>tc={1EEB4A6C-D089-485F-A176-881563613CBB}</author>
    <author>tc={D22C9C99-A074-4F46-A6F3-684850BB7980}</author>
    <author>tc={3867F6CE-A3FD-4FCE-AC40-4BC56BCBABC4}</author>
    <author>tc={82AA13F3-5C45-4E06-9A42-E83EF6865095}</author>
    <author>tc={18B75EAD-5FF0-4933-AFD6-2762F2ABD1B4}</author>
    <author>tc={C4C27EE8-3E49-45D3-99BE-054E513A5468}</author>
    <author>tc={70A63800-E5BD-47E2-86F2-D6A4B7B28CEF}</author>
    <author>tc={2D0063C3-3B5F-4E45-8381-6EFDD884A6EB}</author>
    <author>tc={98688A4C-2A5F-4F40-86FE-88E78D3D9E85}</author>
    <author>tc={7EF11D59-F8BA-4DEA-810E-8C97DA7740CC}</author>
    <author>tc={9F56F982-C10B-4ACD-98FE-C391BC76405F}</author>
    <author>tc={1E0A267D-A8D3-4D11-8525-F0AC8F85A70F}</author>
    <author>tc={90AC717E-84F5-43CB-B532-67C40160EA01}</author>
    <author>tc={BACBC46A-1EE3-4AED-BD17-6AC9789B7FA1}</author>
    <author>tc={81A6FFC7-66C7-4DC5-960D-588BBDF06A9E}</author>
    <author>tc={17E56F62-31E4-4AE3-B05C-67E6D448429A}</author>
    <author>tc={33A54FCB-B719-47C1-80EF-2583490277A2}</author>
    <author>tc={A660FF5C-B048-44FE-AADB-F92BFCAEB633}</author>
    <author>tc={3ECD4FE0-5663-4632-AA56-4C098D9393FE}</author>
    <author>tc={11A817C4-3559-4E0C-BF47-EA4614921D24}</author>
    <author>tc={8E2AFBAF-2414-4DCE-A088-04B265045A01}</author>
    <author>tc={846AD678-B5D6-4B37-8410-814E85221315}</author>
    <author>tc={6F5F4141-D7D4-4C72-A262-3A226333AE31}</author>
    <author>tc={74125085-53C3-4F66-BD1D-7AA2FE20E8EC}</author>
    <author>tc={240D22DD-848B-40DD-BC7B-5C890572E3C3}</author>
    <author>tc={52052AD8-6D4A-4E38-8D5C-B3C9C72FAE86}</author>
    <author>tc={DF2E3DC2-96DF-488C-8E02-054DB81C3B6A}</author>
    <author>tc={26ED14B4-41FB-4165-ACFD-50D3D75FC28B}</author>
    <author>tc={CBAD4358-0055-4C58-BEDA-BE9368591D9F}</author>
    <author>tc={ECC9760A-5265-4879-86FC-3CE67DA28908}</author>
    <author>tc={C1C939B4-6653-4E68-BED3-A687ED1EBF40}</author>
  </authors>
  <commentList>
    <comment ref="D3" authorId="0" shapeId="0" xr:uid="{9CCB5D3E-705A-4986-A285-3CD2614CFFAE}">
      <text>
        <t>[Threaded comment]
Your version of Excel allows you to read this threaded comment; however, any edits to it will get removed if the file is opened in a newer version of Excel. Learn more: https://go.microsoft.com/fwlink/?linkid=870924
Comment:
    Note that because cycle 1 was split into 2 subcycles, all following values are (wherever possible) the weighted average of the two subcycles weighted by their duration.</t>
      </text>
    </comment>
    <comment ref="E3" authorId="1" shapeId="0" xr:uid="{70EA66CC-4BFE-437C-9A2F-412F768BE6C5}">
      <text>
        <t>[Threaded comment]
Your version of Excel allows you to read this threaded comment; however, any edits to it will get removed if the file is opened in a newer version of Excel. Learn more: https://go.microsoft.com/fwlink/?linkid=870924
Comment:
    Note that because cycle 1 was split into 2 subcycles, all following values are (wherever possible) the weighted average of the two subcycles weighted by their duration.</t>
      </text>
    </comment>
    <comment ref="B4" authorId="2" shapeId="0" xr:uid="{C2DC3717-6255-4F23-93F1-9EA936D798AE}">
      <text>
        <t>[Threaded comment]
Your version of Excel allows you to read this threaded comment; however, any edits to it will get removed if the file is opened in a newer version of Excel. Learn more: https://go.microsoft.com/fwlink/?linkid=870924
Comment:
    Flux to 70m, the base(ish) of the euphotic zone</t>
      </text>
    </comment>
    <comment ref="B5" authorId="3" shapeId="0" xr:uid="{5A4BD411-7E7B-4884-874D-4D223A39ADF5}">
      <text>
        <t>[Threaded comment]
Your version of Excel allows you to read this threaded comment; however, any edits to it will get removed if the file is opened in a newer version of Excel. Learn more: https://go.microsoft.com/fwlink/?linkid=870924
Comment:
    Note that the summed NPP of the 3 phytoplankton groups via dilution method exceeds 14C NPP. We trust the latter more , so the given value is calculated from the total 14C NPP and the proportion of FCyt NPP attributable to the group.</t>
      </text>
    </comment>
    <comment ref="B7" authorId="4" shapeId="0" xr:uid="{1ACBB65C-608B-4A2F-9D49-8807536DDEB2}">
      <text>
        <t>[Threaded comment]
Your version of Excel allows you to read this threaded comment; however, any edits to it will get removed if the file is opened in a newer version of Excel. Learn more: https://go.microsoft.com/fwlink/?linkid=870924
Comment:
    Both diatom NPP and Mortality are subject to a variety of assumptions. They are calculated using FlowCam biomass with the missing values at the surface assumed to be same as at 12 m, missing values at depth assumed to be proportional to chemtax fuco chl, and values in between assumed to be linearly related to the biomasses we have. Instantaneous growth and grazing rates come from those of fucoxanthin HPLC</t>
      </text>
    </comment>
    <comment ref="B11" authorId="5" shapeId="0" xr:uid="{A9ACE641-E49C-4137-A6E6-399B4FAA7235}">
      <text>
        <t>[Threaded comment]
Your version of Excel allows you to read this threaded comment; however, any edits to it will get removed if the file is opened in a newer version of Excel. Learn more: https://go.microsoft.com/fwlink/?linkid=870924
Comment:
    From HPLC of Total Chl a of minidilution experiments</t>
      </text>
    </comment>
    <comment ref="B12" authorId="6" shapeId="0" xr:uid="{AFCEB961-B027-4798-8534-5F47F34C3E5D}">
      <text>
        <t>[Threaded comment]
Your version of Excel allows you to read this threaded comment; however, any edits to it will get removed if the file is opened in a newer version of Excel. Learn more: https://go.microsoft.com/fwlink/?linkid=870924
Comment:
    Grazing in ug chl/h comes from chl content per sample * a temperature dependent feeding rate from Dam and Peterson using the temperature at 25 meters. Because daytime grazing rates were often higher than nighttime, we estimated resident vs migrant contributions to total grazing based on time spent in the euphotic zone and relative proportion of the total biomass.</t>
      </text>
    </comment>
    <comment ref="C12" authorId="7" shapeId="0" xr:uid="{B89B69F9-D7D2-4165-A6C4-FFF02C2FAFD8}">
      <text>
        <t>[Threaded comment]
Your version of Excel allows you to read this threaded comment; however, any edits to it will get removed if the file is opened in a newer version of Excel. Learn more: https://go.microsoft.com/fwlink/?linkid=870924
Comment:
    Requires an accurate C:Chl to convert to C and then N units. Waiting on Andres</t>
      </text>
    </comment>
    <comment ref="B13" authorId="8" shapeId="0" xr:uid="{34602274-7729-48E6-8071-3FB763683408}">
      <text>
        <t>[Threaded comment]
Your version of Excel allows you to read this threaded comment; however, any edits to it will get removed if the file is opened in a newer version of Excel. Learn more: https://go.microsoft.com/fwlink/?linkid=870924
Comment:
    DVM portion of the community determined through difference between day and night biomass. Day=nonDVM, Night-Day=DVM. DVM are assumed to spend 12 hours at DVM depth (typically ~200 meters) and contribute to deep nutrient pools during that time.</t>
      </text>
    </comment>
    <comment ref="C14" authorId="9" shapeId="0" xr:uid="{94D87753-A559-482E-A8E6-F3B6DB2562C3}">
      <text>
        <t>[Threaded comment]
Your version of Excel allows you to read this threaded comment; however, any edits to it will get removed if the file is opened in a newer version of Excel. Learn more: https://go.microsoft.com/fwlink/?linkid=870924
Comment:
    Requires an accurate C:Chl to convert to C and then N units. Waiting on Andres</t>
      </text>
    </comment>
    <comment ref="B16" authorId="10" shapeId="0" xr:uid="{C58E3464-C691-4735-A596-A6AEDD335689}">
      <text>
        <t>[Threaded comment]
Your version of Excel allows you to read this threaded comment; however, any edits to it will get removed if the file is opened in a newer version of Excel. Learn more: https://go.microsoft.com/fwlink/?linkid=870924
Comment:
    Salps were collected using double oblique Bongo tows, with 0.7m diameter frames equipped with 202 µm nets, General Oceanics flow meters, and an RBR temperature depth recorder. Salp specimens (typically 10) from each tow had their guts excised, and chl a and phaeopigments gut contents were measured. A power function was used to fit the size-specific Gpig (chl a + phaeo) contents for each tow, allowing the estimation of Gpig for each size bin per tow, and this was multiplied by the abundance in each size bin. Gut passage time (GPT) was calculated using a modified equation, based on (von Harbou, Dubischar et al. 2011 doi:10.1007/s00227-011-1709-4) where GPT(h) = 2.607*ln(OAL, mm) - 2.6. Grazing was estimated as: G (h-1) = Gpig /GPT, and scaled using a Q10=2. Daily salp grazing rates were obtained by assuming 14 h of day and 10 h of night, coincident with the times and latitudes at which we sampled these communities during the Salp Particle expOrt and Ocean Production (SalpPOOP) campaign. Cycle estimates were calculated by first averaging all day and all night tows separately, and then adding the two estimates.</t>
      </text>
    </comment>
    <comment ref="B17" authorId="11" shapeId="0" xr:uid="{AAC3782E-B926-4948-87E7-9833CB33B981}">
      <text>
        <t xml:space="preserve">[Threaded comment]
Your version of Excel allows you to read this threaded comment; however, any edits to it will get removed if the file is opened in a newer version of Excel. Learn more: https://go.microsoft.com/fwlink/?linkid=870924
Comment:
    Inferred from Moira's Gut Chl based on salp carnivory via trophic level. </t>
      </text>
    </comment>
    <comment ref="D17" authorId="12" shapeId="0" xr:uid="{941EA1E5-9BF6-4B58-8DF6-847394E0F3E4}">
      <text>
        <t>[Threaded comment]
Your version of Excel allows you to read this threaded comment; however, any edits to it will get removed if the file is opened in a newer version of Excel. Learn more: https://go.microsoft.com/fwlink/?linkid=870924
Comment:
    The typed value here is the cycle averaged proportion of salp diet autotrophy followed by heterotrophy based on CSIAA trophic level (a TL of 2.4 implies ~40% heterotrophy for example)</t>
      </text>
    </comment>
    <comment ref="F17" authorId="13" shapeId="0" xr:uid="{7F145528-EF6A-4490-A3FD-859C9EC07C81}">
      <text>
        <t>[Threaded comment]
Your version of Excel allows you to read this threaded comment; however, any edits to it will get removed if the file is opened in a newer version of Excel. Learn more: https://go.microsoft.com/fwlink/?linkid=870924
Comment:
    Note that because Cycle 3 was a nonsalp cycle with no trophic level data, I use the mean of Cycles 1, 2, and 4.</t>
      </text>
    </comment>
    <comment ref="H17" authorId="14" shapeId="0" xr:uid="{419F9943-099E-4C0E-AB82-E9F10319FE63}">
      <text>
        <t>[Threaded comment]
Your version of Excel allows you to read this threaded comment; however, any edits to it will get removed if the file is opened in a newer version of Excel. Learn more: https://go.microsoft.com/fwlink/?linkid=870924
Comment:
    This value has no standard deviation because it is a single sample from cycle 5. The other 3 had TL&lt;2 which is not possible and were therefore discarded.</t>
      </text>
    </comment>
    <comment ref="B18" authorId="15" shapeId="0" xr:uid="{ADF02867-C0D8-4B94-B081-0903C74A3AFD}">
      <text>
        <t>[Threaded comment]
Your version of Excel allows you to read this threaded comment; however, any edits to it will get removed if the file is opened in a newer version of Excel. Learn more: https://go.microsoft.com/fwlink/?linkid=870924
Comment:
    The above number multiplied by the fraction of gut biomass made up by BLPs</t>
      </text>
    </comment>
    <comment ref="D18" authorId="16" shapeId="0" xr:uid="{BB7F7615-C5DA-479D-87B1-CEA2D67C9F5E}">
      <text>
        <t>[Threaded comment]
Your version of Excel allows you to read this threaded comment; however, any edits to it will get removed if the file is opened in a newer version of Excel. Learn more: https://go.microsoft.com/fwlink/?linkid=870924
Comment:
    The typed value here is cycle averaged proportion of all salp gut biomass made up by BLPs.</t>
      </text>
    </comment>
    <comment ref="H18" authorId="17" shapeId="0" xr:uid="{C967B7E5-B87C-4076-9820-3EAA15A05E36}">
      <text>
        <t>[Threaded comment]
Your version of Excel allows you to read this threaded comment; however, any edits to it will get removed if the file is opened in a newer version of Excel. Learn more: https://go.microsoft.com/fwlink/?linkid=870924
Comment:
    Because no salp samples were collected from cycle 5, taking the average of the other 4 cycles.</t>
      </text>
    </comment>
    <comment ref="B19" authorId="18" shapeId="0" xr:uid="{C9BA34AA-2FA0-4D8B-85F2-2BF9848369DB}">
      <text>
        <t>[Threaded comment]
Your version of Excel allows you to read this threaded comment; however, any edits to it will get removed if the file is opened in a newer version of Excel. Learn more: https://go.microsoft.com/fwlink/?linkid=870924
Comment:
    As above but proportion of diatoms in guts</t>
      </text>
    </comment>
    <comment ref="B20" authorId="19" shapeId="0" xr:uid="{D5999947-E81C-4BEB-9DF9-A1E205AA0161}">
      <text>
        <t>[Threaded comment]
Your version of Excel allows you to read this threaded comment; however, any edits to it will get removed if the file is opened in a newer version of Excel. Learn more: https://go.microsoft.com/fwlink/?linkid=870924
Comment:
    As above but multiplied by proportion of everything else (hnf, flag, mic).</t>
      </text>
    </comment>
    <comment ref="B21" authorId="20" shapeId="0" xr:uid="{1EEB4A6C-D089-485F-A176-881563613CBB}">
      <text>
        <t>[Threaded comment]
Your version of Excel allows you to read this threaded comment; however, any edits to it will get removed if the file is opened in a newer version of Excel. Learn more: https://go.microsoft.com/fwlink/?linkid=870924
Comment:
    Determined from grazing rates assuming an egestion efficiency of 0.36 (Huntley, Sykes et al. 1989).</t>
      </text>
    </comment>
    <comment ref="F21" authorId="21" shapeId="0" xr:uid="{D22C9C99-A074-4F46-A6F3-684850BB7980}">
      <text>
        <t xml:space="preserve">[Threaded comment]
Your version of Excel allows you to read this threaded comment; however, any edits to it will get removed if the file is opened in a newer version of Excel. Learn more: https://go.microsoft.com/fwlink/?linkid=870924
Comment:
    Because no data is available for Cycles 3 and 5, divided Cycle 1, 2, and 4 production by the salp biomass from each tow to get a per unit biomass rate (again for day and night separately). Then multiplied this by the observed day/night salp biomass for Cycles 3 and 5. </t>
      </text>
    </comment>
    <comment ref="H21" authorId="22" shapeId="0" xr:uid="{3867F6CE-A3FD-4FCE-AC40-4BC56BCBABC4}">
      <text>
        <t xml:space="preserve">[Threaded comment]
Your version of Excel allows you to read this threaded comment; however, any edits to it will get removed if the file is opened in a newer version of Excel. Learn more: https://go.microsoft.com/fwlink/?linkid=870924
Comment:
    Because no data is available for Cycles 3 and 5, divided Cycle 1, 2, and 4 production by the salp biomass from each tow to get a per unit biomass rate (again for day and night separately). Then multiplied this by the observed day/night salp biomass for Cycles 3 and 5. </t>
      </text>
    </comment>
    <comment ref="B22" authorId="23" shapeId="0" xr:uid="{82AA13F3-5C45-4E06-9A42-E83EF6865095}">
      <text>
        <t>[Threaded comment]
Your version of Excel allows you to read this threaded comment; however, any edits to it will get removed if the file is opened in a newer version of Excel. Learn more: https://go.microsoft.com/fwlink/?linkid=870924
Comment:
    Vertically integrated from Fenella Dean's tritiated leucine incorporation.</t>
      </text>
    </comment>
    <comment ref="B23" authorId="24" shapeId="0" xr:uid="{18B75EAD-5FF0-4933-AFD6-2762F2ABD1B4}">
      <text>
        <t>[Threaded comment]
Your version of Excel allows you to read this threaded comment; however, any edits to it will get removed if the file is opened in a newer version of Excel. Learn more: https://go.microsoft.com/fwlink/?linkid=870924
Comment:
    Predicted consumption of fish for each prey type based on Pinkerton 2010 average biomass of both prey and fish in the region + average fish consumption and diet makeup. From this I estimated the average daily portion of prey biomass the fish consumed and multiplied by observed prey biomass per cycle to get a predicted ingestion, plus or minus 50% STD</t>
      </text>
    </comment>
    <comment ref="B40" authorId="25" shapeId="0" xr:uid="{C4C27EE8-3E49-45D3-99BE-054E513A5468}">
      <text>
        <t>[Threaded comment]
Your version of Excel allows you to read this threaded comment; however, any edits to it will get removed if the file is opened in a newer version of Excel. Learn more: https://go.microsoft.com/fwlink/?linkid=870924
Comment:
    Note that because most CTDs do not approach the bottom, this is the temp at 50 m above bottom for only those casts that went that deep.</t>
      </text>
    </comment>
    <comment ref="B41" authorId="26" shapeId="0" xr:uid="{70A63800-E5BD-47E2-86F2-D6A4B7B28CEF}">
      <text>
        <t>[Threaded comment]
Your version of Excel allows you to read this threaded comment; however, any edits to it will get removed if the file is opened in a newer version of Excel. Learn more: https://go.microsoft.com/fwlink/?linkid=870924
Comment:
    Cycle averaged depth 50 meters above bottom for use in estimating rates of demersal fish assuming they spend their time primarily within 100 meters of bottom.</t>
      </text>
    </comment>
    <comment ref="B42" authorId="27" shapeId="0" xr:uid="{2D0063C3-3B5F-4E45-8381-6EFDD884A6EB}">
      <text>
        <t>[Threaded comment]
Your version of Excel allows you to read this threaded comment; however, any edits to it will get removed if the file is opened in a newer version of Excel. Learn more: https://go.microsoft.com/fwlink/?linkid=870924
Comment:
    Considered a minimum rather than an AE due to likelihood of missing some pellets</t>
      </text>
    </comment>
    <comment ref="B44" authorId="28" shapeId="0" xr:uid="{98688A4C-2A5F-4F40-86FE-88E78D3D9E85}">
      <text>
        <t xml:space="preserve">[Threaded comment]
Your version of Excel allows you to read this threaded comment; however, any edits to it will get removed if the file is opened in a newer version of Excel. Learn more: https://go.microsoft.com/fwlink/?linkid=870924
Comment:
    Note that the large phyto biomasses come from FlowCam and are therefore integrated to the deepest FlowCam depth (typically the DCM or within the mixed layer if there was no DCM). Therefore they are likely underestimates of the true biomass for cycles where the euphotic zone extends past the DCM.
Reply:
    Also note that since these biomasses were not subject to the same issues as the pigments, they are averaged over a larger number of casts for Cycles 1 and 2. This leads to notably higher average biomasses in Cycle 1 than if averaging over only over the casts NPP was taken from (about twice what they would be otherwise) since 14C/pigments missed many of the earlier high productivity casts. </t>
      </text>
    </comment>
    <comment ref="B48" authorId="29" shapeId="0" xr:uid="{7EF11D59-F8BA-4DEA-810E-8C97DA7740CC}">
      <text>
        <t>[Threaded comment]
Your version of Excel allows you to read this threaded comment; however, any edits to it will get removed if the file is opened in a newer version of Excel. Learn more: https://go.microsoft.com/fwlink/?linkid=870924
Comment:
    Via C:N combustion of size fractionated zooplankton biomass.</t>
      </text>
    </comment>
    <comment ref="D48" authorId="30" shapeId="0" xr:uid="{9F56F982-C10B-4ACD-98FE-C391BC76405F}">
      <text>
        <t>[Threaded comment]
Your version of Excel allows you to read this threaded comment; however, any edits to it will get removed if the file is opened in a newer version of Excel. Learn more: https://go.microsoft.com/fwlink/?linkid=870924
Comment:
    Note the daytime biomass here is higher than nighttime, which is not reflected in the bulk dry weight. Could alternatively use dry weight values instead assuming 40% carbon conversion and RR to nitrogen.</t>
      </text>
    </comment>
    <comment ref="B52" authorId="31" shapeId="0" xr:uid="{1E0A267D-A8D3-4D11-8525-F0AC8F85A70F}">
      <text>
        <t>[Threaded comment]
Your version of Excel allows you to read this threaded comment; however, any edits to it will get removed if the file is opened in a newer version of Excel. Learn more: https://go.microsoft.com/fwlink/?linkid=870924
Comment:
    This will eventually come from Zooscan and allows me to link respiration and max ingestion inequalities.</t>
      </text>
    </comment>
    <comment ref="B53" authorId="32" shapeId="0" xr:uid="{90AC717E-84F5-43CB-B532-67C40160EA01}">
      <text>
        <t>[Threaded comment]
Your version of Excel allows you to read this threaded comment; however, any edits to it will get removed if the file is opened in a newer version of Excel. Learn more: https://go.microsoft.com/fwlink/?linkid=870924
Comment:
    This will eventually come from Zooscan and allows me to link respiration and max ingestion inequalities.</t>
      </text>
    </comment>
    <comment ref="B54" authorId="33" shapeId="0" xr:uid="{BACBC46A-1EE3-4AED-BD17-6AC9789B7FA1}">
      <text>
        <t>[Threaded comment]
Your version of Excel allows you to read this threaded comment; however, any edits to it will get removed if the file is opened in a newer version of Excel. Learn more: https://go.microsoft.com/fwlink/?linkid=870924
Comment:
    Summed biomass of all salps collected in all bongo tows of a given cycle, averaged over that cycle</t>
      </text>
    </comment>
    <comment ref="D54" authorId="34" shapeId="0" xr:uid="{81A6FFC7-66C7-4DC5-960D-588BBDF06A9E}">
      <text>
        <t>[Threaded comment]
Your version of Excel allows you to read this threaded comment; however, any edits to it will get removed if the file is opened in a newer version of Excel. Learn more: https://go.microsoft.com/fwlink/?linkid=870924
Comment:
    Note this is for all salps, not just ST.</t>
      </text>
    </comment>
    <comment ref="B56" authorId="35" shapeId="0" xr:uid="{17E56F62-31E4-4AE3-B05C-67E6D448429A}">
      <text>
        <t>[Threaded comment]
Your version of Excel allows you to read this threaded comment; however, any edits to it will get removed if the file is opened in a newer version of Excel. Learn more: https://go.microsoft.com/fwlink/?linkid=870924
Comment:
    These are Pinkerton average biomasses scaled to the difference in average prey concentrations vs what we observed in each cycle. Thus they assume a roughly linear relationship between prey and biomass. Utilizing them for Iguchi respiration and Kiorboe total ingestion is thus equivalent to the assumption made for Pinkerton prey-specific max ingestions.</t>
      </text>
    </comment>
    <comment ref="D56" authorId="36" shapeId="0" xr:uid="{33A54FCB-B719-47C1-80EF-2583490277A2}">
      <text>
        <t>[Threaded comment]
Your version of Excel allows you to read this threaded comment; however, any edits to it will get removed if the file is opened in a newer version of Excel. Learn more: https://go.microsoft.com/fwlink/?linkid=870924
Comment:
    Mesopelagic fish (myctophids) from Pinkerton 2011</t>
      </text>
    </comment>
    <comment ref="D57" authorId="37" shapeId="0" xr:uid="{A660FF5C-B048-44FE-AADB-F92BFCAEB633}">
      <text>
        <t>[Threaded comment]
Your version of Excel allows you to read this threaded comment; however, any edits to it will get removed if the file is opened in a newer version of Excel. Learn more: https://go.microsoft.com/fwlink/?linkid=870924
Comment:
    Hoki from Pinkerton 2011</t>
      </text>
    </comment>
    <comment ref="D58" authorId="38" shapeId="0" xr:uid="{3ECD4FE0-5663-4632-AA56-4C098D9393FE}">
      <text>
        <t>[Threaded comment]
Your version of Excel allows you to read this threaded comment; however, any edits to it will get removed if the file is opened in a newer version of Excel. Learn more: https://go.microsoft.com/fwlink/?linkid=870924
Comment:
    S_oreo + warehou from Pinkerton 2011</t>
      </text>
    </comment>
    <comment ref="B62" authorId="39" shapeId="0" xr:uid="{11A817C4-3559-4E0C-BF47-EA4614921D24}">
      <text>
        <t xml:space="preserve">[Threaded comment]
Your version of Excel allows you to read this threaded comment; however, any edits to it will get removed if the file is opened in a newer version of Excel. Learn more: https://go.microsoft.com/fwlink/?linkid=870924
Comment:
    Average size of mesozooplankton paramterized as the calanoid copepod Pleuromamma scutullata per Yamaguchi and Ikeda 2000 (Bradford-Grieve actually says P. glacialis but it's at least the same genera). DW (ug) = 18.91*1mm^2.723 = 18.91 ug DW * .4 = 7.564 ug C = 0.007564 mg C
</t>
      </text>
    </comment>
    <comment ref="B63" authorId="40" shapeId="0" xr:uid="{8E2AFBAF-2414-4DCE-A088-04B265045A01}">
      <text>
        <t>[Threaded comment]
Your version of Excel allows you to read this threaded comment; however, any edits to it will get removed if the file is opened in a newer version of Excel. Learn more: https://go.microsoft.com/fwlink/?linkid=870924
Comment:
    As the mean of all 4 life stages of Euphausia lucens in the Benguela Current. Alternatively we have mean of only adults at 1.499 +_ 0.299</t>
      </text>
    </comment>
    <comment ref="B64" authorId="41" shapeId="0" xr:uid="{846AD678-B5D6-4B37-8410-814E85221315}">
      <text>
        <t>[Threaded comment]
Your version of Excel allows you to read this threaded comment; however, any edits to it will get removed if the file is opened in a newer version of Excel. Learn more: https://go.microsoft.com/fwlink/?linkid=870924
Comment:
    As Themisto gaudichaudii from a high chl region off South Georgia (Kruse et al 2015) assuming a 40% DW to C conversion.</t>
      </text>
    </comment>
    <comment ref="D65" authorId="42" shapeId="0" xr:uid="{6F5F4141-D7D4-4C72-A262-3A226333AE31}">
      <text>
        <t>[Threaded comment]
Your version of Excel allows you to read this threaded comment; however, any edits to it will get removed if the file is opened in a newer version of Excel. Learn more: https://go.microsoft.com/fwlink/?linkid=870924
Comment:
    As the mean of all Siphonophores, Ctenophores, and cnidarians in the Zooscan.</t>
      </text>
    </comment>
    <comment ref="B66" authorId="43" shapeId="0" xr:uid="{74125085-53C3-4F66-BD1D-7AA2FE20E8EC}">
      <text>
        <t xml:space="preserve">[Threaded comment]
Your version of Excel allows you to read this threaded comment; however, any edits to it will get removed if the file is opened in a newer version of Excel. Learn more: https://go.microsoft.com/fwlink/?linkid=870924
Comment:
    From Pinkerton 2011. Ikeda 2016 equation for oxygen respiration and O:N ratio can take WW as we all C mass
</t>
      </text>
    </comment>
    <comment ref="B67" authorId="44" shapeId="0" xr:uid="{240D22DD-848B-40DD-BC7B-5C890572E3C3}">
      <text>
        <t>[Threaded comment]
Your version of Excel allows you to read this threaded comment; however, any edits to it will get removed if the file is opened in a newer version of Excel. Learn more: https://go.microsoft.com/fwlink/?linkid=870924
Comment:
    As Hoki using median length and W:L conversion from Connell et al 2010</t>
      </text>
    </comment>
    <comment ref="B68" authorId="45" shapeId="0" xr:uid="{52052AD8-6D4A-4E38-8D5C-B3C9C72FAE86}">
      <text>
        <t>[Threaded comment]
Your version of Excel allows you to read this threaded comment; however, any edits to it will get removed if the file is opened in a newer version of Excel. Learn more: https://go.microsoft.com/fwlink/?linkid=870924
Comment:
    As Smooth Oreo with mean length from Coombs and Barr, 2004 and W:L from Clark et al. 1999</t>
      </text>
    </comment>
    <comment ref="B69" authorId="46" shapeId="0" xr:uid="{DF2E3DC2-96DF-488C-8E02-054DB81C3B6A}">
      <text>
        <t>[Threaded comment]
Your version of Excel allows you to read this threaded comment; however, any edits to it will get removed if the file is opened in a newer version of Excel. Learn more: https://go.microsoft.com/fwlink/?linkid=870924
Comment:
    From Iguchi and Ikeda's salp respiration regressions based on body length, using midpoints of size binned bongo salp abundance from Moira. Values were calculated per tow and converted to per day assuming 14 daylight hours and 10 night time hours (adding the average of day and night respiration).</t>
      </text>
    </comment>
    <comment ref="B74" authorId="47" shapeId="0" xr:uid="{26ED14B4-41FB-4165-ACFD-50D3D75FC28B}">
      <text>
        <t>[Threaded comment]
Your version of Excel allows you to read this threaded comment; however, any edits to it will get removed if the file is opened in a newer version of Excel. Learn more: https://go.microsoft.com/fwlink/?linkid=870924
Comment:
    Currently displayed is just ST bodies</t>
      </text>
    </comment>
    <comment ref="D74" authorId="48" shapeId="0" xr:uid="{CBAD4358-0055-4C58-BEDA-BE9368591D9F}">
      <text>
        <t>[Threaded comment]
Your version of Excel allows you to read this threaded comment; however, any edits to it will get removed if the file is opened in a newer version of Excel. Learn more: https://go.microsoft.com/fwlink/?linkid=870924
Comment:
    2.57 if using all salps</t>
      </text>
    </comment>
    <comment ref="E74" authorId="49" shapeId="0" xr:uid="{ECC9760A-5265-4879-86FC-3CE67DA28908}">
      <text>
        <t>[Threaded comment]
Your version of Excel allows you to read this threaded comment; however, any edits to it will get removed if the file is opened in a newer version of Excel. Learn more: https://go.microsoft.com/fwlink/?linkid=870924
Comment:
    1.30 if using all salps</t>
      </text>
    </comment>
    <comment ref="G74" authorId="50" shapeId="0" xr:uid="{C1C939B4-6653-4E68-BED3-A687ED1EBF40}">
      <text>
        <t>[Threaded comment]
Your version of Excel allows you to read this threaded comment; however, any edits to it will get removed if the file is opened in a newer version of Excel. Learn more: https://go.microsoft.com/fwlink/?linkid=870924
Comment:
    7.49 if using all salps</t>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tc={F16C16F8-9A86-40AD-89A4-71BBDC5E2CC0}</author>
    <author>tc={3615A3E5-5B24-4495-9F66-0CCC8208C332}</author>
    <author>tc={42062DB3-A5A2-4176-9BFA-016F374452BE}</author>
    <author>tc={D4991C9A-403B-4AA7-AEE8-18D645FE425E}</author>
    <author>tc={254D3E1A-4078-4C75-ABC6-33992FF6235D}</author>
    <author>tc={6BB89085-6A2A-423B-BCE3-C60DABAF1E77}</author>
    <author>tc={793C72A3-0809-402C-840D-2BB291A1A2CB}</author>
    <author>tc={4DD09F1B-248A-44EA-A702-FF8FE655B490}</author>
    <author>tc={73106767-2AD1-4461-8864-A3A1B2291F28}</author>
    <author>tc={E6F265A6-E2AF-4FAE-BA45-8FD5CA48944C}</author>
    <author>tc={0216443C-6BFC-4409-8285-45014CC4CE91}</author>
    <author>tc={17241F1C-3267-4E6A-AFB4-1D8BD61947F7}</author>
    <author>tc={61420CDF-0747-4B92-8522-FD115B5ED090}</author>
    <author>tc={43FE8B26-75EC-4631-95F0-33E22063B2C3}</author>
    <author>tc={3E4340FA-98BD-41D5-80E1-D5DCD2B7116F}</author>
    <author>tc={B9AFB68A-A2CE-4B00-B3C4-C8E14D2F9DFE}</author>
    <author>tc={C79A8F75-1CC8-49DF-BAEB-B5D0FDB405EE}</author>
    <author>tc={9F134BC2-C6DD-44CC-93F7-A1A92705E836}</author>
    <author>tc={585CABD5-0283-4D0D-82C9-28373A6EF8EF}</author>
    <author>tc={AF9B3476-23CE-484B-BE2C-94B89ACC57D1}</author>
    <author>tc={CAB5F5AE-D287-48EE-BD90-C9ED92492F7F}</author>
    <author>tc={2A638042-83B3-4938-A0B1-CE55B1E7203F}</author>
    <author>tc={750BBD2C-467B-4AAD-8D55-20C072EB00AB}</author>
    <author>tc={2C488A87-BE61-4179-B1BD-349F7D8DB258}</author>
    <author>tc={DAFFA865-B68C-4C1E-B39D-7B284940708E}</author>
    <author>tc={8FD8985B-FE3B-4796-8136-D14D18D2D6D2}</author>
    <author>tc={20BF6492-85B2-4B06-BE98-7E536702C219}</author>
    <author>tc={BD8BBC4C-9B73-4F78-99CD-83588B461FB5}</author>
    <author>tc={F29BC56D-18B9-4AC1-9B96-E53259A3FAF1}</author>
    <author>tc={7BFA0B25-EABE-452E-8D16-E615D4E59640}</author>
    <author>tc={9FE02664-F3D7-4A2B-B06E-242B5B617565}</author>
    <author>tc={79C16B8F-C7E1-4927-9EBC-BFCEF906A4DA}</author>
    <author>tc={7FEDAD25-CC14-4DF1-87CC-279BCF1E1E58}</author>
    <author>tc={81AD1097-8946-472E-AA5A-63E59964EF42}</author>
    <author>tc={FCE2B959-F8B9-43FF-9F8A-E8AB1D1F6797}</author>
    <author>tc={33917172-7AC9-4205-B92F-FAD690A59541}</author>
    <author>tc={4503B7AE-8748-4729-9189-035947F32648}</author>
    <author>tc={B5AE1E9C-E647-48EB-B651-CCD3C5217E17}</author>
    <author>tc={D5A41870-5EFC-493E-A8FC-19D207C865E9}</author>
    <author>tc={B2C14483-C304-4DAA-8EA4-E2068CF8FCF5}</author>
    <author>tc={6A98B38A-DB47-44CB-8618-39B3503D1E8B}</author>
    <author>tc={A97993C1-D81C-4CB9-986A-4E3BCDC853D7}</author>
    <author>tc={48AC3F99-0D33-4457-B333-D546ED2DF5AF}</author>
    <author>tc={1EF2F650-2DD8-40D9-AA12-ED9980E358BC}</author>
    <author>tc={C5731584-FE00-40DD-92E6-B2ED1517DCD3}</author>
    <author>tc={E63D414D-D2A3-4453-8075-D7951B2DDB00}</author>
    <author>tc={33BBBFF2-FF65-480F-A392-90BA4D3E3E13}</author>
    <author>tc={5951B85E-2C54-48DF-A0D0-014F3CD425DA}</author>
    <author>tc={60DDCF8A-8691-4627-B136-18076439DC5F}</author>
    <author>tc={E0886DCB-9BF3-4C22-A00D-B5154BCA3C99}</author>
    <author>tc={AA550933-6805-468C-8BCD-E843C1E3BC39}</author>
    <author>tc={002E309C-2A33-49B0-BC39-6D9E9A8BC399}</author>
    <author>tc={40A7BFD2-2274-4C82-8F86-9A3662904ADE}</author>
    <author>tc={3C2762BD-B8C9-403E-9FAF-F8AB84765C19}</author>
    <author>tc={CE6E8441-0F4C-44FA-BFD2-C556CA735FFF}</author>
    <author>tc={B95EAA1D-215B-429B-BA06-2258CDEEF014}</author>
    <author>tc={310A1DA3-55D7-4BCF-A885-4DDE4D6C71B4}</author>
    <author>tc={FBF316F2-539D-4E4D-9518-DE6B29B8A0D7}</author>
  </authors>
  <commentList>
    <comment ref="D3" authorId="0" shapeId="0" xr:uid="{F16C16F8-9A86-40AD-89A4-71BBDC5E2CC0}">
      <text>
        <t>[Threaded comment]
Your version of Excel allows you to read this threaded comment; however, any edits to it will get removed if the file is opened in a newer version of Excel. Learn more: https://go.microsoft.com/fwlink/?linkid=870924
Comment:
    Note that because cycle 1 was split into 2 subcycles, all following values are (wherever possible) the weighted average of the two subcycles weighted by their duration.</t>
      </text>
    </comment>
    <comment ref="B4" authorId="1" shapeId="0" xr:uid="{3615A3E5-5B24-4495-9F66-0CCC8208C332}">
      <text>
        <t>[Threaded comment]
Your version of Excel allows you to read this threaded comment; however, any edits to it will get removed if the file is opened in a newer version of Excel. Learn more: https://go.microsoft.com/fwlink/?linkid=870924
Comment:
    Flux to 70m, the base(ish) of the euphotic zone</t>
      </text>
    </comment>
    <comment ref="B5" authorId="2" shapeId="0" xr:uid="{42062DB3-A5A2-4176-9BFA-016F374452BE}">
      <text>
        <t>[Threaded comment]
Your version of Excel allows you to read this threaded comment; however, any edits to it will get removed if the file is opened in a newer version of Excel. Learn more: https://go.microsoft.com/fwlink/?linkid=870924
Comment:
    Note that the summed NPP of the 3 phytoplankton groups via dilution method exceeds 14C NPP. We trust the latter more , so the given value is calculated from the total 14C NPP and the proportion of FCyt NPP attributable to the group.</t>
      </text>
    </comment>
    <comment ref="B7" authorId="3" shapeId="0" xr:uid="{D4991C9A-403B-4AA7-AEE8-18D645FE425E}">
      <text>
        <t>[Threaded comment]
Your version of Excel allows you to read this threaded comment; however, any edits to it will get removed if the file is opened in a newer version of Excel. Learn more: https://go.microsoft.com/fwlink/?linkid=870924
Comment:
    Both diatom NPP and Mortality are subject to a variety of assumptions. They are calculated using FlowCam biomass with the missing values at the surface assumed to be same as at 12 m, missing values at depth assumed to be proportional to chemtax fuco chl, and values in between assumed to be linearly related to the biomasses we have. Instantaneous growth and grazing rates come from those of fucoxanthin HPLC</t>
      </text>
    </comment>
    <comment ref="B11" authorId="4" shapeId="0" xr:uid="{254D3E1A-4078-4C75-ABC6-33992FF6235D}">
      <text>
        <t>[Threaded comment]
Your version of Excel allows you to read this threaded comment; however, any edits to it will get removed if the file is opened in a newer version of Excel. Learn more: https://go.microsoft.com/fwlink/?linkid=870924
Comment:
    From HPLC of Total Chl a of minidilution experiments</t>
      </text>
    </comment>
    <comment ref="B12" authorId="5" shapeId="0" xr:uid="{6BB89085-6A2A-423B-BCE3-C60DABAF1E77}">
      <text>
        <t>[Threaded comment]
Your version of Excel allows you to read this threaded comment; however, any edits to it will get removed if the file is opened in a newer version of Excel. Learn more: https://go.microsoft.com/fwlink/?linkid=870924
Comment:
    Grazing in ug chl/h comes from chl content per sample * a temperature dependent feeding rate from Dam and Peterson using the temperature at 25 meters. Because daytime grazing rates were often higher than nighttime, we estimated resident vs migrant contributions to total grazing based on time spent in the euphotic zone and relative proportion of the total biomass.</t>
      </text>
    </comment>
    <comment ref="C12" authorId="6" shapeId="0" xr:uid="{793C72A3-0809-402C-840D-2BB291A1A2CB}">
      <text>
        <t>[Threaded comment]
Your version of Excel allows you to read this threaded comment; however, any edits to it will get removed if the file is opened in a newer version of Excel. Learn more: https://go.microsoft.com/fwlink/?linkid=870924
Comment:
    Requires an accurate C:Chl to convert to C and then N units. Waiting on Andres</t>
      </text>
    </comment>
    <comment ref="B13" authorId="7" shapeId="0" xr:uid="{4DD09F1B-248A-44EA-A702-FF8FE655B490}">
      <text>
        <t>[Threaded comment]
Your version of Excel allows you to read this threaded comment; however, any edits to it will get removed if the file is opened in a newer version of Excel. Learn more: https://go.microsoft.com/fwlink/?linkid=870924
Comment:
    DVM portion of the community determined through difference between day and night biomass. Day=nonDVM, Night-Day=DVM. DVM are assumed to spend 12 hours at DVM depth (typically ~200 meters) and contribute to deep nutrient pools during that time.</t>
      </text>
    </comment>
    <comment ref="C14" authorId="8" shapeId="0" xr:uid="{73106767-2AD1-4461-8864-A3A1B2291F28}">
      <text>
        <t>[Threaded comment]
Your version of Excel allows you to read this threaded comment; however, any edits to it will get removed if the file is opened in a newer version of Excel. Learn more: https://go.microsoft.com/fwlink/?linkid=870924
Comment:
    Requires an accurate C:Chl to convert to C and then N units. Waiting on Andres</t>
      </text>
    </comment>
    <comment ref="B16" authorId="9" shapeId="0" xr:uid="{E6F265A6-E2AF-4FAE-BA45-8FD5CA48944C}">
      <text>
        <t>[Threaded comment]
Your version of Excel allows you to read this threaded comment; however, any edits to it will get removed if the file is opened in a newer version of Excel. Learn more: https://go.microsoft.com/fwlink/?linkid=870924
Comment:
    Salps were collected using double oblique Bongo tows, with 0.7m diameter frames equipped with 202 µm nets, General Oceanics flow meters, and an RBR temperature depth recorder. Salp specimens (typically 10) from each tow had their guts excised, and chl a and phaeopigments gut contents were measured. A power function was used to fit the size-specific Gpig (chl a + phaeo) contents for each tow, allowing the estimation of Gpig for each size bin per tow, and this was multiplied by the abundance in each size bin. Gut passage time (GPT) was calculated using a modified equation, based on (von Harbou, Dubischar et al. 2011 doi:10.1007/s00227-011-1709-4) where GPT(h) = 2.607*ln(OAL, mm) - 2.6. Grazing was estimated as: G (h-1) = Gpig /GPT, and scaled using a Q10=2. Daily salp grazing rates were obtained by assuming 14 h of day and 10 h of night, coincident with the times and latitudes at which we sampled these communities during the Salp Particle expOrt and Ocean Production (SalpPOOP) campaign. Cycle estimates were calculated by first averaging all day and all night tows separately, and then adding the two estimates.</t>
      </text>
    </comment>
    <comment ref="B17" authorId="10" shapeId="0" xr:uid="{0216443C-6BFC-4409-8285-45014CC4CE91}">
      <text>
        <t xml:space="preserve">[Threaded comment]
Your version of Excel allows you to read this threaded comment; however, any edits to it will get removed if the file is opened in a newer version of Excel. Learn more: https://go.microsoft.com/fwlink/?linkid=870924
Comment:
    Inferred from Moira's Gut Chl based on salp carnivory via trophic level. </t>
      </text>
    </comment>
    <comment ref="D17" authorId="11" shapeId="0" xr:uid="{17241F1C-3267-4E6A-AFB4-1D8BD61947F7}">
      <text>
        <t>[Threaded comment]
Your version of Excel allows you to read this threaded comment; however, any edits to it will get removed if the file is opened in a newer version of Excel. Learn more: https://go.microsoft.com/fwlink/?linkid=870924
Comment:
    The typed value here is the cycle averaged proportion of salp diet autotrophy followed by heterotrophy based on CSIAA trophic level (a TL of 2.4 implies ~40% heterotrophy for example)</t>
      </text>
    </comment>
    <comment ref="E17" authorId="12" shapeId="0" xr:uid="{61420CDF-0747-4B92-8522-FD115B5ED090}">
      <text>
        <t>[Threaded comment]
Your version of Excel allows you to read this threaded comment; however, any edits to it will get removed if the file is opened in a newer version of Excel. Learn more: https://go.microsoft.com/fwlink/?linkid=870924
Comment:
    The typed values are, in order, the SD of herbivory, herbivory fraction, SD of carnivory, carnivory fraction.</t>
      </text>
    </comment>
    <comment ref="H17" authorId="13" shapeId="0" xr:uid="{43FE8B26-75EC-4631-95F0-33E22063B2C3}">
      <text>
        <t>[Threaded comment]
Your version of Excel allows you to read this threaded comment; however, any edits to it will get removed if the file is opened in a newer version of Excel. Learn more: https://go.microsoft.com/fwlink/?linkid=870924
Comment:
    Note that because Cycle 3 was a nonsalp cycle with no trophic level data, I use the mean of Cycles 1, 2, and 4.</t>
      </text>
    </comment>
    <comment ref="L17" authorId="14" shapeId="0" xr:uid="{3E4340FA-98BD-41D5-80E1-D5DCD2B7116F}">
      <text>
        <t>[Threaded comment]
Your version of Excel allows you to read this threaded comment; however, any edits to it will get removed if the file is opened in a newer version of Excel. Learn more: https://go.microsoft.com/fwlink/?linkid=870924
Comment:
    This value has no standard deviation because it is a single sample from cycle 5. The other 3 had TL&lt;2 which is not possible and were therefore discarded.</t>
      </text>
    </comment>
    <comment ref="B18" authorId="15" shapeId="0" xr:uid="{B9AFB68A-A2CE-4B00-B3C4-C8E14D2F9DFE}">
      <text>
        <t>[Threaded comment]
Your version of Excel allows you to read this threaded comment; however, any edits to it will get removed if the file is opened in a newer version of Excel. Learn more: https://go.microsoft.com/fwlink/?linkid=870924
Comment:
    The above number multiplied by the fraction of gut biomass made up by BLPs</t>
      </text>
    </comment>
    <comment ref="D18" authorId="16" shapeId="0" xr:uid="{C79A8F75-1CC8-49DF-BAEB-B5D0FDB405EE}">
      <text>
        <t>[Threaded comment]
Your version of Excel allows you to read this threaded comment; however, any edits to it will get removed if the file is opened in a newer version of Excel. Learn more: https://go.microsoft.com/fwlink/?linkid=870924
Comment:
    The typed value here is cycle averaged proportion of all salp gut biomass made up by BLPs.</t>
      </text>
    </comment>
    <comment ref="E18" authorId="17" shapeId="0" xr:uid="{9F134BC2-C6DD-44CC-93F7-A1A92705E836}">
      <text>
        <t>[Threaded comment]
Your version of Excel allows you to read this threaded comment; however, any edits to it will get removed if the file is opened in a newer version of Excel. Learn more: https://go.microsoft.com/fwlink/?linkid=870924
Comment:
    Typed values are PicoFractSD and PicoFract</t>
      </text>
    </comment>
    <comment ref="L18" authorId="18" shapeId="0" xr:uid="{585CABD5-0283-4D0D-82C9-28373A6EF8EF}">
      <text>
        <t>[Threaded comment]
Your version of Excel allows you to read this threaded comment; however, any edits to it will get removed if the file is opened in a newer version of Excel. Learn more: https://go.microsoft.com/fwlink/?linkid=870924
Comment:
    Because no salp samples were collected from cycle 5, taking the average of the other 4 cycles.</t>
      </text>
    </comment>
    <comment ref="B19" authorId="19" shapeId="0" xr:uid="{AF9B3476-23CE-484B-BE2C-94B89ACC57D1}">
      <text>
        <t>[Threaded comment]
Your version of Excel allows you to read this threaded comment; however, any edits to it will get removed if the file is opened in a newer version of Excel. Learn more: https://go.microsoft.com/fwlink/?linkid=870924
Comment:
    As above but proportion of diatoms in guts</t>
      </text>
    </comment>
    <comment ref="B20" authorId="20" shapeId="0" xr:uid="{CAB5F5AE-D287-48EE-BD90-C9ED92492F7F}">
      <text>
        <t>[Threaded comment]
Your version of Excel allows you to read this threaded comment; however, any edits to it will get removed if the file is opened in a newer version of Excel. Learn more: https://go.microsoft.com/fwlink/?linkid=870924
Comment:
    As above but multiplied by proportion of everything else (hnf, flag, mic).</t>
      </text>
    </comment>
    <comment ref="B21" authorId="21" shapeId="0" xr:uid="{2A638042-83B3-4938-A0B1-CE55B1E7203F}">
      <text>
        <t>[Threaded comment]
Your version of Excel allows you to read this threaded comment; however, any edits to it will get removed if the file is opened in a newer version of Excel. Learn more: https://go.microsoft.com/fwlink/?linkid=870924
Comment:
    Determined from grazing rates assuming an egestion efficiency of 0.36 (Huntley, Sykes et al. 1989).</t>
      </text>
    </comment>
    <comment ref="H21" authorId="22" shapeId="0" xr:uid="{750BBD2C-467B-4AAD-8D55-20C072EB00AB}">
      <text>
        <t xml:space="preserve">[Threaded comment]
Your version of Excel allows you to read this threaded comment; however, any edits to it will get removed if the file is opened in a newer version of Excel. Learn more: https://go.microsoft.com/fwlink/?linkid=870924
Comment:
    Because no data is available for Cycles 3 and 5, divided Cycle 1, 2, and 4 production by the salp biomass from each tow to get a per unit biomass rate (again for day and night separately). Then multiplied this by the observed day/night salp biomass for Cycles 3 and 5. </t>
      </text>
    </comment>
    <comment ref="L21" authorId="23" shapeId="0" xr:uid="{2C488A87-BE61-4179-B1BD-349F7D8DB258}">
      <text>
        <t xml:space="preserve">[Threaded comment]
Your version of Excel allows you to read this threaded comment; however, any edits to it will get removed if the file is opened in a newer version of Excel. Learn more: https://go.microsoft.com/fwlink/?linkid=870924
Comment:
    Because no data is available for Cycles 3 and 5, divided Cycle 1, 2, and 4 production by the salp biomass from each tow to get a per unit biomass rate (again for day and night separately). Then multiplied this by the observed day/night salp biomass for Cycles 3 and 5. </t>
      </text>
    </comment>
    <comment ref="B22" authorId="24" shapeId="0" xr:uid="{DAFFA865-B68C-4C1E-B39D-7B284940708E}">
      <text>
        <t>[Threaded comment]
Your version of Excel allows you to read this threaded comment; however, any edits to it will get removed if the file is opened in a newer version of Excel. Learn more: https://go.microsoft.com/fwlink/?linkid=870924
Comment:
    Vertically integrated from Fenella Dean's tritiated leucine incorporation.</t>
      </text>
    </comment>
    <comment ref="B27" authorId="25" shapeId="0" xr:uid="{8FD8985B-FE3B-4796-8136-D14D18D2D6D2}">
      <text>
        <t>[Threaded comment]
Your version of Excel allows you to read this threaded comment; however, any edits to it will get removed if the file is opened in a newer version of Excel. Learn more: https://go.microsoft.com/fwlink/?linkid=870924
Comment:
    Note that because most CTDs do not approach the bottom, this is the temp at 50 m above bottom for only those casts that went that deep.</t>
      </text>
    </comment>
    <comment ref="B28" authorId="26" shapeId="0" xr:uid="{20BF6492-85B2-4B06-BE98-7E536702C219}">
      <text>
        <t>[Threaded comment]
Your version of Excel allows you to read this threaded comment; however, any edits to it will get removed if the file is opened in a newer version of Excel. Learn more: https://go.microsoft.com/fwlink/?linkid=870924
Comment:
    Cycle averaged depth 50 meters above bottom for use in estimating rates of demersal fish assuming they spend their time primarily within 100 meters of bottom.</t>
      </text>
    </comment>
    <comment ref="B29" authorId="27" shapeId="0" xr:uid="{BD8BBC4C-9B73-4F78-99CD-83588B461FB5}">
      <text>
        <t>[Threaded comment]
Your version of Excel allows you to read this threaded comment; however, any edits to it will get removed if the file is opened in a newer version of Excel. Learn more: https://go.microsoft.com/fwlink/?linkid=870924
Comment:
    Considered a minimum rather than an AE due to likelihood of missing some pellets</t>
      </text>
    </comment>
    <comment ref="B31" authorId="28" shapeId="0" xr:uid="{F29BC56D-18B9-4AC1-9B96-E53259A3FAF1}">
      <text>
        <t xml:space="preserve">[Threaded comment]
Your version of Excel allows you to read this threaded comment; however, any edits to it will get removed if the file is opened in a newer version of Excel. Learn more: https://go.microsoft.com/fwlink/?linkid=870924
Comment:
    Note that the large phyto biomasses come from FlowCam and are therefore integrated to the deepest FlowCam depth (typically the DCM or within the mixed layer if there was no DCM). Therefore they are likely underestimates of the true biomass for cycles where the euphotic zone extends past the DCM.
Reply:
    Also note that since these biomasses were not subject to the same issues as the pigments, they are averaged over a larger number of casts for Cycles 1 and 2. This leads to notably higher average biomasses in Cycle 1 than if averaging over only over the casts NPP was taken from (about twice what they would be otherwise) since 14C/pigments missed many of the earlier high productivity casts. </t>
      </text>
    </comment>
    <comment ref="B35" authorId="29" shapeId="0" xr:uid="{7BFA0B25-EABE-452E-8D16-E615D4E59640}">
      <text>
        <t>[Threaded comment]
Your version of Excel allows you to read this threaded comment; however, any edits to it will get removed if the file is opened in a newer version of Excel. Learn more: https://go.microsoft.com/fwlink/?linkid=870924
Comment:
    Via C:N combustion of size fractionated zooplankton biomass.</t>
      </text>
    </comment>
    <comment ref="D35" authorId="30" shapeId="0" xr:uid="{9FE02664-F3D7-4A2B-B06E-242B5B617565}">
      <text>
        <t>[Threaded comment]
Your version of Excel allows you to read this threaded comment; however, any edits to it will get removed if the file is opened in a newer version of Excel. Learn more: https://go.microsoft.com/fwlink/?linkid=870924
Comment:
    Note the daytime biomass here is higher than nighttime, which is not reflected in the bulk dry weight. Could alternatively use dry weight values instead assuming 40% carbon conversion and RR to nitrogen.</t>
      </text>
    </comment>
    <comment ref="B39" authorId="31" shapeId="0" xr:uid="{79C16B8F-C7E1-4927-9EBC-BFCEF906A4DA}">
      <text>
        <t>[Threaded comment]
Your version of Excel allows you to read this threaded comment; however, any edits to it will get removed if the file is opened in a newer version of Excel. Learn more: https://go.microsoft.com/fwlink/?linkid=870924
Comment:
    This will eventually come from Zooscan and allows me to link respiration and max ingestion inequalities.</t>
      </text>
    </comment>
    <comment ref="B40" authorId="32" shapeId="0" xr:uid="{7FEDAD25-CC14-4DF1-87CC-279BCF1E1E58}">
      <text>
        <t>[Threaded comment]
Your version of Excel allows you to read this threaded comment; however, any edits to it will get removed if the file is opened in a newer version of Excel. Learn more: https://go.microsoft.com/fwlink/?linkid=870924
Comment:
    This will eventually come from Zooscan and allows me to link respiration and max ingestion inequalities.</t>
      </text>
    </comment>
    <comment ref="B41" authorId="33" shapeId="0" xr:uid="{81AD1097-8946-472E-AA5A-63E59964EF42}">
      <text>
        <t>[Threaded comment]
Your version of Excel allows you to read this threaded comment; however, any edits to it will get removed if the file is opened in a newer version of Excel. Learn more: https://go.microsoft.com/fwlink/?linkid=870924
Comment:
    Summed biomass of all salps collected in all bongo tows of a given cycle, averaged over that cycle</t>
      </text>
    </comment>
    <comment ref="D41" authorId="34" shapeId="0" xr:uid="{FCE2B959-F8B9-43FF-9F8A-E8AB1D1F6797}">
      <text>
        <t>[Threaded comment]
Your version of Excel allows you to read this threaded comment; however, any edits to it will get removed if the file is opened in a newer version of Excel. Learn more: https://go.microsoft.com/fwlink/?linkid=870924
Comment:
    Note this is for all salps, not just ST.</t>
      </text>
    </comment>
    <comment ref="B43" authorId="35" shapeId="0" xr:uid="{33917172-7AC9-4205-B92F-FAD690A59541}">
      <text>
        <t>[Threaded comment]
Your version of Excel allows you to read this threaded comment; however, any edits to it will get removed if the file is opened in a newer version of Excel. Learn more: https://go.microsoft.com/fwlink/?linkid=870924
Comment:
    These are Pinkerton average biomasses scaled to the difference in average prey concentrations vs what we observed in each cycle. Thus they assume a roughly linear relationship between prey and biomass. Utilizing them for Iguchi respiration and Kiorboe total ingestion is thus equivalent to the assumption made for Pinkerton prey-specific max ingestions.</t>
      </text>
    </comment>
    <comment ref="D43" authorId="36" shapeId="0" xr:uid="{4503B7AE-8748-4729-9189-035947F32648}">
      <text>
        <t>[Threaded comment]
Your version of Excel allows you to read this threaded comment; however, any edits to it will get removed if the file is opened in a newer version of Excel. Learn more: https://go.microsoft.com/fwlink/?linkid=870924
Comment:
    Mesopelagic fish (myctophids) from Pinkerton 2011</t>
      </text>
    </comment>
    <comment ref="D44" authorId="37" shapeId="0" xr:uid="{B5AE1E9C-E647-48EB-B651-CCD3C5217E17}">
      <text>
        <t>[Threaded comment]
Your version of Excel allows you to read this threaded comment; however, any edits to it will get removed if the file is opened in a newer version of Excel. Learn more: https://go.microsoft.com/fwlink/?linkid=870924
Comment:
    Hoki from Pinkerton 2011</t>
      </text>
    </comment>
    <comment ref="D45" authorId="38" shapeId="0" xr:uid="{D5A41870-5EFC-493E-A8FC-19D207C865E9}">
      <text>
        <t>[Threaded comment]
Your version of Excel allows you to read this threaded comment; however, any edits to it will get removed if the file is opened in a newer version of Excel. Learn more: https://go.microsoft.com/fwlink/?linkid=870924
Comment:
    S_oreo + warehou from Pinkerton 2011</t>
      </text>
    </comment>
    <comment ref="B46" authorId="39" shapeId="0" xr:uid="{B2C14483-C304-4DAA-8EA4-E2068CF8FCF5}">
      <text>
        <t>[Threaded comment]
Your version of Excel allows you to read this threaded comment; however, any edits to it will get removed if the file is opened in a newer version of Excel. Learn more: https://go.microsoft.com/fwlink/?linkid=870924
Comment:
    These are predicted min consumption rates based on values collated by Pinkerton. Each is calculated as the average consumption of a given prey item divided by the average standing stock of that prey item, giving the proportion of the prey community the average density of predators would graze per day, multiplied by the observed biomass of that prey item and a factor of .5.</t>
      </text>
    </comment>
    <comment ref="B47" authorId="40" shapeId="0" xr:uid="{6A98B38A-DB47-44CB-8618-39B3503D1E8B}">
      <text>
        <t>[Threaded comment]
Your version of Excel allows you to read this threaded comment; however, any edits to it will get removed if the file is opened in a newer version of Excel. Learn more: https://go.microsoft.com/fwlink/?linkid=870924
Comment:
    These are predicted maximum consumption rates based on values collated by Pinkerton. Each is calculated as the average consumption of a given prey item divided by the average standing stock of that prey item, giving the proportion of the prey community the average density of predators would graze per day, multiplied by the observed biomass of that prey item and a factor of 2.</t>
      </text>
    </comment>
    <comment ref="B75" authorId="41" shapeId="0" xr:uid="{A97993C1-D81C-4CB9-986A-4E3BCDC853D7}">
      <text>
        <t xml:space="preserve">[Threaded comment]
Your version of Excel allows you to read this threaded comment; however, any edits to it will get removed if the file is opened in a newer version of Excel. Learn more: https://go.microsoft.com/fwlink/?linkid=870924
Comment:
    Average size of mesozooplankton paramterized as the calanoid copepod Pleuromamma scutullata per Yamaguchi and Ikeda 2000 (Bradford-Grieve actually says P. glacialis but it's at least the same genera). DW (ug) = 18.91*1mm^2.723 = 18.91 ug DW * .4 = 7.564 ug C = 0.007564 mg C
</t>
      </text>
    </comment>
    <comment ref="B76" authorId="42" shapeId="0" xr:uid="{48AC3F99-0D33-4457-B333-D546ED2DF5AF}">
      <text>
        <t>[Threaded comment]
Your version of Excel allows you to read this threaded comment; however, any edits to it will get removed if the file is opened in a newer version of Excel. Learn more: https://go.microsoft.com/fwlink/?linkid=870924
Comment:
    As the mean of all 4 life stages of Euphausia lucens in the Benguela Current. Alternatively we have mean of only adults at 1.499 +_ 0.299</t>
      </text>
    </comment>
    <comment ref="B77" authorId="43" shapeId="0" xr:uid="{1EF2F650-2DD8-40D9-AA12-ED9980E358BC}">
      <text>
        <t>[Threaded comment]
Your version of Excel allows you to read this threaded comment; however, any edits to it will get removed if the file is opened in a newer version of Excel. Learn more: https://go.microsoft.com/fwlink/?linkid=870924
Comment:
    As Themisto gaudichaudii from a high chl region off South Georgia (Kruse et al 2015) assuming a 40% DW to C conversion.</t>
      </text>
    </comment>
    <comment ref="D78" authorId="44" shapeId="0" xr:uid="{C5731584-FE00-40DD-92E6-B2ED1517DCD3}">
      <text>
        <t>[Threaded comment]
Your version of Excel allows you to read this threaded comment; however, any edits to it will get removed if the file is opened in a newer version of Excel. Learn more: https://go.microsoft.com/fwlink/?linkid=870924
Comment:
    As the mean of all Siphonophores, Ctenophores, and cnidarians in the Zooscan so far.</t>
      </text>
    </comment>
    <comment ref="B79" authorId="45" shapeId="0" xr:uid="{E63D414D-D2A3-4453-8075-D7951B2DDB00}">
      <text>
        <t xml:space="preserve">[Threaded comment]
Your version of Excel allows you to read this threaded comment; however, any edits to it will get removed if the file is opened in a newer version of Excel. Learn more: https://go.microsoft.com/fwlink/?linkid=870924
Comment:
    From Pinkerton 2011. Ikeda 2016 equation for oxygen respiration and O:N ratio can take WW as we all C mass
</t>
      </text>
    </comment>
    <comment ref="B80" authorId="46" shapeId="0" xr:uid="{33BBBFF2-FF65-480F-A392-90BA4D3E3E13}">
      <text>
        <t>[Threaded comment]
Your version of Excel allows you to read this threaded comment; however, any edits to it will get removed if the file is opened in a newer version of Excel. Learn more: https://go.microsoft.com/fwlink/?linkid=870924
Comment:
    As Hoki using median length and W:L conversion from Connell et al 2010</t>
      </text>
    </comment>
    <comment ref="B81" authorId="47" shapeId="0" xr:uid="{5951B85E-2C54-48DF-A0D0-014F3CD425DA}">
      <text>
        <t>[Threaded comment]
Your version of Excel allows you to read this threaded comment; however, any edits to it will get removed if the file is opened in a newer version of Excel. Learn more: https://go.microsoft.com/fwlink/?linkid=870924
Comment:
    As Smooth Oreo with mean length from Coombs and Barr, 2004 and W:L from Clark et al. 1999</t>
      </text>
    </comment>
    <comment ref="B82" authorId="48" shapeId="0" xr:uid="{60DDCF8A-8691-4627-B136-18076439DC5F}">
      <text>
        <t>[Threaded comment]
Your version of Excel allows you to read this threaded comment; however, any edits to it will get removed if the file is opened in a newer version of Excel. Learn more: https://go.microsoft.com/fwlink/?linkid=870924
Comment:
    From Iguchi and Ikeda's salp respiration regressions based on body length, using midpoints of size binned bongo salp abundance from Moira. Values were calculated per tow and converted to per day assuming 14 daylight hours and 10 night time hours (adding the average of day and night respiration).</t>
      </text>
    </comment>
    <comment ref="H82" authorId="49" shapeId="0" xr:uid="{E0886DCB-9BF3-4C22-A00D-B5154BCA3C99}">
      <text>
        <t>[Threaded comment]
Your version of Excel allows you to read this threaded comment; however, any edits to it will get removed if the file is opened in a newer version of Excel. Learn more: https://go.microsoft.com/fwlink/?linkid=870924
Comment:
    Unlike the other cycles, these values are calculated per individual salp based on a length regression by Iguchi and Ikeda 2004. Respiration is then summed over each tow, averaged by cycle, and day and night values are added assuming 14 hours day and 10 hours night.
Reply:
    An alternative way to do this is to divide Cycle 1, 2, and 4 respiration by the salp biomass from each tow to get a per unit biomass respiration rate (again for day and night separately). Then multiply  by the observed day/night salp biomass for Cycles 3 and 5. Doing so ALSO gives 0.00017</t>
      </text>
    </comment>
    <comment ref="L82" authorId="50" shapeId="0" xr:uid="{AA550933-6805-468C-8BCD-E843C1E3BC39}">
      <text>
        <t>[Threaded comment]
Your version of Excel allows you to read this threaded comment; however, any edits to it will get removed if the file is opened in a newer version of Excel. Learn more: https://go.microsoft.com/fwlink/?linkid=870924
Comment:
    Unlike the other cycles, these values are calculated per individual salp based on a length regression by Iguchi and Ikeda 2004. Respiration is then summed over each tow, averaged by cycle, and day and night values are added assuming 14 hours day and 10 hours night.
Reply:
    An alternative way to do this is to divide Cycle 1, 2, and 4 respiration by the salp biomass from each tow to get a per unit biomass respiration rate (again for day and night separately). Then multiply  by the observed day/night salp biomass for Cycles 3 and 5. Doing so gives 0.00006.</t>
      </text>
    </comment>
    <comment ref="B89" authorId="51" shapeId="0" xr:uid="{002E309C-2A33-49B0-BC39-6D9E9A8BC399}">
      <text>
        <t>[Threaded comment]
Your version of Excel allows you to read this threaded comment; however, any edits to it will get removed if the file is opened in a newer version of Excel. Learn more: https://go.microsoft.com/fwlink/?linkid=870924
Comment:
    Currently displayed is just ST bodies</t>
      </text>
    </comment>
    <comment ref="D89" authorId="52" shapeId="0" xr:uid="{40A7BFD2-2274-4C82-8F86-9A3662904ADE}">
      <text>
        <t>[Threaded comment]
Your version of Excel allows you to read this threaded comment; however, any edits to it will get removed if the file is opened in a newer version of Excel. Learn more: https://go.microsoft.com/fwlink/?linkid=870924
Comment:
    2.57 if using all salps</t>
      </text>
    </comment>
    <comment ref="E89" authorId="53" shapeId="0" xr:uid="{3C2762BD-B8C9-403E-9FAF-F8AB84765C19}">
      <text>
        <t>[Threaded comment]
Your version of Excel allows you to read this threaded comment; however, any edits to it will get removed if the file is opened in a newer version of Excel. Learn more: https://go.microsoft.com/fwlink/?linkid=870924
Comment:
    0.88 if using all salps</t>
      </text>
    </comment>
    <comment ref="F89" authorId="54" shapeId="0" xr:uid="{CE6E8441-0F4C-44FA-BFD2-C556CA735FFF}">
      <text>
        <t>[Threaded comment]
Your version of Excel allows you to read this threaded comment; however, any edits to it will get removed if the file is opened in a newer version of Excel. Learn more: https://go.microsoft.com/fwlink/?linkid=870924
Comment:
    1.30 if using all salps</t>
      </text>
    </comment>
    <comment ref="G89" authorId="55" shapeId="0" xr:uid="{B95EAA1D-215B-429B-BA06-2258CDEEF014}">
      <text>
        <t>[Threaded comment]
Your version of Excel allows you to read this threaded comment; however, any edits to it will get removed if the file is opened in a newer version of Excel. Learn more: https://go.microsoft.com/fwlink/?linkid=870924
Comment:
    1.22 if using all salps</t>
      </text>
    </comment>
    <comment ref="J89" authorId="56" shapeId="0" xr:uid="{310A1DA3-55D7-4BCF-A885-4DDE4D6C71B4}">
      <text>
        <t>[Threaded comment]
Your version of Excel allows you to read this threaded comment; however, any edits to it will get removed if the file is opened in a newer version of Excel. Learn more: https://go.microsoft.com/fwlink/?linkid=870924
Comment:
    7.49 if using all salps</t>
      </text>
    </comment>
    <comment ref="K89" authorId="57" shapeId="0" xr:uid="{FBF316F2-539D-4E4D-9518-DE6B29B8A0D7}">
      <text>
        <t>[Threaded comment]
Your version of Excel allows you to read this threaded comment; however, any edits to it will get removed if the file is opened in a newer version of Excel. Learn more: https://go.microsoft.com/fwlink/?linkid=870924
Comment:
    1.19 if using all salps</t>
      </text>
    </comment>
  </commentList>
</comments>
</file>

<file path=xl/comments7.xml><?xml version="1.0" encoding="utf-8"?>
<comments xmlns="http://schemas.openxmlformats.org/spreadsheetml/2006/main" xmlns:mc="http://schemas.openxmlformats.org/markup-compatibility/2006" xmlns:xr="http://schemas.microsoft.com/office/spreadsheetml/2014/revision" mc:Ignorable="xr">
  <authors>
    <author>tc={11AEF130-BE7B-4914-83A6-8F93DB32E9B5}</author>
    <author>tc={2C843EC0-E733-4A7D-8C21-301EFDEA5B4F}</author>
  </authors>
  <commentList>
    <comment ref="B2" authorId="0" shapeId="0" xr:uid="{11AEF130-BE7B-4914-83A6-8F93DB32E9B5}">
      <text>
        <t>[Threaded comment]
Your version of Excel allows you to read this threaded comment; however, any edits to it will get removed if the file is opened in a newer version of Excel. Learn more: https://go.microsoft.com/fwlink/?linkid=870924
Comment:
    Note that the summed NPP of the 3 phytoplankton groups via dilution method exceeds 14C NPP. We trust the latter more , so what we're really interested in here is the proportion of total NPP attributable to Pico, Flag, and Diatoms.</t>
      </text>
    </comment>
    <comment ref="B4" authorId="1" shapeId="0" xr:uid="{2C843EC0-E733-4A7D-8C21-301EFDEA5B4F}">
      <text>
        <t>[Threaded comment]
Your version of Excel allows you to read this threaded comment; however, any edits to it will get removed if the file is opened in a newer version of Excel. Learn more: https://go.microsoft.com/fwlink/?linkid=870924
Comment:
    Both diatom NPP and Mortality are subject to a variety of assumptions. They are calculated using FlowCam biomass with the missing values at the surface assumed to be same as at 12 m, missing values at depth assumed to be proportional to chemtax fuco chl, and values in between assumed to be linearly related to the biomasses we have. Instantaneous growth and grazing rates come from those of fucoxanthin HPLC</t>
      </text>
    </comment>
  </commentList>
</comments>
</file>

<file path=xl/comments8.xml><?xml version="1.0" encoding="utf-8"?>
<comments xmlns="http://schemas.openxmlformats.org/spreadsheetml/2006/main" xmlns:mc="http://schemas.openxmlformats.org/markup-compatibility/2006" xmlns:xr="http://schemas.microsoft.com/office/spreadsheetml/2014/revision" mc:Ignorable="xr">
  <authors>
    <author>tc={803DD042-119C-4366-A054-250367C6D7C6}</author>
    <author>tc={0E9BD42D-CB47-4A36-9E26-68A9BD070751}</author>
    <author>tc={2CDFE638-8856-4F98-B7B2-D756C0DF1D8B}</author>
    <author>tc={963AB290-788D-4EEA-8BBC-E8D03C90AD19}</author>
    <author>tc={40FC5C9D-16DA-4AA5-8E1A-9B3B48F8329B}</author>
    <author>tc={977E4D61-1962-4ECC-AE46-1C86B111AC83}</author>
    <author>tc={2E3F3021-1E1C-4C13-B58A-D42AF320A4D4}</author>
    <author>tc={6D8BB8D1-AF9E-4F7D-8C24-89E8C5DA336E}</author>
    <author>tc={09EFD2FE-C753-4642-8C34-7F8FD8A3A4FA}</author>
    <author>tc={A676BA69-1A27-4504-8E0F-F4150F080E32}</author>
    <author>tc={B994DE36-5DF9-48AE-8455-28727D0DEE5E}</author>
    <author>tc={C8AA4321-AD45-41C0-966A-F99D5B7471C6}</author>
  </authors>
  <commentList>
    <comment ref="D2" authorId="0" shapeId="0" xr:uid="{803DD042-119C-4366-A054-250367C6D7C6}">
      <text>
        <t>[Threaded comment]
Your version of Excel allows you to read this threaded comment; however, any edits to it will get removed if the file is opened in a newer version of Excel. Learn more: https://go.microsoft.com/fwlink/?linkid=870924
Comment:
    Specifically ciliates</t>
      </text>
    </comment>
    <comment ref="E2" authorId="1" shapeId="0" xr:uid="{0E9BD42D-CB47-4A36-9E26-68A9BD070751}">
      <text>
        <t>[Threaded comment]
Your version of Excel allows you to read this threaded comment; however, any edits to it will get removed if the file is opened in a newer version of Excel. Learn more: https://go.microsoft.com/fwlink/?linkid=870924
Comment:
    Only towed to 100 meters, values are average day/night. C estimated from DW assuming 0.47 conversion.
Reply:
    This is &gt;200 um 0.5 m2 ring net catch, so it is most comparable to my Meso + Macro</t>
      </text>
    </comment>
    <comment ref="A4" authorId="2" shapeId="0" xr:uid="{2CDFE638-8856-4F98-B7B2-D756C0DF1D8B}">
      <text>
        <t>[Threaded comment]
Your version of Excel allows you to read this threaded comment; however, any edits to it will get removed if the file is opened in a newer version of Excel. Learn more: https://go.microsoft.com/fwlink/?linkid=870924
Comment:
    About 1 degree north of our sampling</t>
      </text>
    </comment>
    <comment ref="A5" authorId="3" shapeId="0" xr:uid="{963AB290-788D-4EEA-8BBC-E8D03C90AD19}">
      <text>
        <t xml:space="preserve">[Threaded comment]
Your version of Excel allows you to read this threaded comment; however, any edits to it will get removed if the file is opened in a newer version of Excel. Learn more: https://go.microsoft.com/fwlink/?linkid=870924
Comment:
    About 2 degrees South of me </t>
      </text>
    </comment>
    <comment ref="E11" authorId="4" shapeId="0" xr:uid="{40FC5C9D-16DA-4AA5-8E1A-9B3B48F8329B}">
      <text>
        <t>[Threaded comment]
Your version of Excel allows you to read this threaded comment; however, any edits to it will get removed if the file is opened in a newer version of Excel. Learn more: https://go.microsoft.com/fwlink/?linkid=870924
Comment:
    These are MOCNESS down to 1000m, but values shown are integrated surface 100</t>
      </text>
    </comment>
    <comment ref="A12" authorId="5" shapeId="0" xr:uid="{977E4D61-1962-4ECC-AE46-1C86B111AC83}">
      <text>
        <t>[Threaded comment]
Your version of Excel allows you to read this threaded comment; however, any edits to it will get removed if the file is opened in a newer version of Excel. Learn more: https://go.microsoft.com/fwlink/?linkid=870924
Comment:
    Note these stations were about 1 degree north of mine and 1-2 degrees warmer</t>
      </text>
    </comment>
    <comment ref="A13" authorId="6" shapeId="0" xr:uid="{2E3F3021-1E1C-4C13-B58A-D42AF320A4D4}">
      <text>
        <t>[Threaded comment]
Your version of Excel allows you to read this threaded comment; however, any edits to it will get removed if the file is opened in a newer version of Excel. Learn more: https://go.microsoft.com/fwlink/?linkid=870924
Comment:
    Based on temperature these may be most comparable to my “SA” cycles</t>
      </text>
    </comment>
    <comment ref="E13" authorId="7" shapeId="0" xr:uid="{6D8BB8D1-AF9E-4F7D-8C24-89E8C5DA336E}">
      <text>
        <t>[Threaded comment]
Your version of Excel allows you to read this threaded comment; however, any edits to it will get removed if the file is opened in a newer version of Excel. Learn more: https://go.microsoft.com/fwlink/?linkid=870924
Comment:
    Worth noting Bradford-Grieve also calculated only 4% of mesozoo metabolic needs were met by phytoplankton and 90% of microzoo biomass was required to support this value.  
Reply:
    Alternatively, Bradford-Grieve 2003 Ecopath used an annual mean of 1058 for the 0-615 m depth of the Southern Plateau. From this study averaging the winter and spring STC values over 100 m gives 1089. So 1058 seems the most reasonable annual average available.</t>
      </text>
    </comment>
    <comment ref="A14" authorId="8" shapeId="0" xr:uid="{09EFD2FE-C753-4642-8C34-7F8FD8A3A4FA}">
      <text>
        <t>[Threaded comment]
Your version of Excel allows you to read this threaded comment; however, any edits to it will get removed if the file is opened in a newer version of Excel. Learn more: https://go.microsoft.com/fwlink/?linkid=870924
Comment:
    These stations were 1 degree south of mine and 2 degrees colder</t>
      </text>
    </comment>
    <comment ref="E17" authorId="9" shapeId="0" xr:uid="{A676BA69-1A27-4504-8E0F-F4150F080E32}">
      <text>
        <t>[Threaded comment]
Your version of Excel allows you to read this threaded comment; however, any edits to it will get removed if the file is opened in a newer version of Excel. Learn more: https://go.microsoft.com/fwlink/?linkid=870924
Comment:
    Net tow only to 65 meters
Reply:
    A big part of why this is so much lower is the ontogenetic migration of Neocalanus tonsus which is below their sampling depth in summer</t>
      </text>
    </comment>
    <comment ref="E27" authorId="10" shapeId="0" xr:uid="{B994DE36-5DF9-48AE-8455-28727D0DEE5E}">
      <text>
        <t>[Threaded comment]
Your version of Excel allows you to read this threaded comment; however, any edits to it will get removed if the file is opened in a newer version of Excel. Learn more: https://go.microsoft.com/fwlink/?linkid=870924
Comment:
    No clear reason for this, he copied bradford-grieve and says 1058 in the text</t>
      </text>
    </comment>
    <comment ref="D32" authorId="11" shapeId="0" xr:uid="{C8AA4321-AD45-41C0-966A-F99D5B7471C6}">
      <text>
        <t xml:space="preserve">[Threaded comment]
Your version of Excel allows you to read this threaded comment; however, any edits to it will get removed if the file is opened in a newer version of Excel. Learn more: https://go.microsoft.com/fwlink/?linkid=870924
Comment:
    These lower microzoo biomasses relative to the other studies paired with much higher mesozoo biomass suggests either increased competition for primary production (check zoo chl) or increased protistivory. </t>
      </text>
    </comment>
  </commentList>
</comments>
</file>

<file path=xl/sharedStrings.xml><?xml version="1.0" encoding="utf-8"?>
<sst xmlns="http://schemas.openxmlformats.org/spreadsheetml/2006/main" count="1459" uniqueCount="286">
  <si>
    <t>Approximate Equalities</t>
  </si>
  <si>
    <t>units</t>
  </si>
  <si>
    <t>Cycle 1</t>
  </si>
  <si>
    <t>σ</t>
  </si>
  <si>
    <t>Cycle 2</t>
  </si>
  <si>
    <t>Cycle 3</t>
  </si>
  <si>
    <t>Cycle 4</t>
  </si>
  <si>
    <t>Cycle 5</t>
  </si>
  <si>
    <r>
      <t>(mmol N m</t>
    </r>
    <r>
      <rPr>
        <vertAlign val="superscript"/>
        <sz val="8"/>
        <color theme="8" tint="-0.249977111117893"/>
        <rFont val="Calibri"/>
        <family val="2"/>
        <scheme val="minor"/>
      </rPr>
      <t>-2</t>
    </r>
    <r>
      <rPr>
        <sz val="8"/>
        <color theme="8" tint="-0.249977111117893"/>
        <rFont val="Calibri"/>
        <family val="2"/>
        <scheme val="minor"/>
      </rPr>
      <t xml:space="preserve"> d</t>
    </r>
    <r>
      <rPr>
        <vertAlign val="superscript"/>
        <sz val="8"/>
        <color theme="8" tint="-0.249977111117893"/>
        <rFont val="Calibri"/>
        <family val="2"/>
        <scheme val="minor"/>
      </rPr>
      <t>-1</t>
    </r>
    <r>
      <rPr>
        <sz val="8"/>
        <color theme="8" tint="-0.249977111117893"/>
        <rFont val="Calibri"/>
        <family val="2"/>
        <scheme val="minor"/>
      </rPr>
      <t>)</t>
    </r>
  </si>
  <si>
    <t>SedTrap Flux (shallow)</t>
  </si>
  <si>
    <t>Thorium Flux (shallow)</t>
  </si>
  <si>
    <t>Pico NPP</t>
  </si>
  <si>
    <t>Flag NPP</t>
  </si>
  <si>
    <t>Picophyto Mortality</t>
  </si>
  <si>
    <t>Flagellate Mortality</t>
  </si>
  <si>
    <t>Mesozoo Grazing</t>
  </si>
  <si>
    <t>Macrozoo Grazing</t>
  </si>
  <si>
    <t>PicoTOSalp</t>
  </si>
  <si>
    <t>DtmTOSalp</t>
  </si>
  <si>
    <t>Inequality Inputs</t>
  </si>
  <si>
    <t>Temperature (0-70)</t>
  </si>
  <si>
    <t>deg C</t>
  </si>
  <si>
    <t>Pico Biomass</t>
  </si>
  <si>
    <r>
      <t>(mmol N m</t>
    </r>
    <r>
      <rPr>
        <vertAlign val="superscript"/>
        <sz val="8"/>
        <color rgb="FFC00000"/>
        <rFont val="Calibri"/>
        <family val="2"/>
        <scheme val="minor"/>
      </rPr>
      <t>-2</t>
    </r>
    <r>
      <rPr>
        <sz val="8"/>
        <color rgb="FFC00000"/>
        <rFont val="Calibri"/>
        <family val="2"/>
        <scheme val="minor"/>
      </rPr>
      <t>)</t>
    </r>
  </si>
  <si>
    <t>Diatom Biomass</t>
  </si>
  <si>
    <t>Flag Biomass</t>
  </si>
  <si>
    <t>HNF Biomass</t>
  </si>
  <si>
    <t>MIC Biomass</t>
  </si>
  <si>
    <t>Meso Daytime Biomass</t>
  </si>
  <si>
    <t>Meso Nighttime Biomass</t>
  </si>
  <si>
    <t>Macro Daytime Biomass</t>
  </si>
  <si>
    <t>Macro Nighttime Biomass</t>
  </si>
  <si>
    <t>Myct Biomass</t>
  </si>
  <si>
    <t>PiscivFish Biomass</t>
  </si>
  <si>
    <t>GelativFish Biomass</t>
  </si>
  <si>
    <r>
      <t>(mmol N m</t>
    </r>
    <r>
      <rPr>
        <vertAlign val="superscript"/>
        <sz val="8"/>
        <color rgb="FFC00000"/>
        <rFont val="Calibri"/>
        <family val="2"/>
        <scheme val="minor"/>
      </rPr>
      <t xml:space="preserve">-2 </t>
    </r>
    <r>
      <rPr>
        <sz val="8"/>
        <color rgb="FFC00000"/>
        <rFont val="Calibri"/>
        <family val="2"/>
        <scheme val="minor"/>
      </rPr>
      <t>d</t>
    </r>
    <r>
      <rPr>
        <vertAlign val="superscript"/>
        <sz val="8"/>
        <color rgb="FFC00000"/>
        <rFont val="Calibri"/>
        <family val="2"/>
        <scheme val="minor"/>
      </rPr>
      <t>-1</t>
    </r>
    <r>
      <rPr>
        <sz val="8"/>
        <color rgb="FFC00000"/>
        <rFont val="Calibri"/>
        <family val="2"/>
        <scheme val="minor"/>
      </rPr>
      <t>)</t>
    </r>
  </si>
  <si>
    <t>Meso Size</t>
  </si>
  <si>
    <r>
      <t>(mg C ind</t>
    </r>
    <r>
      <rPr>
        <vertAlign val="superscript"/>
        <sz val="8"/>
        <color rgb="FFC00000"/>
        <rFont val="Calibri"/>
        <family val="2"/>
        <scheme val="minor"/>
      </rPr>
      <t>-1</t>
    </r>
    <r>
      <rPr>
        <sz val="8"/>
        <color rgb="FFC00000"/>
        <rFont val="Calibri"/>
        <family val="2"/>
        <scheme val="minor"/>
      </rPr>
      <t>)</t>
    </r>
  </si>
  <si>
    <t>Macro Size</t>
  </si>
  <si>
    <t>Myct Size</t>
  </si>
  <si>
    <r>
      <t>(mg WW ind</t>
    </r>
    <r>
      <rPr>
        <vertAlign val="superscript"/>
        <sz val="8"/>
        <color rgb="FFC00000"/>
        <rFont val="Calibri"/>
        <family val="2"/>
        <scheme val="minor"/>
      </rPr>
      <t>-1</t>
    </r>
    <r>
      <rPr>
        <sz val="8"/>
        <color rgb="FFC00000"/>
        <rFont val="Calibri"/>
        <family val="2"/>
        <scheme val="minor"/>
      </rPr>
      <t>)</t>
    </r>
  </si>
  <si>
    <t>PiscivFish Size</t>
  </si>
  <si>
    <t>GelativFish Size</t>
  </si>
  <si>
    <r>
      <t>δ</t>
    </r>
    <r>
      <rPr>
        <vertAlign val="superscript"/>
        <sz val="20"/>
        <color theme="9" tint="-0.499984740745262"/>
        <rFont val="Calibri"/>
        <family val="2"/>
      </rPr>
      <t>15</t>
    </r>
    <r>
      <rPr>
        <sz val="20"/>
        <color theme="9" tint="-0.499984740745262"/>
        <rFont val="Calibri"/>
        <family val="2"/>
      </rPr>
      <t>N Values</t>
    </r>
  </si>
  <si>
    <t>Shallow SedTrap</t>
  </si>
  <si>
    <r>
      <t xml:space="preserve">δ </t>
    </r>
    <r>
      <rPr>
        <b/>
        <vertAlign val="superscript"/>
        <sz val="9"/>
        <color theme="9" tint="-0.499984740745262"/>
        <rFont val="Arial"/>
        <family val="2"/>
      </rPr>
      <t>15</t>
    </r>
    <r>
      <rPr>
        <b/>
        <sz val="9"/>
        <color theme="9" tint="-0.499984740745262"/>
        <rFont val="Arial"/>
        <family val="2"/>
      </rPr>
      <t>N</t>
    </r>
    <r>
      <rPr>
        <b/>
        <vertAlign val="subscript"/>
        <sz val="9"/>
        <color theme="9" tint="-0.499984740745262"/>
        <rFont val="Arial"/>
        <family val="2"/>
      </rPr>
      <t xml:space="preserve">AIR </t>
    </r>
    <r>
      <rPr>
        <b/>
        <sz val="9"/>
        <color theme="9" tint="-0.499984740745262"/>
        <rFont val="Arial"/>
        <family val="2"/>
      </rPr>
      <t>(‰)</t>
    </r>
  </si>
  <si>
    <t>PON</t>
  </si>
  <si>
    <t>Meso</t>
  </si>
  <si>
    <t>Macro</t>
  </si>
  <si>
    <t>Salp</t>
  </si>
  <si>
    <t>NPP (shallow)</t>
  </si>
  <si>
    <t>NPP (deep)</t>
  </si>
  <si>
    <t>f-ratio (shallow)</t>
  </si>
  <si>
    <t>f-ratio (deep)</t>
  </si>
  <si>
    <t>Protistan Grazing Rate (shallow)</t>
  </si>
  <si>
    <t>Protistan Grazing Rate (deep)</t>
  </si>
  <si>
    <t>Picophyto NPP (shallow)</t>
  </si>
  <si>
    <t>Picophyto NPP (deep)</t>
  </si>
  <si>
    <t>Flagellate NPP (shallow)</t>
  </si>
  <si>
    <t>Flagellate NPP (deep)</t>
  </si>
  <si>
    <t>Diatom NPP (shallow)</t>
  </si>
  <si>
    <t>Diatom NPP (deep)</t>
  </si>
  <si>
    <t>Picophyto Mortality (shallow)</t>
  </si>
  <si>
    <t>Picophyto Mortality (deep)</t>
  </si>
  <si>
    <t>Flagellate Mortality (shallow)</t>
  </si>
  <si>
    <t>Flagellate Mortality (deep)</t>
  </si>
  <si>
    <t>Diatom Mortality (shallow)</t>
  </si>
  <si>
    <t>Diatom Mortality (deep)</t>
  </si>
  <si>
    <t>NVM Mesozoo Grazing</t>
  </si>
  <si>
    <t>VM Mesozoo Grazing</t>
  </si>
  <si>
    <t>SedTrap Flux (deep)</t>
  </si>
  <si>
    <t>NaN</t>
  </si>
  <si>
    <t>Thorium Flux (deep)</t>
  </si>
  <si>
    <t>Chl Sinking (shallow)</t>
  </si>
  <si>
    <t>Chl Sinking (deep)</t>
  </si>
  <si>
    <t>Fecal Pellet Sinking (shallow)</t>
  </si>
  <si>
    <t>Fecal Pellet Sinking (deep)</t>
  </si>
  <si>
    <t>Microzoo to Preflex</t>
  </si>
  <si>
    <t>Microzoo to Postflex</t>
  </si>
  <si>
    <t>Appendicularian to Preflex</t>
  </si>
  <si>
    <t>Appendicularian to Postflex</t>
  </si>
  <si>
    <t>Cladoceran to Preflex</t>
  </si>
  <si>
    <t>Cladoceran to Postflex</t>
  </si>
  <si>
    <t>Calanoids to Preflex</t>
  </si>
  <si>
    <t>Calanoids to Postflex</t>
  </si>
  <si>
    <t>Poecilastomatoids to Preflex</t>
  </si>
  <si>
    <t>Poecilastomatoids to Postflex</t>
  </si>
  <si>
    <t>Temperature (0-50)</t>
  </si>
  <si>
    <t>Temperature (50-120)</t>
  </si>
  <si>
    <t>Temperature (120-300)</t>
  </si>
  <si>
    <t>HerbNVM biomass (shallow)</t>
  </si>
  <si>
    <t>App Biomass (shallow)</t>
  </si>
  <si>
    <t>Clad Biomass (shallow)</t>
  </si>
  <si>
    <t>NVM Cal Biomass (shallow)</t>
  </si>
  <si>
    <t>Chaeto Biomass (shallow)</t>
  </si>
  <si>
    <t>Poecil Biomass (shallow)</t>
  </si>
  <si>
    <t>Gel Pred Biomass (shallow)</t>
  </si>
  <si>
    <t>Preflex Biomass (shallow)</t>
  </si>
  <si>
    <t>Postflex Biomass (shallow)</t>
  </si>
  <si>
    <t>HerbVM Biomass</t>
  </si>
  <si>
    <t>vmCal Biomass</t>
  </si>
  <si>
    <t>HerbNVM biomass (deep)</t>
  </si>
  <si>
    <t>App Biomass (deep)</t>
  </si>
  <si>
    <t>Clad Biomass (deep)</t>
  </si>
  <si>
    <t>NVM Cal Biomass (deep)</t>
  </si>
  <si>
    <t>Chaeto Biomass (deep)</t>
  </si>
  <si>
    <t>Poecil Biomass (deep)</t>
  </si>
  <si>
    <t>Gel Pred Biomass (deep)</t>
  </si>
  <si>
    <t>Cyano Biomass (shallow)</t>
  </si>
  <si>
    <t>Tricho Biomass (shallow)</t>
  </si>
  <si>
    <t>Diatom Biomass (shallow)</t>
  </si>
  <si>
    <t>Flag Biomass (shallow)</t>
  </si>
  <si>
    <t>HNF Biomass (shallow)</t>
  </si>
  <si>
    <t>MIC Biomass (shallow)</t>
  </si>
  <si>
    <t>Cyano Biomass (deep)</t>
  </si>
  <si>
    <t>Tricho Biomass (deep)</t>
  </si>
  <si>
    <t>Diatom Biomass (deep)</t>
  </si>
  <si>
    <t>Flag Biomass (deep)</t>
  </si>
  <si>
    <t>HNF Biomass (deep)</t>
  </si>
  <si>
    <t>MIC Biomass (deep)</t>
  </si>
  <si>
    <t>HerbNVM Size</t>
  </si>
  <si>
    <t>App Size</t>
  </si>
  <si>
    <t>Clad Size</t>
  </si>
  <si>
    <t>NVM Cal Size</t>
  </si>
  <si>
    <t>Chaeto Size</t>
  </si>
  <si>
    <t>Poecil Size</t>
  </si>
  <si>
    <t>Gel Pred Size</t>
  </si>
  <si>
    <t>Preflex Size</t>
  </si>
  <si>
    <t>Postflex Size</t>
  </si>
  <si>
    <t>HerbVM Size</t>
  </si>
  <si>
    <t>vmCal Size</t>
  </si>
  <si>
    <t>Maximum upwelling rate (shallow)</t>
  </si>
  <si>
    <t>Maximum upwelling rate (deep)</t>
  </si>
  <si>
    <t>Maximum lateral transport PON (shallow)</t>
  </si>
  <si>
    <t>Maximum lateral transport DON (shallow)</t>
  </si>
  <si>
    <t>Upwelled Nitrate</t>
  </si>
  <si>
    <t>Preflex</t>
  </si>
  <si>
    <t>Postflex</t>
  </si>
  <si>
    <t>Deep SedTrap</t>
  </si>
  <si>
    <t>Shallow DON</t>
  </si>
  <si>
    <t>Deep DON</t>
  </si>
  <si>
    <t>Shallow PON</t>
  </si>
  <si>
    <t>Deep PON</t>
  </si>
  <si>
    <t>Appendicularian</t>
  </si>
  <si>
    <t>Calanoid Copepod</t>
  </si>
  <si>
    <t>Chaetognath</t>
  </si>
  <si>
    <t>HerbVM</t>
  </si>
  <si>
    <t>HerbNVM</t>
  </si>
  <si>
    <t>Poecilostomatoid</t>
  </si>
  <si>
    <t>Cladoceran</t>
  </si>
  <si>
    <t>Amph Size</t>
  </si>
  <si>
    <t>GelPred Size</t>
  </si>
  <si>
    <t>Protistan Grazing Rate (14C)</t>
  </si>
  <si>
    <t>NPP (14C)</t>
  </si>
  <si>
    <t>HNF Size</t>
  </si>
  <si>
    <r>
      <t>(um</t>
    </r>
    <r>
      <rPr>
        <vertAlign val="superscript"/>
        <sz val="8"/>
        <color rgb="FFC00000"/>
        <rFont val="Calibri"/>
        <family val="2"/>
        <scheme val="minor"/>
      </rPr>
      <t>3</t>
    </r>
    <r>
      <rPr>
        <sz val="8"/>
        <color rgb="FFC00000"/>
        <rFont val="Calibri"/>
        <family val="2"/>
        <scheme val="minor"/>
      </rPr>
      <t>)</t>
    </r>
  </si>
  <si>
    <t>Flag Size</t>
  </si>
  <si>
    <t>Micro Size</t>
  </si>
  <si>
    <t>Amph Biomass</t>
  </si>
  <si>
    <t>Gel Biomass</t>
  </si>
  <si>
    <t>Salp FP Flux</t>
  </si>
  <si>
    <t>OtherTOSalp</t>
  </si>
  <si>
    <t>Salp Fecal Pellet Production</t>
  </si>
  <si>
    <t>VMMeso Grazing</t>
  </si>
  <si>
    <t>VMMacro Grazing</t>
  </si>
  <si>
    <t>See Bvec of N15InverseModel matrix file</t>
  </si>
  <si>
    <t>Salp Daytime Biomass</t>
  </si>
  <si>
    <t>Salp Nighttime Biomass</t>
  </si>
  <si>
    <t>Temperature (bottom 100)</t>
  </si>
  <si>
    <r>
      <t>(mmol N m</t>
    </r>
    <r>
      <rPr>
        <vertAlign val="superscript"/>
        <sz val="8"/>
        <color rgb="FFC00000"/>
        <rFont val="Calibri"/>
        <family val="2"/>
        <scheme val="minor"/>
      </rPr>
      <t>-2</t>
    </r>
    <r>
      <rPr>
        <sz val="8"/>
        <color rgb="FFC00000"/>
        <rFont val="Calibri"/>
        <family val="2"/>
        <scheme val="minor"/>
      </rPr>
      <t xml:space="preserve"> d</t>
    </r>
    <r>
      <rPr>
        <vertAlign val="superscript"/>
        <sz val="8"/>
        <color rgb="FFC00000"/>
        <rFont val="Calibri"/>
        <family val="2"/>
        <scheme val="minor"/>
      </rPr>
      <t>-1</t>
    </r>
    <r>
      <rPr>
        <sz val="8"/>
        <color rgb="FFC00000"/>
        <rFont val="Calibri"/>
        <family val="2"/>
        <scheme val="minor"/>
      </rPr>
      <t>)</t>
    </r>
  </si>
  <si>
    <t>Salp Autotroph Grazing</t>
  </si>
  <si>
    <t>Salp Heterotroph Grazing</t>
  </si>
  <si>
    <t>Pico Prop</t>
  </si>
  <si>
    <t>Flag Prop</t>
  </si>
  <si>
    <t>Diatom Prop</t>
  </si>
  <si>
    <t>Pico Fcyt NPP</t>
  </si>
  <si>
    <t>Flag Fcyt NPP</t>
  </si>
  <si>
    <t>Diatom Fcyt NPP</t>
  </si>
  <si>
    <t>Summed Fcyt NPP</t>
  </si>
  <si>
    <t>Bacterial Production</t>
  </si>
  <si>
    <t>(mmol N m-2 d-1)</t>
  </si>
  <si>
    <t>Temperature (200)</t>
  </si>
  <si>
    <t>Salp Basal Respiration</t>
  </si>
  <si>
    <t>Diatom NPP</t>
  </si>
  <si>
    <t>Diatom Mortality</t>
  </si>
  <si>
    <t>Pico Fcyt Mort</t>
  </si>
  <si>
    <t>Flag Fcyt Mort</t>
  </si>
  <si>
    <t>Diatom Fcyt Mort</t>
  </si>
  <si>
    <t>Summed Fcyt Mort</t>
  </si>
  <si>
    <t>(mmol N m-2)</t>
  </si>
  <si>
    <t>Bottom Depth</t>
  </si>
  <si>
    <t>m</t>
  </si>
  <si>
    <t>Myct Min Meso Consumption</t>
  </si>
  <si>
    <t>Myct Max Meso Consumption</t>
  </si>
  <si>
    <t>Myct Min VMMeso Consumption</t>
  </si>
  <si>
    <t>Myct Max VMMeso Consumption</t>
  </si>
  <si>
    <t>Myct Min Macro Consumption</t>
  </si>
  <si>
    <t>Myct Max Macro Consumption</t>
  </si>
  <si>
    <t>Myct Min VMMacro Consumption</t>
  </si>
  <si>
    <t>Myct Max VMMacro Consumption</t>
  </si>
  <si>
    <t>Myct Min Amph Consumption</t>
  </si>
  <si>
    <t>Myct Max Amph Consumption</t>
  </si>
  <si>
    <t>Myct Min Salp Consumption</t>
  </si>
  <si>
    <t>Myct Max Salp Consumption</t>
  </si>
  <si>
    <t>Myct Min Gel Consumption</t>
  </si>
  <si>
    <t>Myct Max Gel Consumption</t>
  </si>
  <si>
    <t>PiscivFish Min Myct Consumption</t>
  </si>
  <si>
    <t>PiscivFish Max Myct Consumption</t>
  </si>
  <si>
    <t>PiscivFish Min Macro Consumption</t>
  </si>
  <si>
    <t>PiscivFish Max Macro Consumption</t>
  </si>
  <si>
    <t>PiscivFish Min VMMacro Consumption</t>
  </si>
  <si>
    <t>PiscivFish Max VMMacro Consumption</t>
  </si>
  <si>
    <t>PiscivFish Min Amph Consumption</t>
  </si>
  <si>
    <t>PiscivFish Max Amph Consumption</t>
  </si>
  <si>
    <t>GelativFish Min Salp Consumption</t>
  </si>
  <si>
    <t>GelativFish Max Salp Consumption</t>
  </si>
  <si>
    <t>GelativFish Min Gel Consumption</t>
  </si>
  <si>
    <t>GelativFish Max Gel Consumption</t>
  </si>
  <si>
    <t>NA</t>
  </si>
  <si>
    <t>Amph Daytime Biomass</t>
  </si>
  <si>
    <t>Gel Daytime Biomass</t>
  </si>
  <si>
    <t>Amph Nighttime Biomass</t>
  </si>
  <si>
    <t>Gel Nighttime Biomass</t>
  </si>
  <si>
    <t>Myct Scaled Meso Consumption</t>
  </si>
  <si>
    <t>Myct Scaled VMMeso Consumption</t>
  </si>
  <si>
    <t>Myct Scaled Macro Consumption</t>
  </si>
  <si>
    <t>Myct Scaled VMMacro Consumption</t>
  </si>
  <si>
    <t>Myct Scaled Amph Consumption</t>
  </si>
  <si>
    <t>Myct Scaled Salp Consumption</t>
  </si>
  <si>
    <t>Myct Scaled Gel Consumption</t>
  </si>
  <si>
    <t>PiscivFish Scaled Myct Consumption</t>
  </si>
  <si>
    <t>PiscivFish Scaled Macro Consumption</t>
  </si>
  <si>
    <t>PiscivFish Scaled VMMacro Consumption</t>
  </si>
  <si>
    <t>PiscivFish Scaled Amph Consumption</t>
  </si>
  <si>
    <t>GelativFish Scaled Salp Consumption</t>
  </si>
  <si>
    <t>GelativFish Scaled Gel Consumption</t>
  </si>
  <si>
    <r>
      <t>(mg C m</t>
    </r>
    <r>
      <rPr>
        <vertAlign val="superscript"/>
        <sz val="8"/>
        <color theme="8" tint="-0.249977111117893"/>
        <rFont val="Calibri"/>
        <family val="2"/>
        <scheme val="minor"/>
      </rPr>
      <t>-2</t>
    </r>
    <r>
      <rPr>
        <sz val="8"/>
        <color theme="8" tint="-0.249977111117893"/>
        <rFont val="Calibri"/>
        <family val="2"/>
        <scheme val="minor"/>
      </rPr>
      <t xml:space="preserve"> d</t>
    </r>
    <r>
      <rPr>
        <vertAlign val="superscript"/>
        <sz val="8"/>
        <color theme="8" tint="-0.249977111117893"/>
        <rFont val="Calibri"/>
        <family val="2"/>
        <scheme val="minor"/>
      </rPr>
      <t>-1</t>
    </r>
    <r>
      <rPr>
        <sz val="8"/>
        <color theme="8" tint="-0.249977111117893"/>
        <rFont val="Calibri"/>
        <family val="2"/>
        <scheme val="minor"/>
      </rPr>
      <t>)</t>
    </r>
  </si>
  <si>
    <r>
      <t>(mg C m</t>
    </r>
    <r>
      <rPr>
        <vertAlign val="superscript"/>
        <sz val="8"/>
        <color rgb="FFC00000"/>
        <rFont val="Calibri"/>
        <family val="2"/>
        <scheme val="minor"/>
      </rPr>
      <t>-2</t>
    </r>
    <r>
      <rPr>
        <sz val="8"/>
        <color rgb="FFC00000"/>
        <rFont val="Calibri"/>
        <family val="2"/>
        <scheme val="minor"/>
      </rPr>
      <t xml:space="preserve"> d</t>
    </r>
    <r>
      <rPr>
        <vertAlign val="superscript"/>
        <sz val="8"/>
        <color rgb="FFC00000"/>
        <rFont val="Calibri"/>
        <family val="2"/>
        <scheme val="minor"/>
      </rPr>
      <t>-1</t>
    </r>
    <r>
      <rPr>
        <sz val="8"/>
        <color rgb="FFC00000"/>
        <rFont val="Calibri"/>
        <family val="2"/>
        <scheme val="minor"/>
      </rPr>
      <t>)</t>
    </r>
  </si>
  <si>
    <r>
      <t>(mg C m</t>
    </r>
    <r>
      <rPr>
        <vertAlign val="superscript"/>
        <sz val="8"/>
        <color rgb="FFC00000"/>
        <rFont val="Calibri"/>
        <family val="2"/>
        <scheme val="minor"/>
      </rPr>
      <t>-2</t>
    </r>
    <r>
      <rPr>
        <sz val="8"/>
        <color rgb="FFC00000"/>
        <rFont val="Calibri"/>
        <family val="2"/>
        <scheme val="minor"/>
      </rPr>
      <t>)</t>
    </r>
  </si>
  <si>
    <t>(mg C m-2 d-1)</t>
  </si>
  <si>
    <t>(mg C m-2)</t>
  </si>
  <si>
    <t>(um3)</t>
  </si>
  <si>
    <t>(mg WW ind-1)</t>
  </si>
  <si>
    <t>δ 15NAIR (‰)</t>
  </si>
  <si>
    <t>(ug C m-2 d-1)</t>
  </si>
  <si>
    <r>
      <t>(ug C m</t>
    </r>
    <r>
      <rPr>
        <vertAlign val="superscript"/>
        <sz val="8"/>
        <color theme="8" tint="-0.249977111117893"/>
        <rFont val="Calibri"/>
        <family val="2"/>
        <scheme val="minor"/>
      </rPr>
      <t>-2</t>
    </r>
    <r>
      <rPr>
        <sz val="8"/>
        <color theme="8" tint="-0.249977111117893"/>
        <rFont val="Calibri"/>
        <family val="2"/>
        <scheme val="minor"/>
      </rPr>
      <t xml:space="preserve"> d</t>
    </r>
    <r>
      <rPr>
        <vertAlign val="superscript"/>
        <sz val="8"/>
        <color theme="8" tint="-0.249977111117893"/>
        <rFont val="Calibri"/>
        <family val="2"/>
        <scheme val="minor"/>
      </rPr>
      <t>-1</t>
    </r>
    <r>
      <rPr>
        <sz val="8"/>
        <color theme="8" tint="-0.249977111117893"/>
        <rFont val="Calibri"/>
        <family val="2"/>
        <scheme val="minor"/>
      </rPr>
      <t>)</t>
    </r>
  </si>
  <si>
    <t>(ug C m-2)</t>
  </si>
  <si>
    <t>(ug C ind-1)</t>
  </si>
  <si>
    <t>NVM Meso Biomass</t>
  </si>
  <si>
    <t>VM Meso Biomass</t>
  </si>
  <si>
    <t>NVM Macro Biomass</t>
  </si>
  <si>
    <t>VM Macro Biomass</t>
  </si>
  <si>
    <t>Total Meso Biomass</t>
  </si>
  <si>
    <t>Total Macro Biomass</t>
  </si>
  <si>
    <t>Salp Size</t>
  </si>
  <si>
    <t>Tan1810</t>
  </si>
  <si>
    <t>Phyto NPP (mg C m-2 d-1)</t>
  </si>
  <si>
    <t>HNF Biom (mg C m-2)</t>
  </si>
  <si>
    <t>Mic Biom</t>
  </si>
  <si>
    <t>Mes Biom</t>
  </si>
  <si>
    <t>SA</t>
  </si>
  <si>
    <t>ST</t>
  </si>
  <si>
    <t>Bradford-Grieve 2003 Southern Plateau</t>
  </si>
  <si>
    <t>Annual Average</t>
  </si>
  <si>
    <t>Macro Biom</t>
  </si>
  <si>
    <t>Pinkerton 2011 LIEM inputs</t>
  </si>
  <si>
    <t>Myct Biom</t>
  </si>
  <si>
    <t>Salp Biom</t>
  </si>
  <si>
    <t>C1-SASC</t>
  </si>
  <si>
    <t>C2-SA</t>
  </si>
  <si>
    <t>C3-ST</t>
  </si>
  <si>
    <t>C4-ST</t>
  </si>
  <si>
    <t>C5-SA</t>
  </si>
  <si>
    <t>Total Myct Prey</t>
  </si>
  <si>
    <t>Zeldis et al. 2002 CR spring</t>
  </si>
  <si>
    <t>Zeldis et al. 2020 CR summer</t>
  </si>
  <si>
    <t>My Zoo:Zeldis Spring Zoo</t>
  </si>
  <si>
    <t>STC</t>
  </si>
  <si>
    <t>Bradford-Grieve 1998 CR spring</t>
  </si>
  <si>
    <t>HTL Scaled Meso Consumption</t>
  </si>
  <si>
    <t>HTL Scaled VMMeso Consumption</t>
  </si>
  <si>
    <t>HTL Scaled Macro Consumption</t>
  </si>
  <si>
    <t>HTL Scaled VMMacro Consumption</t>
  </si>
  <si>
    <t>HTL Scaled Amph Consumption</t>
  </si>
  <si>
    <t>HTL Scaled Salp Consumption</t>
  </si>
  <si>
    <t>HTL Scaled Gel Consumption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</si>
</sst>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0.000"/>
    <numFmt numFmtId="165" formatCode="0.00000"/>
    <numFmt numFmtId="166" formatCode="0.000000"/>
    <numFmt numFmtId="167" formatCode="0.0"/>
  </numFmts>
  <fonts count="24" x14ac:knownFonts="1">
    <font>
      <sz val="11"/>
      <color theme="1"/>
      <name val="Calibri"/>
      <family val="2"/>
      <scheme val="minor"/>
    </font>
    <font>
      <sz val="20"/>
      <color theme="8" tint="-0.249977111117893"/>
      <name val="Calibri"/>
      <family val="2"/>
      <scheme val="minor"/>
    </font>
    <font>
      <sz val="11"/>
      <color theme="8" tint="-0.249977111117893"/>
      <name val="Calibri"/>
      <family val="2"/>
      <scheme val="minor"/>
    </font>
    <font>
      <b/>
      <u/>
      <sz val="11"/>
      <color theme="8" tint="-0.249977111117893"/>
      <name val="Calibri"/>
      <family val="2"/>
      <scheme val="minor"/>
    </font>
    <font>
      <b/>
      <u/>
      <sz val="11"/>
      <color theme="8" tint="-0.249977111117893"/>
      <name val="Calibri"/>
      <family val="2"/>
    </font>
    <font>
      <b/>
      <sz val="11"/>
      <color theme="8" tint="-0.249977111117893"/>
      <name val="Calibri"/>
      <family val="2"/>
      <scheme val="minor"/>
    </font>
    <font>
      <sz val="8"/>
      <color theme="8" tint="-0.249977111117893"/>
      <name val="Calibri"/>
      <family val="2"/>
      <scheme val="minor"/>
    </font>
    <font>
      <vertAlign val="superscript"/>
      <sz val="8"/>
      <color theme="8" tint="-0.249977111117893"/>
      <name val="Calibri"/>
      <family val="2"/>
      <scheme val="minor"/>
    </font>
    <font>
      <sz val="20"/>
      <color rgb="FFC00000"/>
      <name val="Calibri"/>
      <family val="2"/>
      <scheme val="minor"/>
    </font>
    <font>
      <sz val="11"/>
      <color rgb="FFC00000"/>
      <name val="Calibri"/>
      <family val="2"/>
      <scheme val="minor"/>
    </font>
    <font>
      <b/>
      <sz val="11"/>
      <color rgb="FFC00000"/>
      <name val="Calibri"/>
      <family val="2"/>
      <scheme val="minor"/>
    </font>
    <font>
      <sz val="8"/>
      <color rgb="FFC00000"/>
      <name val="Calibri"/>
      <family val="2"/>
      <scheme val="minor"/>
    </font>
    <font>
      <vertAlign val="superscript"/>
      <sz val="8"/>
      <color rgb="FFC00000"/>
      <name val="Calibri"/>
      <family val="2"/>
      <scheme val="minor"/>
    </font>
    <font>
      <sz val="20"/>
      <color theme="9" tint="-0.499984740745262"/>
      <name val="Calibri"/>
      <family val="2"/>
    </font>
    <font>
      <vertAlign val="superscript"/>
      <sz val="20"/>
      <color theme="9" tint="-0.499984740745262"/>
      <name val="Calibri"/>
      <family val="2"/>
    </font>
    <font>
      <sz val="11"/>
      <color theme="9" tint="-0.499984740745262"/>
      <name val="Calibri"/>
      <family val="2"/>
      <scheme val="minor"/>
    </font>
    <font>
      <b/>
      <sz val="11"/>
      <color theme="9" tint="-0.499984740745262"/>
      <name val="Calibri"/>
      <family val="2"/>
      <scheme val="minor"/>
    </font>
    <font>
      <b/>
      <sz val="9"/>
      <color theme="9" tint="-0.499984740745262"/>
      <name val="Arial"/>
      <family val="2"/>
    </font>
    <font>
      <b/>
      <vertAlign val="superscript"/>
      <sz val="9"/>
      <color theme="9" tint="-0.499984740745262"/>
      <name val="Arial"/>
      <family val="2"/>
    </font>
    <font>
      <b/>
      <vertAlign val="subscript"/>
      <sz val="9"/>
      <color theme="9" tint="-0.499984740745262"/>
      <name val="Arial"/>
      <family val="2"/>
    </font>
    <font>
      <sz val="11"/>
      <color rgb="FF9C0006"/>
      <name val="Calibri"/>
      <family val="2"/>
      <scheme val="minor"/>
    </font>
    <font>
      <sz val="11"/>
      <color rgb="FFFF0000"/>
      <name val="Calibri"/>
      <family val="2"/>
      <scheme val="minor"/>
    </font>
    <font>
      <sz val="11"/>
      <color theme="4" tint="-0.499984740745262"/>
      <name val="Calibri"/>
      <family val="2"/>
      <scheme val="minor"/>
    </font>
    <font>
      <sz val="9"/>
      <color indexed="81"/>
      <name val="Tahoma"/>
      <charset val="1"/>
    </font>
  </fonts>
  <fills count="4">
    <fill>
      <patternFill patternType="none"/>
    </fill>
    <fill>
      <patternFill patternType="gray125"/>
    </fill>
    <fill>
      <patternFill patternType="solid">
        <fgColor rgb="FFFFC7CE"/>
      </patternFill>
    </fill>
    <fill>
      <patternFill patternType="solid">
        <fgColor rgb="FFFFFF00"/>
        <bgColor indexed="64"/>
      </patternFill>
    </fill>
  </fills>
  <borders count="1">
    <border>
      <left/>
      <right/>
      <top/>
      <bottom/>
      <diagonal/>
    </border>
  </borders>
  <cellStyleXfs count="2">
    <xf numFmtId="0" fontId="0" fillId="0" borderId="0"/>
    <xf numFmtId="0" fontId="20" fillId="2" borderId="0" applyNumberFormat="0" applyBorder="0" applyAlignment="0" applyProtection="0"/>
  </cellStyleXfs>
  <cellXfs count="44">
    <xf numFmtId="0" fontId="0" fillId="0" borderId="0" xfId="0"/>
    <xf numFmtId="0" fontId="1" fillId="0" borderId="0" xfId="0" applyFont="1"/>
    <xf numFmtId="0" fontId="2" fillId="0" borderId="0" xfId="0" applyFont="1"/>
    <xf numFmtId="0" fontId="3" fillId="0" borderId="0" xfId="0" applyFont="1" applyAlignment="1">
      <alignment horizontal="center"/>
    </xf>
    <xf numFmtId="0" fontId="4" fillId="0" borderId="0" xfId="0" applyFont="1" applyAlignment="1">
      <alignment horizontal="center"/>
    </xf>
    <xf numFmtId="0" fontId="5" fillId="0" borderId="0" xfId="0" applyFont="1"/>
    <xf numFmtId="0" fontId="6" fillId="0" borderId="0" xfId="0" applyFont="1" applyAlignment="1">
      <alignment horizontal="center"/>
    </xf>
    <xf numFmtId="0" fontId="8" fillId="0" borderId="0" xfId="0" applyFont="1"/>
    <xf numFmtId="0" fontId="9" fillId="0" borderId="0" xfId="0" applyFont="1"/>
    <xf numFmtId="0" fontId="10" fillId="0" borderId="0" xfId="0" applyFont="1"/>
    <xf numFmtId="0" fontId="11" fillId="0" borderId="0" xfId="0" applyFont="1" applyAlignment="1">
      <alignment horizontal="center"/>
    </xf>
    <xf numFmtId="0" fontId="0" fillId="0" borderId="0" xfId="0" applyAlignment="1">
      <alignment horizontal="center"/>
    </xf>
    <xf numFmtId="0" fontId="2" fillId="0" borderId="0" xfId="0" applyFont="1" applyAlignment="1">
      <alignment horizontal="center"/>
    </xf>
    <xf numFmtId="0" fontId="9" fillId="0" borderId="0" xfId="0" applyFont="1" applyAlignment="1">
      <alignment horizontal="center"/>
    </xf>
    <xf numFmtId="11" fontId="9" fillId="0" borderId="0" xfId="0" applyNumberFormat="1" applyFont="1" applyAlignment="1">
      <alignment horizontal="center"/>
    </xf>
    <xf numFmtId="165" fontId="2" fillId="0" borderId="0" xfId="0" applyNumberFormat="1" applyFont="1" applyAlignment="1">
      <alignment horizontal="center"/>
    </xf>
    <xf numFmtId="166" fontId="9" fillId="0" borderId="0" xfId="0" applyNumberFormat="1" applyFont="1" applyAlignment="1">
      <alignment horizontal="center"/>
    </xf>
    <xf numFmtId="165" fontId="9" fillId="0" borderId="0" xfId="0" applyNumberFormat="1" applyFont="1" applyAlignment="1">
      <alignment horizontal="center"/>
    </xf>
    <xf numFmtId="166" fontId="0" fillId="0" borderId="0" xfId="0" applyNumberFormat="1" applyAlignment="1">
      <alignment horizontal="center"/>
    </xf>
    <xf numFmtId="0" fontId="13" fillId="0" borderId="0" xfId="0" applyFont="1"/>
    <xf numFmtId="0" fontId="15" fillId="0" borderId="0" xfId="0" applyFont="1"/>
    <xf numFmtId="0" fontId="15" fillId="0" borderId="0" xfId="0" applyFont="1" applyAlignment="1">
      <alignment horizontal="center"/>
    </xf>
    <xf numFmtId="0" fontId="16" fillId="0" borderId="0" xfId="0" applyFont="1"/>
    <xf numFmtId="164" fontId="17" fillId="0" borderId="0" xfId="0" applyNumberFormat="1" applyFont="1" applyAlignment="1">
      <alignment horizontal="center" vertical="center"/>
    </xf>
    <xf numFmtId="2" fontId="15" fillId="0" borderId="0" xfId="0" applyNumberFormat="1" applyFont="1" applyAlignment="1">
      <alignment horizontal="center"/>
    </xf>
    <xf numFmtId="2" fontId="9" fillId="0" borderId="0" xfId="0" applyNumberFormat="1" applyFont="1" applyAlignment="1">
      <alignment horizontal="center"/>
    </xf>
    <xf numFmtId="11" fontId="2" fillId="0" borderId="0" xfId="0" applyNumberFormat="1" applyFont="1" applyAlignment="1">
      <alignment horizontal="center"/>
    </xf>
    <xf numFmtId="166" fontId="20" fillId="0" borderId="0" xfId="1" applyNumberFormat="1" applyFill="1" applyAlignment="1">
      <alignment horizontal="center"/>
    </xf>
    <xf numFmtId="166" fontId="0" fillId="0" borderId="0" xfId="0" applyNumberFormat="1"/>
    <xf numFmtId="0" fontId="22" fillId="0" borderId="0" xfId="0" applyFont="1" applyAlignment="1">
      <alignment horizontal="center"/>
    </xf>
    <xf numFmtId="166" fontId="9" fillId="3" borderId="0" xfId="0" applyNumberFormat="1" applyFont="1" applyFill="1" applyAlignment="1">
      <alignment horizontal="center"/>
    </xf>
    <xf numFmtId="0" fontId="21" fillId="3" borderId="0" xfId="0" applyFont="1" applyFill="1" applyAlignment="1">
      <alignment horizontal="center"/>
    </xf>
    <xf numFmtId="165" fontId="0" fillId="0" borderId="0" xfId="0" applyNumberFormat="1"/>
    <xf numFmtId="166" fontId="0" fillId="3" borderId="0" xfId="0" applyNumberFormat="1" applyFill="1" applyAlignment="1">
      <alignment horizontal="center"/>
    </xf>
    <xf numFmtId="0" fontId="22" fillId="0" borderId="0" xfId="0" applyFont="1"/>
    <xf numFmtId="0" fontId="21" fillId="0" borderId="0" xfId="0" applyFont="1" applyAlignment="1">
      <alignment horizontal="center"/>
    </xf>
    <xf numFmtId="11" fontId="0" fillId="0" borderId="0" xfId="0" applyNumberFormat="1"/>
    <xf numFmtId="167" fontId="2" fillId="0" borderId="0" xfId="0" applyNumberFormat="1" applyFont="1" applyAlignment="1">
      <alignment horizontal="center"/>
    </xf>
    <xf numFmtId="167" fontId="0" fillId="0" borderId="0" xfId="0" applyNumberFormat="1" applyAlignment="1">
      <alignment horizontal="center"/>
    </xf>
    <xf numFmtId="167" fontId="9" fillId="0" borderId="0" xfId="0" applyNumberFormat="1" applyFont="1" applyAlignment="1">
      <alignment horizontal="center"/>
    </xf>
    <xf numFmtId="167" fontId="21" fillId="0" borderId="0" xfId="0" applyNumberFormat="1" applyFont="1" applyAlignment="1">
      <alignment horizontal="center"/>
    </xf>
    <xf numFmtId="167" fontId="15" fillId="0" borderId="0" xfId="0" applyNumberFormat="1" applyFont="1" applyAlignment="1">
      <alignment horizontal="center"/>
    </xf>
    <xf numFmtId="167" fontId="0" fillId="0" borderId="0" xfId="0" applyNumberFormat="1"/>
    <xf numFmtId="17" fontId="0" fillId="0" borderId="0" xfId="0" applyNumberFormat="1"/>
  </cellXfs>
  <cellStyles count="2">
    <cellStyle name="Bad" xfId="1" builtinId="27"/>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18"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17" Type="http://schemas.openxmlformats.org/officeDocument/2006/relationships/customXml" Target="../customXml/item1.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microsoft.com/office/2017/10/relationships/person" Target="persons/person.xml"/><Relationship Id="rId10" Type="http://schemas.openxmlformats.org/officeDocument/2006/relationships/worksheet" Target="worksheets/sheet10.xml"/><Relationship Id="rId19" Type="http://schemas.openxmlformats.org/officeDocument/2006/relationships/customXml" Target="../customXml/item3.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persons/person.xml><?xml version="1.0" encoding="utf-8"?>
<personList xmlns="http://schemas.microsoft.com/office/spreadsheetml/2018/threadedcomments" xmlns:x="http://schemas.openxmlformats.org/spreadsheetml/2006/main">
  <person displayName="Christian" id="{FE6090A8-A567-4AB1-A17C-139FAB253329}" userId="Christian" providerId="None"/>
  <person displayName="Christian Fender" id="{029BEE2B-5882-4626-9FE7-8F2FFF745B94}" userId="S::ckf18b@fsu.edu::115f5a08-9fb3-419d-8533-fde993f65bf5" providerId="AD"/>
</personList>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D3" dT="2024-02-07T19:08:29.17" personId="{029BEE2B-5882-4626-9FE7-8F2FFF745B94}" id="{C9321EC1-C54A-4402-A381-082F7FC96C10}">
    <text>Note that because cycle 1 was split into 2 subcycles, all following values are (wherever possible) the weighted average of the two subcycles weighted by their duration.</text>
  </threadedComment>
  <threadedComment ref="B4" dT="2024-01-19T14:39:04.35" personId="{029BEE2B-5882-4626-9FE7-8F2FFF745B94}" id="{7045FCE5-3A87-4FBF-B6F1-BC024BEE59A1}">
    <text>Flux to 70m, the base(ish) of the euphotic zone</text>
  </threadedComment>
  <threadedComment ref="B5" dT="2024-02-02T15:40:39.27" personId="{029BEE2B-5882-4626-9FE7-8F2FFF745B94}" id="{8BE84C23-F75F-4414-A1A7-1A84A8EF8EB8}">
    <text>Note that the summed NPP of the 3 phytoplankton groups via dilution method exceeds 14C NPP. We trust the latter more , so the given value is calculated from the total 14C NPP and the proportion of FCyt NPP attributable to the group.</text>
  </threadedComment>
  <threadedComment ref="B7" dT="2023-08-10T14:09:29.74" personId="{029BEE2B-5882-4626-9FE7-8F2FFF745B94}" id="{15045B05-10DE-4E65-B0CD-1B0B521A9A2E}">
    <text>Both diatom NPP and Mortality are subject to a variety of assumptions. They are calculated using FlowCam biomass with the missing values at the surface assumed to be same as at 12 m, missing values at depth assumed to be proportional to chemtax fuco chl, and values in between assumed to be linearly related to the biomasses we have. Instantaneous growth and grazing rates come from those of fucoxanthin HPLC</text>
  </threadedComment>
  <threadedComment ref="B11" dT="2023-07-17T14:54:26.03" personId="{029BEE2B-5882-4626-9FE7-8F2FFF745B94}" id="{6E548164-2486-43AA-96CB-AEFE50AC49EF}">
    <text xml:space="preserve">Estimated for each discrete depth from the 14C-incorporation and the grazing:growth ratio estimated from dilution experiments ( NPP * µnetratio (mgC m-3 day-1))integrated over depth. </text>
  </threadedComment>
  <threadedComment ref="B11" dT="2024-08-02T14:43:18.49" personId="{029BEE2B-5882-4626-9FE7-8F2FFF745B94}" id="{B4A2D501-0E91-44FF-BFC7-14DFD2578944}" parentId="{6E548164-2486-43AA-96CB-AEFE50AC49EF}">
    <text>Note this differs from Moira and other's use of pigment based grazing rates. Were I to use pigment based grazing I believe the balance generally shifts to favor protistan grazing more.</text>
  </threadedComment>
  <threadedComment ref="B12" dT="2023-07-04T15:51:38.24" personId="{029BEE2B-5882-4626-9FE7-8F2FFF745B94}" id="{5BCA0CA7-4A5F-4643-8F99-8AA21CFAE0DA}">
    <text>Grazing in ug chl/h comes from phaeopigment content per sample * a temperature dependent feeding rate from Dam and Peterson using the temperature at 25 meters. Phaeo consumption was then converted to C using C:Chl detected via HPLC and fluorometry. Because daytime grazing rates were often higher than nighttime, we estimated resident vs migrant contributions to total grazing based on time spent in the euphotic zone and relative proportion of the total biomass.</text>
  </threadedComment>
  <threadedComment ref="B12" dT="2024-08-02T14:30:22.04" personId="{029BEE2B-5882-4626-9FE7-8F2FFF745B94}" id="{376A3C34-4E82-4BF2-99CF-F1D8053D7932}" parentId="{5BCA0CA7-4A5F-4643-8F99-8AA21CFAE0DA}">
    <text>The C:Chl I'm using is the most up to date and therefore may differ from others like Moira et al 2023</text>
  </threadedComment>
  <threadedComment ref="C12" dT="2023-07-06T13:53:22.47" personId="{029BEE2B-5882-4626-9FE7-8F2FFF745B94}" id="{39E5418F-D062-42ED-8182-4701033C8B91}">
    <text>Requires an accurate C:Chl to convert to C and then N units. Waiting on Andres</text>
  </threadedComment>
  <threadedComment ref="B13" dT="2024-01-19T14:43:48.25" personId="{029BEE2B-5882-4626-9FE7-8F2FFF745B94}" id="{3D531B54-D69C-4E78-944E-9042C07CB63D}">
    <text>DVM portion of the community determined through difference between day and night biomass. Day=nonDVM, Night-Day=DVM. DVM are assumed to spend 12 hours at DVM depth (typically ~200 meters) and contribute to deep nutrient pools during that time.</text>
  </threadedComment>
  <threadedComment ref="C14" dT="2023-07-06T13:53:59.18" personId="{029BEE2B-5882-4626-9FE7-8F2FFF745B94}" id="{AF39DA95-28CD-4973-84AA-695E9C202026}">
    <text>Requires an accurate C:Chl to convert to C and then N units. Waiting on Andres</text>
  </threadedComment>
  <threadedComment ref="B16" dT="2024-01-18T16:14:24.19" personId="{029BEE2B-5882-4626-9FE7-8F2FFF745B94}" id="{50CC9E64-4390-4FD2-A57F-EEC8CC9CFA07}">
    <text>Salps were collected using double oblique Bongo tows, with 0.7m diameter frames equipped with 202 µm nets, General Oceanics flow meters, and an RBR temperature depth recorder. Salp specimens (typically 10) from each tow had their guts excised, and chl a and phaeopigments gut contents were measured. A power function was used to fit the size-specific Gpig (chl a + phaeo) contents for each tow, allowing the estimation of Gpig for each size bin per tow, and this was multiplied by the abundance in each size bin. Gut passage time (GPT) was calculated using a modified equation, based on (von Harbou, Dubischar et al. 2011 doi:10.1007/s00227-011-1709-4) where GPT(h) = 2.607*ln(OAL, mm) - 2.6. Grazing was estimated as: G (h-1) = Gpig /GPT, and scaled using a Q10=2. Daily salp grazing rates were obtained by assuming 14 h of day and 10 h of night, coincident with the times and latitudes at which we sampled these communities during the Salp Particle expOrt and Ocean Production (SalpPOOP) campaign. Cycle estimates were calculated by first averaging all day and all night tows separately, and then adding the two estimates.</text>
  </threadedComment>
  <threadedComment ref="B16" dT="2024-08-02T15:39:31.64" personId="{029BEE2B-5882-4626-9FE7-8F2FFF745B94}" id="{F9EC43D4-165D-4695-B954-B4C4364404D2}" parentId="{50CC9E64-4390-4FD2-A57F-EEC8CC9CFA07}">
    <text>Practically speaking I took Moira's fecal pellet production rates and divided by .36 to get the assumed carbon consumption back.</text>
  </threadedComment>
  <threadedComment ref="B17" dT="2024-02-05T20:05:26.85" personId="{029BEE2B-5882-4626-9FE7-8F2FFF745B94}" id="{20F50585-25E0-4134-AF5C-27B1C2BFAB6E}">
    <text xml:space="preserve">Inferred from Moira's Gut Chl based on salp carnivory via trophic level. </text>
  </threadedComment>
  <threadedComment ref="D17" dT="2024-02-05T18:35:04.47" personId="{029BEE2B-5882-4626-9FE7-8F2FFF745B94}" id="{B1F63136-4CE2-470C-BB8D-8F1F7C643504}">
    <text>The typed value here is the cycle averaged proportion of salp diet autotrophy followed by heterotrophy based on CSIAA trophic level (a TL of 2.4 implies ~40% heterotrophy for example)</text>
  </threadedComment>
  <threadedComment ref="E17" dT="2024-02-05T18:35:45.34" personId="{029BEE2B-5882-4626-9FE7-8F2FFF745B94}" id="{7932B4CD-16AC-4EDD-A197-FBAF28A0FDE5}">
    <text>The typed values are, in order, the SD of herbivory, herbivory fraction, SD of carnivory, carnivory fraction.</text>
  </threadedComment>
  <threadedComment ref="H17" dT="2024-02-05T20:17:06.93" personId="{029BEE2B-5882-4626-9FE7-8F2FFF745B94}" id="{5CF8C8A7-211A-4AAC-8E5E-01EE4F5460A2}">
    <text>Note that because Cycle 3 was a nonsalp cycle with no trophic level data, I use the mean of Cycles 1, 2, and 4.</text>
  </threadedComment>
  <threadedComment ref="L17" dT="2024-02-05T20:17:53.24" personId="{029BEE2B-5882-4626-9FE7-8F2FFF745B94}" id="{4B07E90F-B29D-49D0-B5CB-CDF0678A54A5}">
    <text>This value has no standard deviation because it is a single sample from cycle 5. The other 3 had TL&lt;2 which is not possible and were therefore discarded.</text>
  </threadedComment>
  <threadedComment ref="B18" dT="2024-01-18T16:15:12.63" personId="{029BEE2B-5882-4626-9FE7-8F2FFF745B94}" id="{4FD5CD79-14BD-47C6-81AD-6473489CF586}">
    <text>The above number multiplied by the fraction of gut biomass made up by BLPs</text>
  </threadedComment>
  <threadedComment ref="D18" dT="2024-02-05T20:08:13.96" personId="{029BEE2B-5882-4626-9FE7-8F2FFF745B94}" id="{0A4D7499-6033-4B6F-8198-79529F363461}">
    <text>The typed value here is cycle averaged proportion of all salp gut biomass made up by BLPs.</text>
  </threadedComment>
  <threadedComment ref="E18" dT="2024-02-05T20:09:01.31" personId="{029BEE2B-5882-4626-9FE7-8F2FFF745B94}" id="{E0D1BD51-A2E9-4D8E-AA2D-752A5E96C2F5}">
    <text>Typed values are PicoFractSD and PicoFract</text>
  </threadedComment>
  <threadedComment ref="L18" dT="2024-02-05T20:55:26.34" personId="{029BEE2B-5882-4626-9FE7-8F2FFF745B94}" id="{000224A4-961D-4F2B-92DD-54CD47A2ACA8}">
    <text>Because no salp samples were collected from cycle 5, taking the average of the other 4 cycles.</text>
  </threadedComment>
  <threadedComment ref="B19" dT="2024-01-18T16:16:19.67" personId="{029BEE2B-5882-4626-9FE7-8F2FFF745B94}" id="{A683D8FF-A089-4192-9FFD-577557199F99}">
    <text>As above but proportion of diatoms in guts</text>
  </threadedComment>
  <threadedComment ref="B20" dT="2024-01-18T16:17:24.93" personId="{029BEE2B-5882-4626-9FE7-8F2FFF745B94}" id="{1885F30C-F341-4D2E-9651-EE488C41EF95}">
    <text>As above but multiplied by proportion of everything else (hnf, flag, mic).</text>
  </threadedComment>
  <threadedComment ref="B21" dT="2024-04-18T19:00:51.47" personId="{029BEE2B-5882-4626-9FE7-8F2FFF745B94}" id="{00C1D92D-6ADA-4D17-83E5-56F7C20E5764}">
    <text>Determined from grazing rates assuming an egestion efficiency of 0.36 (Huntley, Sykes et al. 1989).</text>
  </threadedComment>
  <threadedComment ref="H21" dT="2024-02-09T14:49:38.86" personId="{029BEE2B-5882-4626-9FE7-8F2FFF745B94}" id="{14B1FA45-4227-49E7-94B6-1A34BEC3361F}">
    <text xml:space="preserve">Because no data is available for Cycles 3 and 5, divided Cycle 1, 2, and 4 production by the salp biomass from each tow to get a per unit biomass rate (again for day and night separately). Then multiplied this by the observed day/night salp biomass for Cycles 3 and 5. </text>
  </threadedComment>
  <threadedComment ref="L21" dT="2024-04-22T17:56:39.57" personId="{029BEE2B-5882-4626-9FE7-8F2FFF745B94}" id="{FDD19E43-7AE2-45AB-84AC-F9D66C29D7E2}">
    <text xml:space="preserve">Because no data is available for Cycles 3 and 5, divided Cycle 1, 2, and 4 production by the salp biomass from each tow to get a per unit biomass rate (again for day and night separately). Then multiplied this by the observed day/night salp biomass for Cycles 3 and 5. </text>
  </threadedComment>
  <threadedComment ref="B22" dT="2024-04-18T15:16:06.40" personId="{029BEE2B-5882-4626-9FE7-8F2FFF745B94}" id="{D9955415-FED0-44C0-BC16-F9E54BDF36C5}">
    <text>Vertically integrated from Fenella Dean's tritiated leucine incorporation.</text>
  </threadedComment>
  <threadedComment ref="B23" dT="2024-07-08T18:02:17.92" personId="{029BEE2B-5882-4626-9FE7-8F2FFF745B94}" id="{0221D7AC-C2CE-4CFD-A107-83804FA7DEB2}">
    <text>Predicted consumption of fish for each prey type based on Pinkerton 2010 average biomass of both prey and fish in the region + average fish consumption and diet makeup. From this I estimated the average daily portion of prey biomass the fish consumed and multiplied by observed prey biomass per cycle to get a predicted ingestion, plus or minus 50% STD</text>
  </threadedComment>
  <threadedComment ref="B46" dT="2024-04-17T20:56:06.29" personId="{029BEE2B-5882-4626-9FE7-8F2FFF745B94}" id="{ED156D63-9226-4285-9642-FE5B54B44B86}">
    <text>Note that because most CTDs do not approach the bottom, this is the temp at 50 m above bottom for only those casts that went that deep.</text>
  </threadedComment>
  <threadedComment ref="B47" dT="2024-04-26T15:22:13.42" personId="{029BEE2B-5882-4626-9FE7-8F2FFF745B94}" id="{EBF2FC4C-979F-487C-88E7-8F514024A04A}">
    <text>Cycle averaged depth 50 meters above bottom for use in estimating rates of demersal fish assuming they spend their time primarily within 100 meters of bottom.</text>
  </threadedComment>
  <threadedComment ref="B48" dT="2024-01-18T16:18:53.69" personId="{029BEE2B-5882-4626-9FE7-8F2FFF745B94}" id="{D6BB1E0A-46EC-4897-B7EE-97D3DD6412B8}">
    <text>Considered a minimum rather than an AE due to likelihood of missing some pellets</text>
  </threadedComment>
  <threadedComment ref="B50" dT="2023-08-18T14:35:11.24" personId="{029BEE2B-5882-4626-9FE7-8F2FFF745B94}" id="{664CADBB-E1F0-4D30-AB02-56F405F3ECA9}">
    <text>Note that the large phyto biomasses come from FlowCam and are therefore integrated to the deepest FlowCam depth (typically the DCM or within the mixed layer if there was no DCM). Therefore they are likely underestimates of the true biomass for cycles where the euphotic zone extends past the DCM.</text>
  </threadedComment>
  <threadedComment ref="B50" dT="2024-04-23T19:23:56.48" personId="{029BEE2B-5882-4626-9FE7-8F2FFF745B94}" id="{207584F8-C53A-4013-9B5E-2181EC14E7DD}" parentId="{664CADBB-E1F0-4D30-AB02-56F405F3ECA9}">
    <text xml:space="preserve">Also note that since these biomasses were not subject to the same issues as the pigments, they are averaged over a larger number of casts for Cycles 1 and 2. This leads to notably higher average biomasses in Cycle 1 than if averaging over only over the casts NPP was taken from (about twice what they would be otherwise) since 14C/pigments missed many of the earlier high productivity casts. </text>
  </threadedComment>
  <threadedComment ref="B54" dT="2024-04-23T19:55:54.95" personId="{029BEE2B-5882-4626-9FE7-8F2FFF745B94}" id="{887E5342-55B6-4C93-8797-7262C58686C6}">
    <text>Via C:N combustion of size fractionated zooplankton biomass.</text>
  </threadedComment>
  <threadedComment ref="D54" dT="2023-06-29T14:50:13.53" personId="{029BEE2B-5882-4626-9FE7-8F2FFF745B94}" id="{0A0DA0CD-BF16-4AF5-9CDA-2BAEA1D87123}">
    <text>Note the daytime biomass here is higher than nighttime, which is not reflected in the bulk dry weight. Could alternatively use dry weight values instead assuming 40% carbon conversion and RR to nitrogen.</text>
  </threadedComment>
  <threadedComment ref="B58" dT="2023-12-08T18:56:45.05" personId="{029BEE2B-5882-4626-9FE7-8F2FFF745B94}" id="{D15B56A0-ECF1-4551-AC76-C05FB4B77D41}">
    <text>This will eventually come from Zooscan and allows me to link respiration and max ingestion inequalities.</text>
  </threadedComment>
  <threadedComment ref="B59" dT="2023-12-08T18:56:55.89" personId="{029BEE2B-5882-4626-9FE7-8F2FFF745B94}" id="{42E928C0-BFF7-4EE2-9E5C-2949580CD02B}">
    <text>This will eventually come from Zooscan and allows me to link respiration and max ingestion inequalities.</text>
  </threadedComment>
  <threadedComment ref="B60" dT="2024-01-30T16:17:50.93" personId="{029BEE2B-5882-4626-9FE7-8F2FFF745B94}" id="{760B478C-BB0D-496F-8D4D-6D787D8893D5}">
    <text>Summed biomass of all salps collected in all bongo tows of a given cycle, averaged over that cycle</text>
  </threadedComment>
  <threadedComment ref="D60" dT="2023-06-21T18:32:25.34" personId="{029BEE2B-5882-4626-9FE7-8F2FFF745B94}" id="{40F2A3D9-1C45-422E-BE19-C8ABADF804BE}">
    <text>Note this is for all salps, not just ST.</text>
  </threadedComment>
  <threadedComment ref="B62" dT="2024-06-03T14:10:49.50" personId="{029BEE2B-5882-4626-9FE7-8F2FFF745B94}" id="{66515E3B-0EBF-4E28-85C5-1097A2397EF1}">
    <text>These are Pinkerton average biomasses scaled to the difference in average prey concentrations vs what we observed in each cycle. Thus they assume a roughly linear relationship between prey and biomass. Utilizing them for Iguchi respiration and Kiorboe total ingestion is thus equivalent to the assumption made for Pinkerton prey-specific ingestions.</text>
  </threadedComment>
  <threadedComment ref="D62" dT="2023-06-21T18:12:08.06" personId="{029BEE2B-5882-4626-9FE7-8F2FFF745B94}" id="{A3C6ED71-DFF9-4332-B100-5E6E62A5EBC5}">
    <text>Mesopelagic fish (myctophids) from Pinkerton 2011</text>
  </threadedComment>
  <threadedComment ref="D63" dT="2023-06-21T18:25:53.51" personId="{029BEE2B-5882-4626-9FE7-8F2FFF745B94}" id="{D6A5CE93-E0DF-477D-87F3-94EACA07D068}">
    <text>Hoki from Pinkerton 2011</text>
  </threadedComment>
  <threadedComment ref="D64" dT="2023-06-21T18:12:50.39" personId="{029BEE2B-5882-4626-9FE7-8F2FFF745B94}" id="{648B468E-67A4-48C3-9C87-BDC3076198BB}">
    <text>S_oreo + warehou from Pinkerton 2011</text>
  </threadedComment>
  <threadedComment ref="B68" dT="2023-08-02T20:07:35.22" personId="{029BEE2B-5882-4626-9FE7-8F2FFF745B94}" id="{818DF7F4-9EA9-41FE-90EC-1C78948EC005}">
    <text xml:space="preserve">Average size of mesozooplankton paramterized as the calanoid copepod Pleuromamma scutullata per Yamaguchi and Ikeda 2000 (Bradford-Grieve actually says P. glacialis but it's at least the same genera). DW (ug) = 18.91*1mm^2.723 = 18.91 ug DW * .4 = 7.564 ug C = 0.007564 mg C
</text>
  </threadedComment>
  <threadedComment ref="B69" dT="2023-12-08T19:26:46.64" personId="{029BEE2B-5882-4626-9FE7-8F2FFF745B94}" id="{EA4F3444-7881-4791-9244-28C89C8A4E21}">
    <text>As the mean of all 4 life stages of Euphausia lucens in the Benguela Current. Alternatively we have mean of only adults at 1.499 +_ 0.299</text>
  </threadedComment>
  <threadedComment ref="B70" dT="2023-12-08T19:28:20.28" personId="{029BEE2B-5882-4626-9FE7-8F2FFF745B94}" id="{44948E60-2AEE-4C3E-9F5B-025E9E44FACA}">
    <text>As Themisto gaudichaudii from a high chl region off South Georgia (Kruse et al 2015) assuming a 40% DW to C conversion.</text>
  </threadedComment>
  <threadedComment ref="D71" dT="2024-04-26T19:23:18.32" personId="{029BEE2B-5882-4626-9FE7-8F2FFF745B94}" id="{E2006A91-EDE6-47F8-8B36-2E8BD62B515A}">
    <text>As the mean of all Siphonophores, Ctenophores, and cnidarians in the Zooscan.</text>
  </threadedComment>
  <threadedComment ref="B72" dT="2024-09-06T18:55:48.94" personId="{029BEE2B-5882-4626-9FE7-8F2FFF745B94}" id="{F48A9073-5E21-4080-A2A6-F80FC55A731F}">
    <text>As the mean ST size from bongo tows, averaged per Cycle and converted to carbon weight using Iguchi and Ikeda 2004. For Cycles 3 and 5 the average of the other 3 cycles is used.</text>
  </threadedComment>
  <threadedComment ref="B73" personId="{FE6090A8-A567-4AB1-A17C-139FAB253329}" id="{AFE7CD19-8B93-4EA8-813E-091D3642CDB5}">
    <text xml:space="preserve">From Pinkerton 2011. Ikeda 2016 equation for oxygen respiration and O:N ratio can take WW as we all C mass
</text>
  </threadedComment>
  <threadedComment ref="B74" personId="{FE6090A8-A567-4AB1-A17C-139FAB253329}" id="{F7703A5E-E499-4CD5-A091-E5C81DC6257B}">
    <text>As Hoki using median length and W:L conversion from Connell et al 2010</text>
  </threadedComment>
  <threadedComment ref="B75" personId="{FE6090A8-A567-4AB1-A17C-139FAB253329}" id="{9679DC21-7A4F-45A2-9637-4CDB9652E774}">
    <text>As Smooth Oreo with mean length from Coombs and Barr, 2004 and W:L from Clark et al. 1999</text>
  </threadedComment>
  <threadedComment ref="B76" dT="2024-04-18T18:25:11.20" personId="{029BEE2B-5882-4626-9FE7-8F2FFF745B94}" id="{45202BF0-CB74-4ED7-BA43-1A39F79BC28E}">
    <text>From Iguchi and Ikeda 2014 daily loss of body nitrogen to ammonia excretion. Temperature corrected daily losses (using a Q10 of 2.8 and euphotic temperatures for day casts and 200 m temps for night) were calculated for each bongo tow and averaged to get separate day and night respiratory quotients. Day and night respiratory losses were then calculated for migratory and resident portions of the community and summed for total community loss.</text>
  </threadedComment>
  <threadedComment ref="B81" dT="2023-12-04T16:46:30.79" personId="{029BEE2B-5882-4626-9FE7-8F2FFF745B94}" id="{36FC5EA6-3821-4FCA-9FBB-EF98E86CD340}">
    <text>Currently displayed is just ST bodies</text>
  </threadedComment>
  <threadedComment ref="D81" dT="2023-12-04T16:46:55.86" personId="{029BEE2B-5882-4626-9FE7-8F2FFF745B94}" id="{AF15DB7D-3976-4743-B74F-257C56E370F3}">
    <text>2.57 if using all salps</text>
  </threadedComment>
  <threadedComment ref="E81" dT="2023-12-04T16:47:14.21" personId="{029BEE2B-5882-4626-9FE7-8F2FFF745B94}" id="{CDDD20E0-6220-489C-81DB-6838F5BB6655}">
    <text>0.88 if using all salps</text>
  </threadedComment>
  <threadedComment ref="F81" dT="2023-12-04T16:54:38.15" personId="{029BEE2B-5882-4626-9FE7-8F2FFF745B94}" id="{2771CAEB-C687-4622-AD44-EAFC9EB45E26}">
    <text>1.30 if using all salps</text>
  </threadedComment>
  <threadedComment ref="G81" dT="2023-12-04T16:55:01.58" personId="{029BEE2B-5882-4626-9FE7-8F2FFF745B94}" id="{3964EABD-1BE7-4C35-B0F7-D6982C585C00}">
    <text>1.22 if using all salps</text>
  </threadedComment>
  <threadedComment ref="J81" dT="2023-12-04T16:55:28.45" personId="{029BEE2B-5882-4626-9FE7-8F2FFF745B94}" id="{A14E79CE-A02C-460A-B97C-E93DF8F9FBB3}">
    <text>7.49 if using all salps</text>
  </threadedComment>
  <threadedComment ref="K81" dT="2023-12-04T16:55:54.89" personId="{029BEE2B-5882-4626-9FE7-8F2FFF745B94}" id="{776C9AA4-ECDC-4D9C-99FD-B693383A130D}">
    <text>1.19 if using all salps</text>
  </threadedComment>
</ThreadedComments>
</file>

<file path=xl/threadedComments/threadedComment2.xml><?xml version="1.0" encoding="utf-8"?>
<ThreadedComments xmlns="http://schemas.microsoft.com/office/spreadsheetml/2018/threadedcomments" xmlns:x="http://schemas.openxmlformats.org/spreadsheetml/2006/main">
  <threadedComment ref="D3" dT="2024-02-07T19:08:29.17" personId="{029BEE2B-5882-4626-9FE7-8F2FFF745B94}" id="{54EF86B6-5502-4598-9CDA-F8BB5CD5984F}">
    <text>Note that because cycle 1 was split into 2 subcycles, all following values are (wherever possible) the weighted average of the two subcycles weighted by their duration.</text>
  </threadedComment>
  <threadedComment ref="B4" dT="2024-01-19T14:39:04.35" personId="{029BEE2B-5882-4626-9FE7-8F2FFF745B94}" id="{92912526-C464-42D6-BB9A-6C1B0FC86DA8}">
    <text>Flux to 70m, the base(ish) of the euphotic zone</text>
  </threadedComment>
  <threadedComment ref="B5" dT="2024-02-02T15:40:39.27" personId="{029BEE2B-5882-4626-9FE7-8F2FFF745B94}" id="{848E3BA0-2D40-41CD-9E95-7C261C3778CD}">
    <text>Note that the summed NPP of the 3 phytoplankton groups via dilution method exceeds 14C NPP. We trust the latter more , so the given value is calculated from the total 14C NPP and the proportion of FCyt NPP attributable to the group.</text>
  </threadedComment>
  <threadedComment ref="B7" dT="2023-08-10T14:09:29.74" personId="{029BEE2B-5882-4626-9FE7-8F2FFF745B94}" id="{74DF4045-DF81-435E-91BC-3A32FB5D278F}">
    <text>Both diatom NPP and Mortality are subject to a variety of assumptions. They are calculated using FlowCam biomass with the missing values at the surface assumed to be same as at 12 m, missing values at depth assumed to be proportional to chemtax fuco chl, and values in between assumed to be linearly related to the biomasses we have. Instantaneous growth and grazing rates come from those of fucoxanthin HPLC</text>
  </threadedComment>
  <threadedComment ref="B11" dT="2023-07-17T14:54:26.03" personId="{029BEE2B-5882-4626-9FE7-8F2FFF745B94}" id="{2D48652A-0B9D-425B-9A4A-E7708C92A393}">
    <text xml:space="preserve">Estimated for each discrete depth from the 14C-incorporation and the grazing:growth ratio estimated from dilution experiments ( NPP * µnetratio (mgC m-3 day-1))integrated over depth. </text>
  </threadedComment>
  <threadedComment ref="B11" dT="2024-08-02T14:43:18.49" personId="{029BEE2B-5882-4626-9FE7-8F2FFF745B94}" id="{3D122136-FC31-414E-B127-071AD1016D27}" parentId="{2D48652A-0B9D-425B-9A4A-E7708C92A393}">
    <text>Note this differs from Moira and other's use of pigment based grazing rates. Were I to use pigment based grazing I believe the balance generally shifts to favor protistan grazing more.</text>
  </threadedComment>
  <threadedComment ref="B12" dT="2023-07-04T15:51:38.24" personId="{029BEE2B-5882-4626-9FE7-8F2FFF745B94}" id="{C65BECA0-47FA-4F10-BFCA-BBF81418170F}">
    <text>Grazing in ug chl/h comes from phaeopigment content per sample * a temperature dependent feeding rate from Dam and Peterson using the temperature at 25 meters. Phaeo consumption was then converted to C using C:Chl detected via HPLC and fluorometry. Because daytime grazing rates were often higher than nighttime, we estimated resident vs migrant contributions to total grazing based on time spent in the euphotic zone and relative proportion of the total biomass.</text>
  </threadedComment>
  <threadedComment ref="B12" dT="2024-08-02T14:30:22.04" personId="{029BEE2B-5882-4626-9FE7-8F2FFF745B94}" id="{03634FAD-148A-49A2-B1AA-50A3A8FFF88C}" parentId="{C65BECA0-47FA-4F10-BFCA-BBF81418170F}">
    <text>The C:Chl I'm using is the most up to date and therefore may differ from others like Moira et al 2023</text>
  </threadedComment>
  <threadedComment ref="C12" dT="2023-07-06T13:53:22.47" personId="{029BEE2B-5882-4626-9FE7-8F2FFF745B94}" id="{4F2CA99A-1F4C-4408-9CBA-574F8B30048F}">
    <text>Requires an accurate C:Chl to convert to C and then N units. Waiting on Andres</text>
  </threadedComment>
  <threadedComment ref="B13" dT="2024-01-19T14:43:48.25" personId="{029BEE2B-5882-4626-9FE7-8F2FFF745B94}" id="{C1398F09-3AEE-4AEC-A42E-B438478586F4}">
    <text>DVM portion of the community determined through difference between day and night biomass. Day=nonDVM, Night-Day=DVM. DVM are assumed to spend 12 hours at DVM depth (typically ~200 meters) and contribute to deep nutrient pools during that time.</text>
  </threadedComment>
  <threadedComment ref="C14" dT="2023-07-06T13:53:59.18" personId="{029BEE2B-5882-4626-9FE7-8F2FFF745B94}" id="{BB0B6915-96FE-4B3E-9E12-8FCFB40B5567}">
    <text>Requires an accurate C:Chl to convert to C and then N units. Waiting on Andres</text>
  </threadedComment>
  <threadedComment ref="B16" dT="2024-01-18T16:14:24.19" personId="{029BEE2B-5882-4626-9FE7-8F2FFF745B94}" id="{1FDE964E-F9A9-4616-BDCB-730BDC43D77F}">
    <text>Salps were collected using double oblique Bongo tows, with 0.7m diameter frames equipped with 202 µm nets, General Oceanics flow meters, and an RBR temperature depth recorder. Salp specimens (typically 10) from each tow had their guts excised, and chl a and phaeopigments gut contents were measured. A power function was used to fit the size-specific Gpig (chl a + phaeo) contents for each tow, allowing the estimation of Gpig for each size bin per tow, and this was multiplied by the abundance in each size bin. Gut passage time (GPT) was calculated using a modified equation, based on (von Harbou, Dubischar et al. 2011 doi:10.1007/s00227-011-1709-4) where GPT(h) = 2.607*ln(OAL, mm) - 2.6. Grazing was estimated as: G (h-1) = Gpig /GPT, and scaled using a Q10=2. Daily salp grazing rates were obtained by assuming 14 h of day and 10 h of night, coincident with the times and latitudes at which we sampled these communities during the Salp Particle expOrt and Ocean Production (SalpPOOP) campaign. Cycle estimates were calculated by first averaging all day and all night tows separately, and then adding the two estimates.</text>
  </threadedComment>
  <threadedComment ref="B16" dT="2024-08-02T15:39:31.64" personId="{029BEE2B-5882-4626-9FE7-8F2FFF745B94}" id="{94ABD85E-42BC-47C9-ACAC-7B937EA9ACC1}" parentId="{1FDE964E-F9A9-4616-BDCB-730BDC43D77F}">
    <text>Practically speaking I took Moira's fecal pellet production rates and divided by .36 to get the assumed carbon consumption back.</text>
  </threadedComment>
  <threadedComment ref="B17" dT="2024-02-05T20:05:26.85" personId="{029BEE2B-5882-4626-9FE7-8F2FFF745B94}" id="{34A41410-02B5-4183-8AB4-796E04646837}">
    <text xml:space="preserve">Inferred from Moira's Gut Chl based on salp carnivory via trophic level. </text>
  </threadedComment>
  <threadedComment ref="D17" dT="2024-02-05T18:35:04.47" personId="{029BEE2B-5882-4626-9FE7-8F2FFF745B94}" id="{E72A82FF-0B73-4BDC-84A9-87A417705F94}">
    <text>The typed value here is the cycle averaged proportion of salp diet autotrophy followed by heterotrophy based on CSIAA trophic level (a TL of 2.4 implies ~40% heterotrophy for example)</text>
  </threadedComment>
  <threadedComment ref="E17" dT="2024-02-05T18:35:45.34" personId="{029BEE2B-5882-4626-9FE7-8F2FFF745B94}" id="{5DF64066-6007-4855-B351-06575781BCA4}">
    <text>The typed values are, in order, the SD of herbivory, herbivory fraction, SD of carnivory, carnivory fraction.</text>
  </threadedComment>
  <threadedComment ref="H17" dT="2024-02-05T20:17:06.93" personId="{029BEE2B-5882-4626-9FE7-8F2FFF745B94}" id="{DCA30B1E-94F0-4F4E-9370-05FBC1DF4172}">
    <text>Note that because Cycle 3 was a nonsalp cycle with no trophic level data, I use the mean of Cycles 1, 2, and 4.</text>
  </threadedComment>
  <threadedComment ref="L17" dT="2024-02-05T20:17:53.24" personId="{029BEE2B-5882-4626-9FE7-8F2FFF745B94}" id="{CDE7972F-8C5C-4678-A964-AE0D4DD2834A}">
    <text>This value has no standard deviation because it is a single sample from cycle 5. The other 3 had TL&lt;2 which is not possible and were therefore discarded.</text>
  </threadedComment>
  <threadedComment ref="B18" dT="2024-01-18T16:15:12.63" personId="{029BEE2B-5882-4626-9FE7-8F2FFF745B94}" id="{A95281B9-FCF8-48E6-B515-C3675C30C407}">
    <text>The above number multiplied by the fraction of gut biomass made up by BLPs</text>
  </threadedComment>
  <threadedComment ref="D18" dT="2024-02-05T20:08:13.96" personId="{029BEE2B-5882-4626-9FE7-8F2FFF745B94}" id="{6F8D6295-C96C-4932-8EFF-22CD823C0B26}">
    <text>The typed value here is cycle averaged proportion of all salp gut biomass made up by BLPs.</text>
  </threadedComment>
  <threadedComment ref="E18" dT="2024-02-05T20:09:01.31" personId="{029BEE2B-5882-4626-9FE7-8F2FFF745B94}" id="{5D448680-ACEA-4BFF-9DAC-DB836DE372E7}">
    <text>Typed values are PicoFractSD and PicoFract</text>
  </threadedComment>
  <threadedComment ref="L18" dT="2024-02-05T20:55:26.34" personId="{029BEE2B-5882-4626-9FE7-8F2FFF745B94}" id="{B8F79A70-B531-4D33-BA49-51F9D72C83CA}">
    <text>Because no salp samples were collected from cycle 5, taking the average of the other 4 cycles.</text>
  </threadedComment>
  <threadedComment ref="B19" dT="2024-01-18T16:16:19.67" personId="{029BEE2B-5882-4626-9FE7-8F2FFF745B94}" id="{6350287F-4E82-4B5F-AA9F-A769A84B4BCC}">
    <text>As above but proportion of diatoms in guts</text>
  </threadedComment>
  <threadedComment ref="B20" dT="2024-01-18T16:17:24.93" personId="{029BEE2B-5882-4626-9FE7-8F2FFF745B94}" id="{D7FA3A16-A4C5-4170-8F27-B8973DF6042C}">
    <text>As above but multiplied by proportion of everything else (hnf, flag, mic).</text>
  </threadedComment>
  <threadedComment ref="B21" dT="2024-04-18T19:00:51.47" personId="{029BEE2B-5882-4626-9FE7-8F2FFF745B94}" id="{B7B9E5A4-0358-4C52-8000-1805B620AE36}">
    <text>Determined from grazing rates assuming an egestion efficiency of 0.36 (Huntley, Sykes et al. 1989).</text>
  </threadedComment>
  <threadedComment ref="H21" dT="2024-02-09T14:49:38.86" personId="{029BEE2B-5882-4626-9FE7-8F2FFF745B94}" id="{50F62DB0-5C85-4C36-9ED1-31A3EABF713D}">
    <text xml:space="preserve">Because no data is available for Cycles 3 and 5, divided Cycle 1, 2, and 4 production by the salp biomass from each tow to get a per unit biomass rate (again for day and night separately). Then multiplied this by the observed day/night salp biomass for Cycles 3 and 5. </text>
  </threadedComment>
  <threadedComment ref="L21" dT="2024-04-22T17:56:39.57" personId="{029BEE2B-5882-4626-9FE7-8F2FFF745B94}" id="{0908089F-DCBC-47CB-ADA2-D5AC359CFDC4}">
    <text xml:space="preserve">Because no data is available for Cycles 3 and 5, divided Cycle 1, 2, and 4 production by the salp biomass from each tow to get a per unit biomass rate (again for day and night separately). Then multiplied this by the observed day/night salp biomass for Cycles 3 and 5. </text>
  </threadedComment>
  <threadedComment ref="B22" dT="2024-04-18T15:16:06.40" personId="{029BEE2B-5882-4626-9FE7-8F2FFF745B94}" id="{04A26114-FD93-4E39-8DA4-B3E582A25133}">
    <text>Vertically integrated from Fenella Dean's tritiated leucine incorporation.</text>
  </threadedComment>
  <threadedComment ref="B23" dT="2024-07-08T18:02:17.92" personId="{029BEE2B-5882-4626-9FE7-8F2FFF745B94}" id="{4DB47C88-B503-408C-B4F3-1DAB4FCBA1D2}">
    <text>Predicted consumption of fish for each prey type based on Pinkerton 2010 average biomass of both prey and fish in the region + average fish consumption and diet makeup. From this I estimated the average daily portion of prey biomass the fish consumed and multiplied by observed prey biomass per cycle to get a predicted ingestion, plus or minus 50% STD</text>
  </threadedComment>
  <threadedComment ref="B46" dT="2024-04-17T20:56:06.29" personId="{029BEE2B-5882-4626-9FE7-8F2FFF745B94}" id="{BC2AF2ED-F9F5-4564-B464-3BA15526B17E}">
    <text>Note that because most CTDs do not approach the bottom, this is the temp at 50 m above bottom for only those casts that went that deep.</text>
  </threadedComment>
  <threadedComment ref="B47" dT="2024-04-26T15:22:13.42" personId="{029BEE2B-5882-4626-9FE7-8F2FFF745B94}" id="{66E4B897-D267-4BAD-A9CF-7DC73822E3D9}">
    <text>Cycle averaged depth 50 meters above bottom for use in estimating rates of demersal fish assuming they spend their time primarily within 100 meters of bottom.</text>
  </threadedComment>
  <threadedComment ref="B48" dT="2024-01-18T16:18:53.69" personId="{029BEE2B-5882-4626-9FE7-8F2FFF745B94}" id="{51D0568E-4241-486D-9ADC-736FE3DCD8B4}">
    <text>Considered a minimum rather than an AE due to likelihood of missing some pellets</text>
  </threadedComment>
  <threadedComment ref="B50" dT="2023-08-18T14:35:11.24" personId="{029BEE2B-5882-4626-9FE7-8F2FFF745B94}" id="{EA0B3975-E875-45D0-866B-59E314DB8409}">
    <text>Note that the large phyto biomasses come from FlowCam and are therefore integrated to the deepest FlowCam depth (typically the DCM or within the mixed layer if there was no DCM). Therefore they are likely underestimates of the true biomass for cycles where the euphotic zone extends past the DCM.</text>
  </threadedComment>
  <threadedComment ref="B50" dT="2024-04-23T19:23:56.48" personId="{029BEE2B-5882-4626-9FE7-8F2FFF745B94}" id="{94104901-A33F-46A1-951D-25C0C54985CE}" parentId="{EA0B3975-E875-45D0-866B-59E314DB8409}">
    <text xml:space="preserve">Also note that since these biomasses were not subject to the same issues as the pigments, they are averaged over a larger number of casts for Cycles 1 and 2. This leads to notably higher average biomasses in Cycle 1 than if averaging over only over the casts NPP was taken from (about twice what they would be otherwise) since 14C/pigments missed many of the earlier high productivity casts. </text>
  </threadedComment>
  <threadedComment ref="B54" dT="2024-04-23T19:55:54.95" personId="{029BEE2B-5882-4626-9FE7-8F2FFF745B94}" id="{CC885D9A-F0B1-4F0B-BB88-582FEB4B3429}">
    <text>Via C:N combustion of size fractionated zooplankton biomass.</text>
  </threadedComment>
  <threadedComment ref="D54" dT="2023-06-29T14:50:13.53" personId="{029BEE2B-5882-4626-9FE7-8F2FFF745B94}" id="{D5CCDA18-DB13-4CA7-AB4A-251A8546588F}">
    <text>Note the daytime biomass here is higher than nighttime, which is not reflected in the bulk dry weight. Could alternatively use dry weight values instead assuming 40% carbon conversion and RR to nitrogen.</text>
  </threadedComment>
  <threadedComment ref="B58" dT="2023-12-08T18:56:45.05" personId="{029BEE2B-5882-4626-9FE7-8F2FFF745B94}" id="{7DBEEB94-4A3D-4F49-B3A4-F10015EA9FD7}">
    <text>This will eventually come from Zooscan and allows me to link respiration and max ingestion inequalities.</text>
  </threadedComment>
  <threadedComment ref="B59" dT="2023-12-08T18:56:55.89" personId="{029BEE2B-5882-4626-9FE7-8F2FFF745B94}" id="{9B41417B-0033-4689-B660-149C8EC5123B}">
    <text>This will eventually come from Zooscan and allows me to link respiration and max ingestion inequalities.</text>
  </threadedComment>
  <threadedComment ref="B60" dT="2024-01-30T16:17:50.93" personId="{029BEE2B-5882-4626-9FE7-8F2FFF745B94}" id="{EDCD72AD-3493-4EB7-8B4C-8247FFDC08C1}">
    <text>Summed biomass of all salps collected in all bongo tows of a given cycle, averaged over that cycle</text>
  </threadedComment>
  <threadedComment ref="D60" dT="2023-06-21T18:32:25.34" personId="{029BEE2B-5882-4626-9FE7-8F2FFF745B94}" id="{27ED9E92-8ACC-49BE-B766-9A0ADC50794C}">
    <text>Note this is for all salps, not just ST.</text>
  </threadedComment>
  <threadedComment ref="B62" dT="2024-06-03T14:10:49.50" personId="{029BEE2B-5882-4626-9FE7-8F2FFF745B94}" id="{9E10101C-4742-4693-8BDC-45D6F3D551B7}">
    <text>These are Pinkerton average biomasses scaled to the difference in average prey concentrations vs what we observed in each cycle. Thus they assume a roughly linear relationship between prey and biomass. Utilizing them for Iguchi respiration and Kiorboe total ingestion is thus equivalent to the assumption made for Pinkerton prey-specific ingestions.</text>
  </threadedComment>
  <threadedComment ref="D62" dT="2023-06-21T18:12:08.06" personId="{029BEE2B-5882-4626-9FE7-8F2FFF745B94}" id="{09A75FA0-C9F7-43C7-B6AB-B0586CA5EAD0}">
    <text>Mesopelagic fish (myctophids) from Pinkerton 2011</text>
  </threadedComment>
  <threadedComment ref="D63" dT="2023-06-21T18:25:53.51" personId="{029BEE2B-5882-4626-9FE7-8F2FFF745B94}" id="{6347F9EB-22A8-43A0-896E-DA5E0B1E9040}">
    <text>Hoki from Pinkerton 2011</text>
  </threadedComment>
  <threadedComment ref="D64" dT="2023-06-21T18:12:50.39" personId="{029BEE2B-5882-4626-9FE7-8F2FFF745B94}" id="{4036D3C0-F414-4F9D-861A-53DBDC9A28B9}">
    <text>S_oreo + warehou from Pinkerton 2011</text>
  </threadedComment>
  <threadedComment ref="B68" dT="2023-08-02T20:07:35.22" personId="{029BEE2B-5882-4626-9FE7-8F2FFF745B94}" id="{45B7A00B-8B7F-4209-85C6-DFEF29596922}">
    <text xml:space="preserve">Average size of mesozooplankton paramterized as the calanoid copepod Pleuromamma scutullata per Yamaguchi and Ikeda 2000 (Bradford-Grieve actually says P. glacialis but it's at least the same genera). DW (ug) = 18.91*1mm^2.723 = 18.91 ug DW * .4 = 7.564 ug C = 0.007564 mg C
</text>
  </threadedComment>
  <threadedComment ref="B69" dT="2023-12-08T19:26:46.64" personId="{029BEE2B-5882-4626-9FE7-8F2FFF745B94}" id="{749F45AC-7E56-4A7E-B7AE-87F9CEFFFD82}">
    <text>As the mean of all 4 life stages of Euphausia lucens in the Benguela Current. Alternatively we have mean of only adults at 1.499 +_ 0.299</text>
  </threadedComment>
  <threadedComment ref="B70" dT="2023-12-08T19:28:20.28" personId="{029BEE2B-5882-4626-9FE7-8F2FFF745B94}" id="{2A8588C9-F9B2-466C-B3AB-81DF102B6E9C}">
    <text>As Themisto gaudichaudii from a high chl region off South Georgia (Kruse et al 2015) assuming a 40% DW to C conversion.</text>
  </threadedComment>
  <threadedComment ref="D71" dT="2024-04-26T19:23:18.32" personId="{029BEE2B-5882-4626-9FE7-8F2FFF745B94}" id="{D07ACE21-7FA2-4A4C-B2CD-B75DBC5C365C}">
    <text>As the mean of all Siphonophores, Ctenophores, and cnidarians in the Zooscan.</text>
  </threadedComment>
  <threadedComment ref="B72" dT="2024-09-06T18:55:48.94" personId="{029BEE2B-5882-4626-9FE7-8F2FFF745B94}" id="{33C5F81B-E39D-4DCD-B627-478835FB309C}">
    <text>As the mean ST size from bongo tows, averaged per Cycle and converted to carbon weight using Iguchi and Ikeda 2004. For Cycles 3 and 5 the average of the other 3 cycles is used.</text>
  </threadedComment>
  <threadedComment ref="B73" personId="{FE6090A8-A567-4AB1-A17C-139FAB253329}" id="{C93AB2F3-EB62-4222-9472-6308FDFDAE9A}">
    <text xml:space="preserve">From Pinkerton 2011. Ikeda 2016 equation for oxygen respiration and O:N ratio can take WW as we all C mass
</text>
  </threadedComment>
  <threadedComment ref="B74" personId="{FE6090A8-A567-4AB1-A17C-139FAB253329}" id="{A0B0205E-11B1-4817-8BE6-21576A73C9CB}">
    <text>As Hoki using median length and W:L conversion from Connell et al 2010</text>
  </threadedComment>
  <threadedComment ref="B75" personId="{FE6090A8-A567-4AB1-A17C-139FAB253329}" id="{77D12CB3-9262-40C3-B606-913D357D1383}">
    <text>As Smooth Oreo with mean length from Coombs and Barr, 2004 and W:L from Clark et al. 1999</text>
  </threadedComment>
  <threadedComment ref="B76" dT="2024-04-18T18:25:11.20" personId="{029BEE2B-5882-4626-9FE7-8F2FFF745B94}" id="{294A4309-1FF6-4D53-B5C5-3EDBBF9AF4BC}">
    <text>From Iguchi and Ikeda 2014 daily loss of body nitrogen to ammonia excretion. Temperature corrected daily losses (using a Q10 of 2.8 and euphotic temperatures for day casts and 200 m temps for night) were calculated for each bongo tow and averaged to get separate day and night respiratory quotients. Day and night respiratory losses were then calculated for migratory and resident portions of the community and summed for total community loss.</text>
  </threadedComment>
  <threadedComment ref="B81" dT="2023-12-04T16:46:30.79" personId="{029BEE2B-5882-4626-9FE7-8F2FFF745B94}" id="{78FBB15B-8A2F-4047-BE5A-05DABDE3C4F6}">
    <text>Currently displayed is just ST bodies</text>
  </threadedComment>
  <threadedComment ref="D81" dT="2023-12-04T16:46:55.86" personId="{029BEE2B-5882-4626-9FE7-8F2FFF745B94}" id="{08314FC3-18CC-40C3-99E8-A81DDA4C5374}">
    <text>2.57 if using all salps</text>
  </threadedComment>
  <threadedComment ref="E81" dT="2023-12-04T16:47:14.21" personId="{029BEE2B-5882-4626-9FE7-8F2FFF745B94}" id="{E104ACA7-7463-4691-A4D1-FCBC2B7CB427}">
    <text>0.88 if using all salps</text>
  </threadedComment>
  <threadedComment ref="F81" dT="2023-12-04T16:54:38.15" personId="{029BEE2B-5882-4626-9FE7-8F2FFF745B94}" id="{F8EC1267-53B2-4A3E-9699-86EA3A50D7D9}">
    <text>1.30 if using all salps</text>
  </threadedComment>
  <threadedComment ref="G81" dT="2023-12-04T16:55:01.58" personId="{029BEE2B-5882-4626-9FE7-8F2FFF745B94}" id="{6E73C80D-F584-4180-A60D-6D32B93692E2}">
    <text>1.22 if using all salps</text>
  </threadedComment>
  <threadedComment ref="J81" dT="2023-12-04T16:55:28.45" personId="{029BEE2B-5882-4626-9FE7-8F2FFF745B94}" id="{7ACDB6F5-1516-4C3C-A672-0CA2CC539ACF}">
    <text>7.49 if using all salps</text>
  </threadedComment>
  <threadedComment ref="K81" dT="2023-12-04T16:55:54.89" personId="{029BEE2B-5882-4626-9FE7-8F2FFF745B94}" id="{1B4B75D3-5DE2-4753-B8E7-B3505804D110}">
    <text>1.19 if using all salps</text>
  </threadedComment>
</ThreadedComments>
</file>

<file path=xl/threadedComments/threadedComment3.xml><?xml version="1.0" encoding="utf-8"?>
<ThreadedComments xmlns="http://schemas.microsoft.com/office/spreadsheetml/2018/threadedcomments" xmlns:x="http://schemas.openxmlformats.org/spreadsheetml/2006/main">
  <threadedComment ref="A3" dT="2024-04-23T19:55:54.95" personId="{029BEE2B-5882-4626-9FE7-8F2FFF745B94}" id="{B760B01E-DA2A-4381-BFD5-3007882D6D76}">
    <text>Via C:N combustion of size fractionated zooplankton biomass.</text>
  </threadedComment>
  <threadedComment ref="C3" dT="2023-06-29T14:50:13.53" personId="{029BEE2B-5882-4626-9FE7-8F2FFF745B94}" id="{36F86761-0987-46E6-8F5B-10C4E820CE88}">
    <text>Note the daytime biomass here is higher than nighttime, which is not reflected in the bulk dry weight. Could alternatively use dry weight values instead assuming 40% carbon conversion and RR to nitrogen.</text>
  </threadedComment>
</ThreadedComments>
</file>

<file path=xl/threadedComments/threadedComment4.xml><?xml version="1.0" encoding="utf-8"?>
<ThreadedComments xmlns="http://schemas.microsoft.com/office/spreadsheetml/2018/threadedcomments" xmlns:x="http://schemas.openxmlformats.org/spreadsheetml/2006/main">
  <threadedComment ref="D3" dT="2024-02-07T19:08:29.17" personId="{029BEE2B-5882-4626-9FE7-8F2FFF745B94}" id="{705A02BC-CD00-43B3-98CC-5E3714234762}">
    <text>Note that because cycle 1 was split into 2 subcycles, all following values are (wherever possible) the weighted average of the two subcycles weighted by their duration.</text>
  </threadedComment>
  <threadedComment ref="B4" dT="2024-01-19T14:39:04.35" personId="{029BEE2B-5882-4626-9FE7-8F2FFF745B94}" id="{C4E26ACD-38B6-411B-A9A1-10C5624AB0C0}">
    <text>Flux to 70m, the base(ish) of the euphotic zone</text>
  </threadedComment>
  <threadedComment ref="B5" dT="2024-02-02T15:40:39.27" personId="{029BEE2B-5882-4626-9FE7-8F2FFF745B94}" id="{617364F0-772A-4FFE-8403-3A3FB723E264}">
    <text>Note that the summed NPP of the 3 phytoplankton groups via dilution method exceeds 14C NPP. We trust the latter more , so the given value is calculated from the total 14C NPP and the proportion of FCyt NPP attributable to the group.</text>
  </threadedComment>
  <threadedComment ref="B7" dT="2023-08-10T14:09:29.74" personId="{029BEE2B-5882-4626-9FE7-8F2FFF745B94}" id="{22A90A35-8B94-464A-839C-64FA6D9A7181}">
    <text>Both diatom NPP and Mortality are subject to a variety of assumptions. They are calculated using FlowCam biomass with the missing values at the surface assumed to be same as at 12 m, missing values at depth assumed to be proportional to chemtax fuco chl, and values in between assumed to be linearly related to the biomasses we have. Instantaneous growth and grazing rates come from those of fucoxanthin HPLC</text>
  </threadedComment>
  <threadedComment ref="B11" dT="2023-07-17T14:54:26.03" personId="{029BEE2B-5882-4626-9FE7-8F2FFF745B94}" id="{A7A556B1-6666-495B-8C43-BF2994406262}">
    <text>From HPLC of Total Chl a of minidilution experiments</text>
  </threadedComment>
  <threadedComment ref="B12" dT="2023-07-04T15:51:38.24" personId="{029BEE2B-5882-4626-9FE7-8F2FFF745B94}" id="{F8D287DC-9525-4F5B-A6DE-D80CEFDA2EA2}">
    <text>Grazing in ug chl/h comes from chl content per sample * a temperature dependent feeding rate from Dam and Peterson using the temperature at 25 meters. Because daytime grazing rates were often higher than nighttime, we estimated resident vs migrant contributions to total grazing based on time spent in the euphotic zone and relative proportion of the total biomass.</text>
  </threadedComment>
  <threadedComment ref="C12" dT="2023-07-06T13:53:22.47" personId="{029BEE2B-5882-4626-9FE7-8F2FFF745B94}" id="{05243869-D8BC-461D-9047-A4E63277108E}">
    <text>Requires an accurate C:Chl to convert to C and then N units. Waiting on Andres</text>
  </threadedComment>
  <threadedComment ref="B13" dT="2024-01-19T14:43:48.25" personId="{029BEE2B-5882-4626-9FE7-8F2FFF745B94}" id="{9ADACE9C-4311-4E19-859A-842647E3C8FF}">
    <text>DVM portion of the community determined through difference between day and night biomass. Day=nonDVM, Night-Day=DVM. DVM are assumed to spend 12 hours at DVM depth (typically ~200 meters) and contribute to deep nutrient pools during that time.</text>
  </threadedComment>
  <threadedComment ref="C14" dT="2023-07-06T13:53:59.18" personId="{029BEE2B-5882-4626-9FE7-8F2FFF745B94}" id="{73AD2CE5-1D60-4A0C-A8F3-BCABD31D584E}">
    <text>Requires an accurate C:Chl to convert to C and then N units. Waiting on Andres</text>
  </threadedComment>
  <threadedComment ref="B16" dT="2024-01-18T16:14:24.19" personId="{029BEE2B-5882-4626-9FE7-8F2FFF745B94}" id="{B247E582-3FE1-4330-8CEB-EE5571A820DB}">
    <text>Salps were collected using double oblique Bongo tows, with 0.7m diameter frames equipped with 202 µm nets, General Oceanics flow meters, and an RBR temperature depth recorder. Salp specimens (typically 10) from each tow had their guts excised, and chl a and phaeopigments gut contents were measured. A power function was used to fit the size-specific Gpig (chl a + phaeo) contents for each tow, allowing the estimation of Gpig for each size bin per tow, and this was multiplied by the abundance in each size bin. Gut passage time (GPT) was calculated using a modified equation, based on (von Harbou, Dubischar et al. 2011 doi:10.1007/s00227-011-1709-4) where GPT(h) = 2.607*ln(OAL, mm) - 2.6. Grazing was estimated as: G (h-1) = Gpig /GPT, and scaled using a Q10=2. Daily salp grazing rates were obtained by assuming 14 h of day and 10 h of night, coincident with the times and latitudes at which we sampled these communities during the Salp Particle expOrt and Ocean Production (SalpPOOP) campaign. Cycle estimates were calculated by first averaging all day and all night tows separately, and then adding the two estimates.</text>
  </threadedComment>
  <threadedComment ref="B17" dT="2024-02-05T20:05:26.85" personId="{029BEE2B-5882-4626-9FE7-8F2FFF745B94}" id="{45E55CD9-E759-42BE-9FE7-D8FC9070F1C7}">
    <text xml:space="preserve">Inferred from Moira's Gut Chl based on salp carnivory via trophic level. </text>
  </threadedComment>
  <threadedComment ref="D17" dT="2024-02-05T18:35:04.47" personId="{029BEE2B-5882-4626-9FE7-8F2FFF745B94}" id="{93316BB0-605A-4F7A-AD45-21E7B6EDC592}">
    <text>The typed value here is the cycle averaged proportion of salp diet autotrophy followed by heterotrophy based on CSIAA trophic level (a TL of 2.4 implies ~40% heterotrophy for example)</text>
  </threadedComment>
  <threadedComment ref="E17" dT="2024-02-05T18:35:45.34" personId="{029BEE2B-5882-4626-9FE7-8F2FFF745B94}" id="{A029D51E-0310-4CAB-A5F8-272C422F8363}">
    <text>The typed values are, in order, the SD of herbivory, herbivory fraction, SD of carnivory, carnivory fraction.</text>
  </threadedComment>
  <threadedComment ref="H17" dT="2024-02-05T20:17:06.93" personId="{029BEE2B-5882-4626-9FE7-8F2FFF745B94}" id="{F992F7EE-ED28-4E78-82B7-C38A7CD3B194}">
    <text>Note that because Cycle 3 was a nonsalp cycle with no trophic level data, I use the mean of Cycles 1, 2, and 4.</text>
  </threadedComment>
  <threadedComment ref="L17" dT="2024-02-05T20:17:53.24" personId="{029BEE2B-5882-4626-9FE7-8F2FFF745B94}" id="{6A5C16C6-5067-44BD-B311-6E91E15BD723}">
    <text>This value has no standard deviation because it is a single sample from cycle 5. The other 3 had TL&lt;2 which is not possible and were therefore discarded.</text>
  </threadedComment>
  <threadedComment ref="B18" dT="2024-01-18T16:15:12.63" personId="{029BEE2B-5882-4626-9FE7-8F2FFF745B94}" id="{B64DA95C-02CC-4B83-B621-59EB8B4833FF}">
    <text>The above number multiplied by the fraction of gut biomass made up by BLPs</text>
  </threadedComment>
  <threadedComment ref="D18" dT="2024-02-05T20:08:13.96" personId="{029BEE2B-5882-4626-9FE7-8F2FFF745B94}" id="{BCCCA01A-B73D-42F3-BD35-43A6E71F9316}">
    <text>The typed value here is cycle averaged proportion of all salp gut biomass made up by BLPs.</text>
  </threadedComment>
  <threadedComment ref="E18" dT="2024-02-05T20:09:01.31" personId="{029BEE2B-5882-4626-9FE7-8F2FFF745B94}" id="{822AAAF5-5AC4-4E63-B32B-036C0F45AE78}">
    <text>Typed values are PicoFractSD and PicoFract</text>
  </threadedComment>
  <threadedComment ref="L18" dT="2024-02-05T20:55:26.34" personId="{029BEE2B-5882-4626-9FE7-8F2FFF745B94}" id="{52ACD037-8897-4E8C-872A-EBEF26B63D77}">
    <text>Because no salp samples were collected from cycle 5, taking the average of the other 4 cycles.</text>
  </threadedComment>
  <threadedComment ref="B19" dT="2024-01-18T16:16:19.67" personId="{029BEE2B-5882-4626-9FE7-8F2FFF745B94}" id="{9CD98D81-F3F3-4760-B4A3-95AC746AEC52}">
    <text>As above but proportion of diatoms in guts</text>
  </threadedComment>
  <threadedComment ref="B20" dT="2024-01-18T16:17:24.93" personId="{029BEE2B-5882-4626-9FE7-8F2FFF745B94}" id="{BAED7370-823E-4E08-9430-DDA6E5F912E0}">
    <text>As above but multiplied by proportion of everything else (hnf, flag, mic).</text>
  </threadedComment>
  <threadedComment ref="B21" dT="2024-04-18T19:00:51.47" personId="{029BEE2B-5882-4626-9FE7-8F2FFF745B94}" id="{893D209A-2A2E-4005-9DD5-E3237DD8E022}">
    <text>Determined from grazing rates assuming an egestion efficiency of 0.36 (Huntley, Sykes et al. 1989).</text>
  </threadedComment>
  <threadedComment ref="H21" dT="2024-02-09T14:49:38.86" personId="{029BEE2B-5882-4626-9FE7-8F2FFF745B94}" id="{79EC72CB-C696-4D51-A11E-42613CE8C8DF}">
    <text xml:space="preserve">Because no data is available for Cycles 3 and 5, divided Cycle 1, 2, and 4 production by the salp biomass from each tow to get a per unit biomass rate (again for day and night separately). Then multiplied this by the observed day/night salp biomass for Cycles 3 and 5. </text>
  </threadedComment>
  <threadedComment ref="L21" dT="2024-04-22T17:56:39.57" personId="{029BEE2B-5882-4626-9FE7-8F2FFF745B94}" id="{A72475D7-17C4-483B-BBB0-76D0837759E2}">
    <text xml:space="preserve">Because no data is available for Cycles 3 and 5, divided Cycle 1, 2, and 4 production by the salp biomass from each tow to get a per unit biomass rate (again for day and night separately). Then multiplied this by the observed day/night salp biomass for Cycles 3 and 5. </text>
  </threadedComment>
  <threadedComment ref="B22" dT="2024-04-18T15:16:06.40" personId="{029BEE2B-5882-4626-9FE7-8F2FFF745B94}" id="{631D0395-F36F-4574-8697-C33F9092F903}">
    <text>Vertically integrated from Fenella Dean's tritiated leucine incorporation.</text>
  </threadedComment>
  <threadedComment ref="B23" dT="2024-07-08T18:02:17.92" personId="{029BEE2B-5882-4626-9FE7-8F2FFF745B94}" id="{376D24B1-E126-4ED9-9056-F2999F8F05AF}">
    <text>Predicted consumption of fish for each prey type based on Pinkerton 2010 average biomass of both prey and fish in the region + average fish consumption and diet makeup. From this I estimated the average daily portion of prey biomass the fish consumed and multiplied by observed prey biomass per cycle to get a predicted ingestion, plus or minus 50% STD</text>
  </threadedComment>
  <threadedComment ref="B40" dT="2024-04-17T20:56:06.29" personId="{029BEE2B-5882-4626-9FE7-8F2FFF745B94}" id="{8988D7A0-0656-45F1-9960-E40C6DD717ED}">
    <text>Note that because most CTDs do not approach the bottom, this is the temp at 50 m above bottom for only those casts that went that deep.</text>
  </threadedComment>
  <threadedComment ref="B41" dT="2024-04-26T15:22:13.42" personId="{029BEE2B-5882-4626-9FE7-8F2FFF745B94}" id="{7C34F1DC-84A5-4408-975A-82CE99F9C05D}">
    <text>Cycle averaged depth 50 meters above bottom for use in estimating rates of demersal fish assuming they spend their time primarily within 100 meters of bottom.</text>
  </threadedComment>
  <threadedComment ref="B42" dT="2024-01-18T16:18:53.69" personId="{029BEE2B-5882-4626-9FE7-8F2FFF745B94}" id="{EBE67F0E-35DA-445C-97DB-0FBA8DA58B02}">
    <text>Considered a minimum rather than an AE due to likelihood of missing some pellets</text>
  </threadedComment>
  <threadedComment ref="B44" dT="2023-08-18T14:35:11.24" personId="{029BEE2B-5882-4626-9FE7-8F2FFF745B94}" id="{FF214039-436A-4811-95B2-CDCF043D5E08}">
    <text>Note that the large phyto biomasses come from FlowCam and are therefore integrated to the deepest FlowCam depth (typically the DCM or within the mixed layer if there was no DCM). Therefore they are likely underestimates of the true biomass for cycles where the euphotic zone extends past the DCM.</text>
  </threadedComment>
  <threadedComment ref="B44" dT="2024-04-23T19:23:56.48" personId="{029BEE2B-5882-4626-9FE7-8F2FFF745B94}" id="{A320307D-7FA2-4753-B41C-AC5C3FBACE03}" parentId="{FF214039-436A-4811-95B2-CDCF043D5E08}">
    <text xml:space="preserve">Also note that since these biomasses were not subject to the same issues as the pigments, they are averaged over a larger number of casts for Cycles 1 and 2. This leads to notably higher average biomasses in Cycle 1 than if averaging over only over the casts NPP was taken from (about twice what they would be otherwise) since 14C/pigments missed many of the earlier high productivity casts. </text>
  </threadedComment>
  <threadedComment ref="B48" dT="2024-04-23T19:55:54.95" personId="{029BEE2B-5882-4626-9FE7-8F2FFF745B94}" id="{2006690C-6614-4F92-9AD8-B8C00EC38ED3}">
    <text>Via C:N combustion of size fractionated zooplankton biomass.</text>
  </threadedComment>
  <threadedComment ref="D48" dT="2023-06-29T14:50:13.53" personId="{029BEE2B-5882-4626-9FE7-8F2FFF745B94}" id="{C495CECC-13E4-4C76-AAE2-BD2113BE17E9}">
    <text>Note the daytime biomass here is higher than nighttime, which is not reflected in the bulk dry weight. Could alternatively use dry weight values instead assuming 40% carbon conversion and RR to nitrogen.</text>
  </threadedComment>
  <threadedComment ref="B52" dT="2023-12-08T18:56:45.05" personId="{029BEE2B-5882-4626-9FE7-8F2FFF745B94}" id="{E8B1C77E-8BEE-447C-ADA8-7F8F8B96A13D}">
    <text>This will eventually come from Zooscan and allows me to link respiration and max ingestion inequalities.</text>
  </threadedComment>
  <threadedComment ref="B53" dT="2023-12-08T18:56:55.89" personId="{029BEE2B-5882-4626-9FE7-8F2FFF745B94}" id="{92CE0572-DDE3-46C7-943A-F418244B0376}">
    <text>This will eventually come from Zooscan and allows me to link respiration and max ingestion inequalities.</text>
  </threadedComment>
  <threadedComment ref="B54" dT="2024-01-30T16:17:50.93" personId="{029BEE2B-5882-4626-9FE7-8F2FFF745B94}" id="{16B70573-53B5-4FAA-AB26-CB55DCA38166}">
    <text>Summed biomass of all salps collected in all bongo tows of a given cycle, averaged over that cycle</text>
  </threadedComment>
  <threadedComment ref="D54" dT="2023-06-21T18:32:25.34" personId="{029BEE2B-5882-4626-9FE7-8F2FFF745B94}" id="{AA6CC52D-2133-40D2-AB16-9703A4BBF699}">
    <text>Note this is for all salps, not just ST.</text>
  </threadedComment>
  <threadedComment ref="B56" dT="2024-06-03T14:10:49.50" personId="{029BEE2B-5882-4626-9FE7-8F2FFF745B94}" id="{C7798419-77C2-4E66-A560-C87AA0A37415}">
    <text>These are Pinkerton average biomasses scaled to the difference in average prey concentrations vs what we observed in each cycle. Thus they assume a roughly linear relationship between prey and biomass. Utilizing them for Iguchi respiration and Kiorboe total ingestion is thus equivalent to the assumption made for Pinkerton prey-specific max ingestions.</text>
  </threadedComment>
  <threadedComment ref="D56" dT="2023-06-21T18:12:08.06" personId="{029BEE2B-5882-4626-9FE7-8F2FFF745B94}" id="{06346D66-E1FD-47E2-8266-59FDB4BA466A}">
    <text>Mesopelagic fish (myctophids) from Pinkerton 2011</text>
  </threadedComment>
  <threadedComment ref="D57" dT="2023-06-21T18:25:53.51" personId="{029BEE2B-5882-4626-9FE7-8F2FFF745B94}" id="{1F4C402C-C566-4FE9-8889-9A4EA0AA0067}">
    <text>Hoki from Pinkerton 2011</text>
  </threadedComment>
  <threadedComment ref="D58" dT="2023-06-21T18:12:50.39" personId="{029BEE2B-5882-4626-9FE7-8F2FFF745B94}" id="{0C2B144B-AEAB-48A1-9DCA-F93920EA2AA1}">
    <text>S_oreo + warehou from Pinkerton 2011</text>
  </threadedComment>
  <threadedComment ref="B62" dT="2023-08-02T20:07:35.22" personId="{029BEE2B-5882-4626-9FE7-8F2FFF745B94}" id="{581B2C15-14C7-48DC-94A6-946F9B2F5423}">
    <text xml:space="preserve">Average size of mesozooplankton paramterized as the calanoid copepod Pleuromamma scutullata per Yamaguchi and Ikeda 2000 (Bradford-Grieve actually says P. glacialis but it's at least the same genera). DW (ug) = 18.91*1mm^2.723 = 18.91 ug DW * .4 = 7.564 ug C = 0.007564 mg C
</text>
  </threadedComment>
  <threadedComment ref="B63" dT="2023-12-08T19:26:46.64" personId="{029BEE2B-5882-4626-9FE7-8F2FFF745B94}" id="{B9B4EE1D-653C-4113-8D88-D5C4C5034DA1}">
    <text>As the mean of all 4 life stages of Euphausia lucens in the Benguela Current. Alternatively we have mean of only adults at 1.499 +_ 0.299</text>
  </threadedComment>
  <threadedComment ref="B64" dT="2023-12-08T19:28:20.28" personId="{029BEE2B-5882-4626-9FE7-8F2FFF745B94}" id="{85A4AEB8-5504-476D-AA67-2A2E0DAAC377}">
    <text>As Themisto gaudichaudii from a high chl region off South Georgia (Kruse et al 2015) assuming a 40% DW to C conversion.</text>
  </threadedComment>
  <threadedComment ref="D65" dT="2024-04-26T19:23:18.32" personId="{029BEE2B-5882-4626-9FE7-8F2FFF745B94}" id="{90CE029B-3935-4DDD-9F65-E27CD4E0D8CC}">
    <text>As the mean of all Siphonophores, Ctenophores, and cnidarians in the Zooscan.</text>
  </threadedComment>
  <threadedComment ref="B66" personId="{FE6090A8-A567-4AB1-A17C-139FAB253329}" id="{03246229-5831-4581-8FC1-2BC8CA325EB5}">
    <text xml:space="preserve">From Pinkerton 2011. Ikeda 2016 equation for oxygen respiration and O:N ratio can take WW as we all C mass
</text>
  </threadedComment>
  <threadedComment ref="B67" personId="{FE6090A8-A567-4AB1-A17C-139FAB253329}" id="{871C2170-2679-4721-9641-95571292CFC1}">
    <text>As Hoki using median length and W:L conversion from Connell et al 2010</text>
  </threadedComment>
  <threadedComment ref="B68" personId="{FE6090A8-A567-4AB1-A17C-139FAB253329}" id="{6A83E6DA-627D-43BE-852F-C3A5DBDFFA3B}">
    <text>As Smooth Oreo with mean length from Coombs and Barr, 2004 and W:L from Clark et al. 1999</text>
  </threadedComment>
  <threadedComment ref="B69" dT="2024-04-18T18:25:11.20" personId="{029BEE2B-5882-4626-9FE7-8F2FFF745B94}" id="{E0331EB5-EBE1-4331-AF0C-39A14E57F77C}">
    <text>From Iguchi and Ikeda's salp respiration regressions based on body length, using midpoints of size binned bongo salp abundance from Moira. Values were calculated per tow and converted to per day assuming 14 daylight hours and 10 night time hours (adding the average of day and night respiration).</text>
  </threadedComment>
  <threadedComment ref="B76" dT="2023-12-04T16:46:30.79" personId="{029BEE2B-5882-4626-9FE7-8F2FFF745B94}" id="{59F9D56C-9BF6-49CE-A2F7-1BA9BA63828A}">
    <text>Currently displayed is just ST bodies</text>
  </threadedComment>
  <threadedComment ref="D76" dT="2023-12-04T16:46:55.86" personId="{029BEE2B-5882-4626-9FE7-8F2FFF745B94}" id="{F7D24828-C2AA-4CE3-AEBC-AD7381505550}">
    <text>2.57 if using all salps</text>
  </threadedComment>
  <threadedComment ref="E76" dT="2023-12-04T16:47:14.21" personId="{029BEE2B-5882-4626-9FE7-8F2FFF745B94}" id="{81F5C962-12AA-48E0-BA8D-900861E0BE33}">
    <text>0.88 if using all salps</text>
  </threadedComment>
  <threadedComment ref="F76" dT="2023-12-04T16:54:38.15" personId="{029BEE2B-5882-4626-9FE7-8F2FFF745B94}" id="{2DC77086-5432-4DEB-9B32-F7444133A2F0}">
    <text>1.30 if using all salps</text>
  </threadedComment>
  <threadedComment ref="G76" dT="2023-12-04T16:55:01.58" personId="{029BEE2B-5882-4626-9FE7-8F2FFF745B94}" id="{0938D3C8-EF36-4BA0-9E68-776D7A282EAE}">
    <text>1.22 if using all salps</text>
  </threadedComment>
  <threadedComment ref="J76" dT="2023-12-04T16:55:28.45" personId="{029BEE2B-5882-4626-9FE7-8F2FFF745B94}" id="{65D28D00-DB08-4A06-8F29-32C3B44949ED}">
    <text>7.49 if using all salps</text>
  </threadedComment>
  <threadedComment ref="K76" dT="2023-12-04T16:55:54.89" personId="{029BEE2B-5882-4626-9FE7-8F2FFF745B94}" id="{60FC6B95-2DB7-459A-90B5-693C2EBE98C0}">
    <text>1.19 if using all salps</text>
  </threadedComment>
</ThreadedComments>
</file>

<file path=xl/threadedComments/threadedComment5.xml><?xml version="1.0" encoding="utf-8"?>
<ThreadedComments xmlns="http://schemas.microsoft.com/office/spreadsheetml/2018/threadedcomments" xmlns:x="http://schemas.openxmlformats.org/spreadsheetml/2006/main">
  <threadedComment ref="D3" dT="2024-02-07T19:08:29.17" personId="{029BEE2B-5882-4626-9FE7-8F2FFF745B94}" id="{9CCB5D3E-705A-4986-A285-3CD2614CFFAE}">
    <text>Note that because cycle 1 was split into 2 subcycles, all following values are (wherever possible) the weighted average of the two subcycles weighted by their duration.</text>
  </threadedComment>
  <threadedComment ref="E3" dT="2024-02-07T19:08:29.17" personId="{029BEE2B-5882-4626-9FE7-8F2FFF745B94}" id="{70EA66CC-4BFE-437C-9A2F-412F768BE6C5}">
    <text>Note that because cycle 1 was split into 2 subcycles, all following values are (wherever possible) the weighted average of the two subcycles weighted by their duration.</text>
  </threadedComment>
  <threadedComment ref="B4" dT="2024-01-19T14:39:04.35" personId="{029BEE2B-5882-4626-9FE7-8F2FFF745B94}" id="{C2DC3717-6255-4F23-93F1-9EA936D798AE}">
    <text>Flux to 70m, the base(ish) of the euphotic zone</text>
  </threadedComment>
  <threadedComment ref="B5" dT="2024-02-02T15:40:39.27" personId="{029BEE2B-5882-4626-9FE7-8F2FFF745B94}" id="{5A4BD411-7E7B-4884-874D-4D223A39ADF5}">
    <text>Note that the summed NPP of the 3 phytoplankton groups via dilution method exceeds 14C NPP. We trust the latter more , so the given value is calculated from the total 14C NPP and the proportion of FCyt NPP attributable to the group.</text>
  </threadedComment>
  <threadedComment ref="B7" dT="2023-08-10T14:09:29.74" personId="{029BEE2B-5882-4626-9FE7-8F2FFF745B94}" id="{1ACBB65C-608B-4A2F-9D49-8807536DDEB2}">
    <text>Both diatom NPP and Mortality are subject to a variety of assumptions. They are calculated using FlowCam biomass with the missing values at the surface assumed to be same as at 12 m, missing values at depth assumed to be proportional to chemtax fuco chl, and values in between assumed to be linearly related to the biomasses we have. Instantaneous growth and grazing rates come from those of fucoxanthin HPLC</text>
  </threadedComment>
  <threadedComment ref="B11" dT="2023-07-17T14:54:26.03" personId="{029BEE2B-5882-4626-9FE7-8F2FFF745B94}" id="{A9ACE641-E49C-4137-A6E6-399B4FAA7235}">
    <text>From HPLC of Total Chl a of minidilution experiments</text>
  </threadedComment>
  <threadedComment ref="B12" dT="2023-07-04T15:51:38.24" personId="{029BEE2B-5882-4626-9FE7-8F2FFF745B94}" id="{AFCEB961-B027-4798-8534-5F47F34C3E5D}">
    <text>Grazing in ug chl/h comes from chl content per sample * a temperature dependent feeding rate from Dam and Peterson using the temperature at 25 meters. Because daytime grazing rates were often higher than nighttime, we estimated resident vs migrant contributions to total grazing based on time spent in the euphotic zone and relative proportion of the total biomass.</text>
  </threadedComment>
  <threadedComment ref="C12" dT="2023-07-06T13:53:22.47" personId="{029BEE2B-5882-4626-9FE7-8F2FFF745B94}" id="{B89B69F9-D7D2-4165-A6C4-FFF02C2FAFD8}">
    <text>Requires an accurate C:Chl to convert to C and then N units. Waiting on Andres</text>
  </threadedComment>
  <threadedComment ref="B13" dT="2024-01-19T14:43:48.25" personId="{029BEE2B-5882-4626-9FE7-8F2FFF745B94}" id="{34602274-7729-48E6-8071-3FB763683408}">
    <text>DVM portion of the community determined through difference between day and night biomass. Day=nonDVM, Night-Day=DVM. DVM are assumed to spend 12 hours at DVM depth (typically ~200 meters) and contribute to deep nutrient pools during that time.</text>
  </threadedComment>
  <threadedComment ref="C14" dT="2023-07-06T13:53:59.18" personId="{029BEE2B-5882-4626-9FE7-8F2FFF745B94}" id="{94D87753-A559-482E-A8E6-F3B6DB2562C3}">
    <text>Requires an accurate C:Chl to convert to C and then N units. Waiting on Andres</text>
  </threadedComment>
  <threadedComment ref="B16" dT="2024-01-18T16:14:24.19" personId="{029BEE2B-5882-4626-9FE7-8F2FFF745B94}" id="{C58E3464-C691-4735-A596-A6AEDD335689}">
    <text>Salps were collected using double oblique Bongo tows, with 0.7m diameter frames equipped with 202 µm nets, General Oceanics flow meters, and an RBR temperature depth recorder. Salp specimens (typically 10) from each tow had their guts excised, and chl a and phaeopigments gut contents were measured. A power function was used to fit the size-specific Gpig (chl a + phaeo) contents for each tow, allowing the estimation of Gpig for each size bin per tow, and this was multiplied by the abundance in each size bin. Gut passage time (GPT) was calculated using a modified equation, based on (von Harbou, Dubischar et al. 2011 doi:10.1007/s00227-011-1709-4) where GPT(h) = 2.607*ln(OAL, mm) - 2.6. Grazing was estimated as: G (h-1) = Gpig /GPT, and scaled using a Q10=2. Daily salp grazing rates were obtained by assuming 14 h of day and 10 h of night, coincident with the times and latitudes at which we sampled these communities during the Salp Particle expOrt and Ocean Production (SalpPOOP) campaign. Cycle estimates were calculated by first averaging all day and all night tows separately, and then adding the two estimates.</text>
  </threadedComment>
  <threadedComment ref="B17" dT="2024-02-05T20:05:26.85" personId="{029BEE2B-5882-4626-9FE7-8F2FFF745B94}" id="{AAC3782E-B926-4948-87E7-9833CB33B981}">
    <text xml:space="preserve">Inferred from Moira's Gut Chl based on salp carnivory via trophic level. </text>
  </threadedComment>
  <threadedComment ref="D17" dT="2024-02-05T18:35:04.47" personId="{029BEE2B-5882-4626-9FE7-8F2FFF745B94}" id="{941EA1E5-9BF6-4B58-8DF6-847394E0F3E4}">
    <text>The typed value here is the cycle averaged proportion of salp diet autotrophy followed by heterotrophy based on CSIAA trophic level (a TL of 2.4 implies ~40% heterotrophy for example)</text>
  </threadedComment>
  <threadedComment ref="F17" dT="2024-02-05T20:17:06.93" personId="{029BEE2B-5882-4626-9FE7-8F2FFF745B94}" id="{7F145528-EF6A-4490-A3FD-859C9EC07C81}">
    <text>Note that because Cycle 3 was a nonsalp cycle with no trophic level data, I use the mean of Cycles 1, 2, and 4.</text>
  </threadedComment>
  <threadedComment ref="H17" dT="2024-02-05T20:17:53.24" personId="{029BEE2B-5882-4626-9FE7-8F2FFF745B94}" id="{419F9943-099E-4C0E-AB82-E9F10319FE63}">
    <text>This value has no standard deviation because it is a single sample from cycle 5. The other 3 had TL&lt;2 which is not possible and were therefore discarded.</text>
  </threadedComment>
  <threadedComment ref="B18" dT="2024-01-18T16:15:12.63" personId="{029BEE2B-5882-4626-9FE7-8F2FFF745B94}" id="{ADF02867-C0D8-4B94-B081-0903C74A3AFD}">
    <text>The above number multiplied by the fraction of gut biomass made up by BLPs</text>
  </threadedComment>
  <threadedComment ref="D18" dT="2024-02-05T20:08:13.96" personId="{029BEE2B-5882-4626-9FE7-8F2FFF745B94}" id="{BB7F7615-C5DA-479D-87B1-CEA2D67C9F5E}">
    <text>The typed value here is cycle averaged proportion of all salp gut biomass made up by BLPs.</text>
  </threadedComment>
  <threadedComment ref="H18" dT="2024-02-05T20:55:26.34" personId="{029BEE2B-5882-4626-9FE7-8F2FFF745B94}" id="{C967B7E5-B87C-4076-9820-3EAA15A05E36}">
    <text>Because no salp samples were collected from cycle 5, taking the average of the other 4 cycles.</text>
  </threadedComment>
  <threadedComment ref="B19" dT="2024-01-18T16:16:19.67" personId="{029BEE2B-5882-4626-9FE7-8F2FFF745B94}" id="{C9BA34AA-2FA0-4D8B-85F2-2BF9848369DB}">
    <text>As above but proportion of diatoms in guts</text>
  </threadedComment>
  <threadedComment ref="B20" dT="2024-01-18T16:17:24.93" personId="{029BEE2B-5882-4626-9FE7-8F2FFF745B94}" id="{D5999947-E81C-4BEB-9DF9-A1E205AA0161}">
    <text>As above but multiplied by proportion of everything else (hnf, flag, mic).</text>
  </threadedComment>
  <threadedComment ref="B21" dT="2024-04-18T19:00:51.47" personId="{029BEE2B-5882-4626-9FE7-8F2FFF745B94}" id="{1EEB4A6C-D089-485F-A176-881563613CBB}">
    <text>Determined from grazing rates assuming an egestion efficiency of 0.36 (Huntley, Sykes et al. 1989).</text>
  </threadedComment>
  <threadedComment ref="F21" dT="2024-02-09T14:49:38.86" personId="{029BEE2B-5882-4626-9FE7-8F2FFF745B94}" id="{D22C9C99-A074-4F46-A6F3-684850BB7980}">
    <text xml:space="preserve">Because no data is available for Cycles 3 and 5, divided Cycle 1, 2, and 4 production by the salp biomass from each tow to get a per unit biomass rate (again for day and night separately). Then multiplied this by the observed day/night salp biomass for Cycles 3 and 5. </text>
  </threadedComment>
  <threadedComment ref="H21" dT="2024-04-22T17:56:39.57" personId="{029BEE2B-5882-4626-9FE7-8F2FFF745B94}" id="{3867F6CE-A3FD-4FCE-AC40-4BC56BCBABC4}">
    <text xml:space="preserve">Because no data is available for Cycles 3 and 5, divided Cycle 1, 2, and 4 production by the salp biomass from each tow to get a per unit biomass rate (again for day and night separately). Then multiplied this by the observed day/night salp biomass for Cycles 3 and 5. </text>
  </threadedComment>
  <threadedComment ref="B22" dT="2024-04-18T15:16:06.40" personId="{029BEE2B-5882-4626-9FE7-8F2FFF745B94}" id="{82AA13F3-5C45-4E06-9A42-E83EF6865095}">
    <text>Vertically integrated from Fenella Dean's tritiated leucine incorporation.</text>
  </threadedComment>
  <threadedComment ref="B23" dT="2024-07-08T18:02:17.92" personId="{029BEE2B-5882-4626-9FE7-8F2FFF745B94}" id="{18B75EAD-5FF0-4933-AFD6-2762F2ABD1B4}">
    <text>Predicted consumption of fish for each prey type based on Pinkerton 2010 average biomass of both prey and fish in the region + average fish consumption and diet makeup. From this I estimated the average daily portion of prey biomass the fish consumed and multiplied by observed prey biomass per cycle to get a predicted ingestion, plus or minus 50% STD</text>
  </threadedComment>
  <threadedComment ref="B40" dT="2024-04-17T20:56:06.29" personId="{029BEE2B-5882-4626-9FE7-8F2FFF745B94}" id="{C4C27EE8-3E49-45D3-99BE-054E513A5468}">
    <text>Note that because most CTDs do not approach the bottom, this is the temp at 50 m above bottom for only those casts that went that deep.</text>
  </threadedComment>
  <threadedComment ref="B41" dT="2024-04-26T15:22:13.42" personId="{029BEE2B-5882-4626-9FE7-8F2FFF745B94}" id="{70A63800-E5BD-47E2-86F2-D6A4B7B28CEF}">
    <text>Cycle averaged depth 50 meters above bottom for use in estimating rates of demersal fish assuming they spend their time primarily within 100 meters of bottom.</text>
  </threadedComment>
  <threadedComment ref="B42" dT="2024-01-18T16:18:53.69" personId="{029BEE2B-5882-4626-9FE7-8F2FFF745B94}" id="{2D0063C3-3B5F-4E45-8381-6EFDD884A6EB}">
    <text>Considered a minimum rather than an AE due to likelihood of missing some pellets</text>
  </threadedComment>
  <threadedComment ref="B44" dT="2023-08-18T14:35:11.24" personId="{029BEE2B-5882-4626-9FE7-8F2FFF745B94}" id="{98688A4C-2A5F-4F40-86FE-88E78D3D9E85}">
    <text>Note that the large phyto biomasses come from FlowCam and are therefore integrated to the deepest FlowCam depth (typically the DCM or within the mixed layer if there was no DCM). Therefore they are likely underestimates of the true biomass for cycles where the euphotic zone extends past the DCM.</text>
  </threadedComment>
  <threadedComment ref="B44" dT="2024-04-23T19:23:56.48" personId="{029BEE2B-5882-4626-9FE7-8F2FFF745B94}" id="{06C14CAA-EC50-411C-8E6E-B810527B430C}" parentId="{98688A4C-2A5F-4F40-86FE-88E78D3D9E85}">
    <text xml:space="preserve">Also note that since these biomasses were not subject to the same issues as the pigments, they are averaged over a larger number of casts for Cycles 1 and 2. This leads to notably higher average biomasses in Cycle 1 than if averaging over only over the casts NPP was taken from (about twice what they would be otherwise) since 14C/pigments missed many of the earlier high productivity casts. </text>
  </threadedComment>
  <threadedComment ref="B48" dT="2024-04-23T19:55:54.95" personId="{029BEE2B-5882-4626-9FE7-8F2FFF745B94}" id="{7EF11D59-F8BA-4DEA-810E-8C97DA7740CC}">
    <text>Via C:N combustion of size fractionated zooplankton biomass.</text>
  </threadedComment>
  <threadedComment ref="D48" dT="2023-06-29T14:50:13.53" personId="{029BEE2B-5882-4626-9FE7-8F2FFF745B94}" id="{9F56F982-C10B-4ACD-98FE-C391BC76405F}">
    <text>Note the daytime biomass here is higher than nighttime, which is not reflected in the bulk dry weight. Could alternatively use dry weight values instead assuming 40% carbon conversion and RR to nitrogen.</text>
  </threadedComment>
  <threadedComment ref="B52" dT="2023-12-08T18:56:45.05" personId="{029BEE2B-5882-4626-9FE7-8F2FFF745B94}" id="{1E0A267D-A8D3-4D11-8525-F0AC8F85A70F}">
    <text>This will eventually come from Zooscan and allows me to link respiration and max ingestion inequalities.</text>
  </threadedComment>
  <threadedComment ref="B53" dT="2023-12-08T18:56:55.89" personId="{029BEE2B-5882-4626-9FE7-8F2FFF745B94}" id="{90AC717E-84F5-43CB-B532-67C40160EA01}">
    <text>This will eventually come from Zooscan and allows me to link respiration and max ingestion inequalities.</text>
  </threadedComment>
  <threadedComment ref="B54" dT="2024-01-30T16:17:50.93" personId="{029BEE2B-5882-4626-9FE7-8F2FFF745B94}" id="{BACBC46A-1EE3-4AED-BD17-6AC9789B7FA1}">
    <text>Summed biomass of all salps collected in all bongo tows of a given cycle, averaged over that cycle</text>
  </threadedComment>
  <threadedComment ref="D54" dT="2023-06-21T18:32:25.34" personId="{029BEE2B-5882-4626-9FE7-8F2FFF745B94}" id="{81A6FFC7-66C7-4DC5-960D-588BBDF06A9E}">
    <text>Note this is for all salps, not just ST.</text>
  </threadedComment>
  <threadedComment ref="B56" dT="2024-06-03T14:10:49.50" personId="{029BEE2B-5882-4626-9FE7-8F2FFF745B94}" id="{17E56F62-31E4-4AE3-B05C-67E6D448429A}">
    <text>These are Pinkerton average biomasses scaled to the difference in average prey concentrations vs what we observed in each cycle. Thus they assume a roughly linear relationship between prey and biomass. Utilizing them for Iguchi respiration and Kiorboe total ingestion is thus equivalent to the assumption made for Pinkerton prey-specific max ingestions.</text>
  </threadedComment>
  <threadedComment ref="D56" dT="2023-06-21T18:12:08.06" personId="{029BEE2B-5882-4626-9FE7-8F2FFF745B94}" id="{33A54FCB-B719-47C1-80EF-2583490277A2}">
    <text>Mesopelagic fish (myctophids) from Pinkerton 2011</text>
  </threadedComment>
  <threadedComment ref="D57" dT="2023-06-21T18:25:53.51" personId="{029BEE2B-5882-4626-9FE7-8F2FFF745B94}" id="{A660FF5C-B048-44FE-AADB-F92BFCAEB633}">
    <text>Hoki from Pinkerton 2011</text>
  </threadedComment>
  <threadedComment ref="D58" dT="2023-06-21T18:12:50.39" personId="{029BEE2B-5882-4626-9FE7-8F2FFF745B94}" id="{3ECD4FE0-5663-4632-AA56-4C098D9393FE}">
    <text>S_oreo + warehou from Pinkerton 2011</text>
  </threadedComment>
  <threadedComment ref="B62" dT="2023-08-02T20:07:35.22" personId="{029BEE2B-5882-4626-9FE7-8F2FFF745B94}" id="{11A817C4-3559-4E0C-BF47-EA4614921D24}">
    <text xml:space="preserve">Average size of mesozooplankton paramterized as the calanoid copepod Pleuromamma scutullata per Yamaguchi and Ikeda 2000 (Bradford-Grieve actually says P. glacialis but it's at least the same genera). DW (ug) = 18.91*1mm^2.723 = 18.91 ug DW * .4 = 7.564 ug C = 0.007564 mg C
</text>
  </threadedComment>
  <threadedComment ref="B63" dT="2023-12-08T19:26:46.64" personId="{029BEE2B-5882-4626-9FE7-8F2FFF745B94}" id="{8E2AFBAF-2414-4DCE-A088-04B265045A01}">
    <text>As the mean of all 4 life stages of Euphausia lucens in the Benguela Current. Alternatively we have mean of only adults at 1.499 +_ 0.299</text>
  </threadedComment>
  <threadedComment ref="B64" dT="2023-12-08T19:28:20.28" personId="{029BEE2B-5882-4626-9FE7-8F2FFF745B94}" id="{846AD678-B5D6-4B37-8410-814E85221315}">
    <text>As Themisto gaudichaudii from a high chl region off South Georgia (Kruse et al 2015) assuming a 40% DW to C conversion.</text>
  </threadedComment>
  <threadedComment ref="D65" dT="2024-04-26T19:23:18.32" personId="{029BEE2B-5882-4626-9FE7-8F2FFF745B94}" id="{6F5F4141-D7D4-4C72-A262-3A226333AE31}">
    <text>As the mean of all Siphonophores, Ctenophores, and cnidarians in the Zooscan.</text>
  </threadedComment>
  <threadedComment ref="B66" personId="{FE6090A8-A567-4AB1-A17C-139FAB253329}" id="{74125085-53C3-4F66-BD1D-7AA2FE20E8EC}">
    <text xml:space="preserve">From Pinkerton 2011. Ikeda 2016 equation for oxygen respiration and O:N ratio can take WW as we all C mass
</text>
  </threadedComment>
  <threadedComment ref="B67" personId="{FE6090A8-A567-4AB1-A17C-139FAB253329}" id="{240D22DD-848B-40DD-BC7B-5C890572E3C3}">
    <text>As Hoki using median length and W:L conversion from Connell et al 2010</text>
  </threadedComment>
  <threadedComment ref="B68" personId="{FE6090A8-A567-4AB1-A17C-139FAB253329}" id="{52052AD8-6D4A-4E38-8D5C-B3C9C72FAE86}">
    <text>As Smooth Oreo with mean length from Coombs and Barr, 2004 and W:L from Clark et al. 1999</text>
  </threadedComment>
  <threadedComment ref="B69" dT="2024-04-18T18:25:11.20" personId="{029BEE2B-5882-4626-9FE7-8F2FFF745B94}" id="{DF2E3DC2-96DF-488C-8E02-054DB81C3B6A}">
    <text>From Iguchi and Ikeda's salp respiration regressions based on body length, using midpoints of size binned bongo salp abundance from Moira. Values were calculated per tow and converted to per day assuming 14 daylight hours and 10 night time hours (adding the average of day and night respiration).</text>
  </threadedComment>
  <threadedComment ref="B74" dT="2023-12-04T16:46:30.79" personId="{029BEE2B-5882-4626-9FE7-8F2FFF745B94}" id="{26ED14B4-41FB-4165-ACFD-50D3D75FC28B}">
    <text>Currently displayed is just ST bodies</text>
  </threadedComment>
  <threadedComment ref="D74" dT="2023-12-04T16:46:55.86" personId="{029BEE2B-5882-4626-9FE7-8F2FFF745B94}" id="{CBAD4358-0055-4C58-BEDA-BE9368591D9F}">
    <text>2.57 if using all salps</text>
  </threadedComment>
  <threadedComment ref="E74" dT="2023-12-04T16:54:38.15" personId="{029BEE2B-5882-4626-9FE7-8F2FFF745B94}" id="{ECC9760A-5265-4879-86FC-3CE67DA28908}">
    <text>1.30 if using all salps</text>
  </threadedComment>
  <threadedComment ref="G74" dT="2023-12-04T16:55:28.45" personId="{029BEE2B-5882-4626-9FE7-8F2FFF745B94}" id="{C1C939B4-6653-4E68-BED3-A687ED1EBF40}">
    <text>7.49 if using all salps</text>
  </threadedComment>
</ThreadedComments>
</file>

<file path=xl/threadedComments/threadedComment6.xml><?xml version="1.0" encoding="utf-8"?>
<ThreadedComments xmlns="http://schemas.microsoft.com/office/spreadsheetml/2018/threadedcomments" xmlns:x="http://schemas.openxmlformats.org/spreadsheetml/2006/main">
  <threadedComment ref="D3" dT="2024-02-07T19:08:29.17" personId="{029BEE2B-5882-4626-9FE7-8F2FFF745B94}" id="{F16C16F8-9A86-40AD-89A4-71BBDC5E2CC0}">
    <text>Note that because cycle 1 was split into 2 subcycles, all following values are (wherever possible) the weighted average of the two subcycles weighted by their duration.</text>
  </threadedComment>
  <threadedComment ref="B4" dT="2024-01-19T14:39:04.35" personId="{029BEE2B-5882-4626-9FE7-8F2FFF745B94}" id="{3615A3E5-5B24-4495-9F66-0CCC8208C332}">
    <text>Flux to 70m, the base(ish) of the euphotic zone</text>
  </threadedComment>
  <threadedComment ref="B5" dT="2024-02-02T15:40:39.27" personId="{029BEE2B-5882-4626-9FE7-8F2FFF745B94}" id="{42062DB3-A5A2-4176-9BFA-016F374452BE}">
    <text>Note that the summed NPP of the 3 phytoplankton groups via dilution method exceeds 14C NPP. We trust the latter more , so the given value is calculated from the total 14C NPP and the proportion of FCyt NPP attributable to the group.</text>
  </threadedComment>
  <threadedComment ref="B7" dT="2023-08-10T14:09:29.74" personId="{029BEE2B-5882-4626-9FE7-8F2FFF745B94}" id="{D4991C9A-403B-4AA7-AEE8-18D645FE425E}">
    <text>Both diatom NPP and Mortality are subject to a variety of assumptions. They are calculated using FlowCam biomass with the missing values at the surface assumed to be same as at 12 m, missing values at depth assumed to be proportional to chemtax fuco chl, and values in between assumed to be linearly related to the biomasses we have. Instantaneous growth and grazing rates come from those of fucoxanthin HPLC</text>
  </threadedComment>
  <threadedComment ref="B11" dT="2023-07-17T14:54:26.03" personId="{029BEE2B-5882-4626-9FE7-8F2FFF745B94}" id="{254D3E1A-4078-4C75-ABC6-33992FF6235D}">
    <text>From HPLC of Total Chl a of minidilution experiments</text>
  </threadedComment>
  <threadedComment ref="B12" dT="2023-07-04T15:51:38.24" personId="{029BEE2B-5882-4626-9FE7-8F2FFF745B94}" id="{6BB89085-6A2A-423B-BCE3-C60DABAF1E77}">
    <text>Grazing in ug chl/h comes from chl content per sample * a temperature dependent feeding rate from Dam and Peterson using the temperature at 25 meters. Because daytime grazing rates were often higher than nighttime, we estimated resident vs migrant contributions to total grazing based on time spent in the euphotic zone and relative proportion of the total biomass.</text>
  </threadedComment>
  <threadedComment ref="C12" dT="2023-07-06T13:53:22.47" personId="{029BEE2B-5882-4626-9FE7-8F2FFF745B94}" id="{793C72A3-0809-402C-840D-2BB291A1A2CB}">
    <text>Requires an accurate C:Chl to convert to C and then N units. Waiting on Andres</text>
  </threadedComment>
  <threadedComment ref="B13" dT="2024-01-19T14:43:48.25" personId="{029BEE2B-5882-4626-9FE7-8F2FFF745B94}" id="{4DD09F1B-248A-44EA-A702-FF8FE655B490}">
    <text>DVM portion of the community determined through difference between day and night biomass. Day=nonDVM, Night-Day=DVM. DVM are assumed to spend 12 hours at DVM depth (typically ~200 meters) and contribute to deep nutrient pools during that time.</text>
  </threadedComment>
  <threadedComment ref="C14" dT="2023-07-06T13:53:59.18" personId="{029BEE2B-5882-4626-9FE7-8F2FFF745B94}" id="{73106767-2AD1-4461-8864-A3A1B2291F28}">
    <text>Requires an accurate C:Chl to convert to C and then N units. Waiting on Andres</text>
  </threadedComment>
  <threadedComment ref="B16" dT="2024-01-18T16:14:24.19" personId="{029BEE2B-5882-4626-9FE7-8F2FFF745B94}" id="{E6F265A6-E2AF-4FAE-BA45-8FD5CA48944C}">
    <text>Salps were collected using double oblique Bongo tows, with 0.7m diameter frames equipped with 202 µm nets, General Oceanics flow meters, and an RBR temperature depth recorder. Salp specimens (typically 10) from each tow had their guts excised, and chl a and phaeopigments gut contents were measured. A power function was used to fit the size-specific Gpig (chl a + phaeo) contents for each tow, allowing the estimation of Gpig for each size bin per tow, and this was multiplied by the abundance in each size bin. Gut passage time (GPT) was calculated using a modified equation, based on (von Harbou, Dubischar et al. 2011 doi:10.1007/s00227-011-1709-4) where GPT(h) = 2.607*ln(OAL, mm) - 2.6. Grazing was estimated as: G (h-1) = Gpig /GPT, and scaled using a Q10=2. Daily salp grazing rates were obtained by assuming 14 h of day and 10 h of night, coincident with the times and latitudes at which we sampled these communities during the Salp Particle expOrt and Ocean Production (SalpPOOP) campaign. Cycle estimates were calculated by first averaging all day and all night tows separately, and then adding the two estimates.</text>
  </threadedComment>
  <threadedComment ref="B17" dT="2024-02-05T20:05:26.85" personId="{029BEE2B-5882-4626-9FE7-8F2FFF745B94}" id="{0216443C-6BFC-4409-8285-45014CC4CE91}">
    <text xml:space="preserve">Inferred from Moira's Gut Chl based on salp carnivory via trophic level. </text>
  </threadedComment>
  <threadedComment ref="D17" dT="2024-02-05T18:35:04.47" personId="{029BEE2B-5882-4626-9FE7-8F2FFF745B94}" id="{17241F1C-3267-4E6A-AFB4-1D8BD61947F7}">
    <text>The typed value here is the cycle averaged proportion of salp diet autotrophy followed by heterotrophy based on CSIAA trophic level (a TL of 2.4 implies ~40% heterotrophy for example)</text>
  </threadedComment>
  <threadedComment ref="E17" dT="2024-02-05T18:35:45.34" personId="{029BEE2B-5882-4626-9FE7-8F2FFF745B94}" id="{61420CDF-0747-4B92-8522-FD115B5ED090}">
    <text>The typed values are, in order, the SD of herbivory, herbivory fraction, SD of carnivory, carnivory fraction.</text>
  </threadedComment>
  <threadedComment ref="H17" dT="2024-02-05T20:17:06.93" personId="{029BEE2B-5882-4626-9FE7-8F2FFF745B94}" id="{43FE8B26-75EC-4631-95F0-33E22063B2C3}">
    <text>Note that because Cycle 3 was a nonsalp cycle with no trophic level data, I use the mean of Cycles 1, 2, and 4.</text>
  </threadedComment>
  <threadedComment ref="L17" dT="2024-02-05T20:17:53.24" personId="{029BEE2B-5882-4626-9FE7-8F2FFF745B94}" id="{3E4340FA-98BD-41D5-80E1-D5DCD2B7116F}">
    <text>This value has no standard deviation because it is a single sample from cycle 5. The other 3 had TL&lt;2 which is not possible and were therefore discarded.</text>
  </threadedComment>
  <threadedComment ref="B18" dT="2024-01-18T16:15:12.63" personId="{029BEE2B-5882-4626-9FE7-8F2FFF745B94}" id="{B9AFB68A-A2CE-4B00-B3C4-C8E14D2F9DFE}">
    <text>The above number multiplied by the fraction of gut biomass made up by BLPs</text>
  </threadedComment>
  <threadedComment ref="D18" dT="2024-02-05T20:08:13.96" personId="{029BEE2B-5882-4626-9FE7-8F2FFF745B94}" id="{C79A8F75-1CC8-49DF-BAEB-B5D0FDB405EE}">
    <text>The typed value here is cycle averaged proportion of all salp gut biomass made up by BLPs.</text>
  </threadedComment>
  <threadedComment ref="E18" dT="2024-02-05T20:09:01.31" personId="{029BEE2B-5882-4626-9FE7-8F2FFF745B94}" id="{9F134BC2-C6DD-44CC-93F7-A1A92705E836}">
    <text>Typed values are PicoFractSD and PicoFract</text>
  </threadedComment>
  <threadedComment ref="L18" dT="2024-02-05T20:55:26.34" personId="{029BEE2B-5882-4626-9FE7-8F2FFF745B94}" id="{585CABD5-0283-4D0D-82C9-28373A6EF8EF}">
    <text>Because no salp samples were collected from cycle 5, taking the average of the other 4 cycles.</text>
  </threadedComment>
  <threadedComment ref="B19" dT="2024-01-18T16:16:19.67" personId="{029BEE2B-5882-4626-9FE7-8F2FFF745B94}" id="{AF9B3476-23CE-484B-BE2C-94B89ACC57D1}">
    <text>As above but proportion of diatoms in guts</text>
  </threadedComment>
  <threadedComment ref="B20" dT="2024-01-18T16:17:24.93" personId="{029BEE2B-5882-4626-9FE7-8F2FFF745B94}" id="{CAB5F5AE-D287-48EE-BD90-C9ED92492F7F}">
    <text>As above but multiplied by proportion of everything else (hnf, flag, mic).</text>
  </threadedComment>
  <threadedComment ref="B21" dT="2024-04-18T19:00:51.47" personId="{029BEE2B-5882-4626-9FE7-8F2FFF745B94}" id="{2A638042-83B3-4938-A0B1-CE55B1E7203F}">
    <text>Determined from grazing rates assuming an egestion efficiency of 0.36 (Huntley, Sykes et al. 1989).</text>
  </threadedComment>
  <threadedComment ref="H21" dT="2024-02-09T14:49:38.86" personId="{029BEE2B-5882-4626-9FE7-8F2FFF745B94}" id="{750BBD2C-467B-4AAD-8D55-20C072EB00AB}">
    <text xml:space="preserve">Because no data is available for Cycles 3 and 5, divided Cycle 1, 2, and 4 production by the salp biomass from each tow to get a per unit biomass rate (again for day and night separately). Then multiplied this by the observed day/night salp biomass for Cycles 3 and 5. </text>
  </threadedComment>
  <threadedComment ref="L21" dT="2024-04-22T17:56:39.57" personId="{029BEE2B-5882-4626-9FE7-8F2FFF745B94}" id="{2C488A87-BE61-4179-B1BD-349F7D8DB258}">
    <text xml:space="preserve">Because no data is available for Cycles 3 and 5, divided Cycle 1, 2, and 4 production by the salp biomass from each tow to get a per unit biomass rate (again for day and night separately). Then multiplied this by the observed day/night salp biomass for Cycles 3 and 5. </text>
  </threadedComment>
  <threadedComment ref="B22" dT="2024-04-18T15:16:06.40" personId="{029BEE2B-5882-4626-9FE7-8F2FFF745B94}" id="{DAFFA865-B68C-4C1E-B39D-7B284940708E}">
    <text>Vertically integrated from Fenella Dean's tritiated leucine incorporation.</text>
  </threadedComment>
  <threadedComment ref="B27" dT="2024-04-17T20:56:06.29" personId="{029BEE2B-5882-4626-9FE7-8F2FFF745B94}" id="{8FD8985B-FE3B-4796-8136-D14D18D2D6D2}">
    <text>Note that because most CTDs do not approach the bottom, this is the temp at 50 m above bottom for only those casts that went that deep.</text>
  </threadedComment>
  <threadedComment ref="B28" dT="2024-04-26T15:22:13.42" personId="{029BEE2B-5882-4626-9FE7-8F2FFF745B94}" id="{20BF6492-85B2-4B06-BE98-7E536702C219}">
    <text>Cycle averaged depth 50 meters above bottom for use in estimating rates of demersal fish assuming they spend their time primarily within 100 meters of bottom.</text>
  </threadedComment>
  <threadedComment ref="B29" dT="2024-01-18T16:18:53.69" personId="{029BEE2B-5882-4626-9FE7-8F2FFF745B94}" id="{BD8BBC4C-9B73-4F78-99CD-83588B461FB5}">
    <text>Considered a minimum rather than an AE due to likelihood of missing some pellets</text>
  </threadedComment>
  <threadedComment ref="B31" dT="2023-08-18T14:35:11.24" personId="{029BEE2B-5882-4626-9FE7-8F2FFF745B94}" id="{F29BC56D-18B9-4AC1-9B96-E53259A3FAF1}">
    <text>Note that the large phyto biomasses come from FlowCam and are therefore integrated to the deepest FlowCam depth (typically the DCM or within the mixed layer if there was no DCM). Therefore they are likely underestimates of the true biomass for cycles where the euphotic zone extends past the DCM.</text>
  </threadedComment>
  <threadedComment ref="B31" dT="2024-04-23T19:23:56.48" personId="{029BEE2B-5882-4626-9FE7-8F2FFF745B94}" id="{2FB99FB1-4473-4600-B276-9F6588999407}" parentId="{F29BC56D-18B9-4AC1-9B96-E53259A3FAF1}">
    <text xml:space="preserve">Also note that since these biomasses were not subject to the same issues as the pigments, they are averaged over a larger number of casts for Cycles 1 and 2. This leads to notably higher average biomasses in Cycle 1 than if averaging over only over the casts NPP was taken from (about twice what they would be otherwise) since 14C/pigments missed many of the earlier high productivity casts. </text>
  </threadedComment>
  <threadedComment ref="B35" dT="2024-04-23T19:55:54.95" personId="{029BEE2B-5882-4626-9FE7-8F2FFF745B94}" id="{7BFA0B25-EABE-452E-8D16-E615D4E59640}">
    <text>Via C:N combustion of size fractionated zooplankton biomass.</text>
  </threadedComment>
  <threadedComment ref="D35" dT="2023-06-29T14:50:13.53" personId="{029BEE2B-5882-4626-9FE7-8F2FFF745B94}" id="{9FE02664-F3D7-4A2B-B06E-242B5B617565}">
    <text>Note the daytime biomass here is higher than nighttime, which is not reflected in the bulk dry weight. Could alternatively use dry weight values instead assuming 40% carbon conversion and RR to nitrogen.</text>
  </threadedComment>
  <threadedComment ref="B39" dT="2023-12-08T18:56:45.05" personId="{029BEE2B-5882-4626-9FE7-8F2FFF745B94}" id="{79C16B8F-C7E1-4927-9EBC-BFCEF906A4DA}">
    <text>This will eventually come from Zooscan and allows me to link respiration and max ingestion inequalities.</text>
  </threadedComment>
  <threadedComment ref="B40" dT="2023-12-08T18:56:55.89" personId="{029BEE2B-5882-4626-9FE7-8F2FFF745B94}" id="{7FEDAD25-CC14-4DF1-87CC-279BCF1E1E58}">
    <text>This will eventually come from Zooscan and allows me to link respiration and max ingestion inequalities.</text>
  </threadedComment>
  <threadedComment ref="B41" dT="2024-01-30T16:17:50.93" personId="{029BEE2B-5882-4626-9FE7-8F2FFF745B94}" id="{81AD1097-8946-472E-AA5A-63E59964EF42}">
    <text>Summed biomass of all salps collected in all bongo tows of a given cycle, averaged over that cycle</text>
  </threadedComment>
  <threadedComment ref="D41" dT="2023-06-21T18:32:25.34" personId="{029BEE2B-5882-4626-9FE7-8F2FFF745B94}" id="{FCE2B959-F8B9-43FF-9F8A-E8AB1D1F6797}">
    <text>Note this is for all salps, not just ST.</text>
  </threadedComment>
  <threadedComment ref="B43" dT="2024-06-03T14:10:49.50" personId="{029BEE2B-5882-4626-9FE7-8F2FFF745B94}" id="{33917172-7AC9-4205-B92F-FAD690A59541}">
    <text>These are Pinkerton average biomasses scaled to the difference in average prey concentrations vs what we observed in each cycle. Thus they assume a roughly linear relationship between prey and biomass. Utilizing them for Iguchi respiration and Kiorboe total ingestion is thus equivalent to the assumption made for Pinkerton prey-specific max ingestions.</text>
  </threadedComment>
  <threadedComment ref="D43" dT="2023-06-21T18:12:08.06" personId="{029BEE2B-5882-4626-9FE7-8F2FFF745B94}" id="{4503B7AE-8748-4729-9189-035947F32648}">
    <text>Mesopelagic fish (myctophids) from Pinkerton 2011</text>
  </threadedComment>
  <threadedComment ref="D44" dT="2023-06-21T18:25:53.51" personId="{029BEE2B-5882-4626-9FE7-8F2FFF745B94}" id="{B5AE1E9C-E647-48EB-B651-CCD3C5217E17}">
    <text>Hoki from Pinkerton 2011</text>
  </threadedComment>
  <threadedComment ref="D45" dT="2023-06-21T18:12:50.39" personId="{029BEE2B-5882-4626-9FE7-8F2FFF745B94}" id="{D5A41870-5EFC-493E-A8FC-19D207C865E9}">
    <text>S_oreo + warehou from Pinkerton 2011</text>
  </threadedComment>
  <threadedComment ref="B46" dT="2024-05-13T14:58:45.63" personId="{029BEE2B-5882-4626-9FE7-8F2FFF745B94}" id="{B2C14483-C304-4DAA-8EA4-E2068CF8FCF5}">
    <text>These are predicted min consumption rates based on values collated by Pinkerton. Each is calculated as the average consumption of a given prey item divided by the average standing stock of that prey item, giving the proportion of the prey community the average density of predators would graze per day, multiplied by the observed biomass of that prey item and a factor of .5.</text>
  </threadedComment>
  <threadedComment ref="B47" dT="2024-04-26T15:41:37.36" personId="{029BEE2B-5882-4626-9FE7-8F2FFF745B94}" id="{6A98B38A-DB47-44CB-8618-39B3503D1E8B}">
    <text>These are predicted maximum consumption rates based on values collated by Pinkerton. Each is calculated as the average consumption of a given prey item divided by the average standing stock of that prey item, giving the proportion of the prey community the average density of predators would graze per day, multiplied by the observed biomass of that prey item and a factor of 2.</text>
  </threadedComment>
  <threadedComment ref="B75" dT="2023-08-02T20:07:35.22" personId="{029BEE2B-5882-4626-9FE7-8F2FFF745B94}" id="{A97993C1-D81C-4CB9-986A-4E3BCDC853D7}">
    <text xml:space="preserve">Average size of mesozooplankton paramterized as the calanoid copepod Pleuromamma scutullata per Yamaguchi and Ikeda 2000 (Bradford-Grieve actually says P. glacialis but it's at least the same genera). DW (ug) = 18.91*1mm^2.723 = 18.91 ug DW * .4 = 7.564 ug C = 0.007564 mg C
</text>
  </threadedComment>
  <threadedComment ref="B76" dT="2023-12-08T19:26:46.64" personId="{029BEE2B-5882-4626-9FE7-8F2FFF745B94}" id="{48AC3F99-0D33-4457-B333-D546ED2DF5AF}">
    <text>As the mean of all 4 life stages of Euphausia lucens in the Benguela Current. Alternatively we have mean of only adults at 1.499 +_ 0.299</text>
  </threadedComment>
  <threadedComment ref="B77" dT="2023-12-08T19:28:20.28" personId="{029BEE2B-5882-4626-9FE7-8F2FFF745B94}" id="{1EF2F650-2DD8-40D9-AA12-ED9980E358BC}">
    <text>As Themisto gaudichaudii from a high chl region off South Georgia (Kruse et al 2015) assuming a 40% DW to C conversion.</text>
  </threadedComment>
  <threadedComment ref="D78" dT="2024-04-26T19:23:18.32" personId="{029BEE2B-5882-4626-9FE7-8F2FFF745B94}" id="{C5731584-FE00-40DD-92E6-B2ED1517DCD3}">
    <text>As the mean of all Siphonophores, Ctenophores, and cnidarians in the Zooscan so far.</text>
  </threadedComment>
  <threadedComment ref="B79" personId="{FE6090A8-A567-4AB1-A17C-139FAB253329}" id="{E63D414D-D2A3-4453-8075-D7951B2DDB00}">
    <text xml:space="preserve">From Pinkerton 2011. Ikeda 2016 equation for oxygen respiration and O:N ratio can take WW as we all C mass
</text>
  </threadedComment>
  <threadedComment ref="B80" personId="{FE6090A8-A567-4AB1-A17C-139FAB253329}" id="{33BBBFF2-FF65-480F-A392-90BA4D3E3E13}">
    <text>As Hoki using median length and W:L conversion from Connell et al 2010</text>
  </threadedComment>
  <threadedComment ref="B81" personId="{FE6090A8-A567-4AB1-A17C-139FAB253329}" id="{5951B85E-2C54-48DF-A0D0-014F3CD425DA}">
    <text>As Smooth Oreo with mean length from Coombs and Barr, 2004 and W:L from Clark et al. 1999</text>
  </threadedComment>
  <threadedComment ref="B82" dT="2024-04-18T18:25:11.20" personId="{029BEE2B-5882-4626-9FE7-8F2FFF745B94}" id="{60DDCF8A-8691-4627-B136-18076439DC5F}">
    <text>From Iguchi and Ikeda's salp respiration regressions based on body length, using midpoints of size binned bongo salp abundance from Moira. Values were calculated per tow and converted to per day assuming 14 daylight hours and 10 night time hours (adding the average of day and night respiration).</text>
  </threadedComment>
  <threadedComment ref="H82" dT="2024-04-18T18:28:03.10" personId="{029BEE2B-5882-4626-9FE7-8F2FFF745B94}" id="{E0886DCB-9BF3-4C22-A00D-B5154BCA3C99}">
    <text>Unlike the other cycles, these values are calculated per individual salp based on a length regression by Iguchi and Ikeda 2004. Respiration is then summed over each tow, averaged by cycle, and day and night values are added assuming 14 hours day and 10 hours night.</text>
  </threadedComment>
  <threadedComment ref="H82" dT="2024-04-24T20:23:48.78" personId="{029BEE2B-5882-4626-9FE7-8F2FFF745B94}" id="{F00C16BF-B739-4DF2-AB76-FE2DA0EF9F56}" parentId="{E0886DCB-9BF3-4C22-A00D-B5154BCA3C99}">
    <text>An alternative way to do this is to divide Cycle 1, 2, and 4 respiration by the salp biomass from each tow to get a per unit biomass respiration rate (again for day and night separately). Then multiply  by the observed day/night salp biomass for Cycles 3 and 5. Doing so ALSO gives 0.00017</text>
  </threadedComment>
  <threadedComment ref="L82" dT="2024-04-22T14:43:47.26" personId="{029BEE2B-5882-4626-9FE7-8F2FFF745B94}" id="{AA550933-6805-468C-8BCD-E843C1E3BC39}">
    <text>Unlike the other cycles, these values are calculated per individual salp based on a length regression by Iguchi and Ikeda 2004. Respiration is then summed over each tow, averaged by cycle, and day and night values are added assuming 14 hours day and 10 hours night.</text>
  </threadedComment>
  <threadedComment ref="L82" dT="2024-04-24T20:31:36.14" personId="{029BEE2B-5882-4626-9FE7-8F2FFF745B94}" id="{3AAAEA84-52AE-4561-B138-872BEA9D37CA}" parentId="{AA550933-6805-468C-8BCD-E843C1E3BC39}">
    <text>An alternative way to do this is to divide Cycle 1, 2, and 4 respiration by the salp biomass from each tow to get a per unit biomass respiration rate (again for day and night separately). Then multiply  by the observed day/night salp biomass for Cycles 3 and 5. Doing so gives 0.00006.</text>
  </threadedComment>
  <threadedComment ref="B89" dT="2023-12-04T16:46:30.79" personId="{029BEE2B-5882-4626-9FE7-8F2FFF745B94}" id="{002E309C-2A33-49B0-BC39-6D9E9A8BC399}">
    <text>Currently displayed is just ST bodies</text>
  </threadedComment>
  <threadedComment ref="D89" dT="2023-12-04T16:46:55.86" personId="{029BEE2B-5882-4626-9FE7-8F2FFF745B94}" id="{40A7BFD2-2274-4C82-8F86-9A3662904ADE}">
    <text>2.57 if using all salps</text>
  </threadedComment>
  <threadedComment ref="E89" dT="2023-12-04T16:47:14.21" personId="{029BEE2B-5882-4626-9FE7-8F2FFF745B94}" id="{3C2762BD-B8C9-403E-9FAF-F8AB84765C19}">
    <text>0.88 if using all salps</text>
  </threadedComment>
  <threadedComment ref="F89" dT="2023-12-04T16:54:38.15" personId="{029BEE2B-5882-4626-9FE7-8F2FFF745B94}" id="{CE6E8441-0F4C-44FA-BFD2-C556CA735FFF}">
    <text>1.30 if using all salps</text>
  </threadedComment>
  <threadedComment ref="G89" dT="2023-12-04T16:55:01.58" personId="{029BEE2B-5882-4626-9FE7-8F2FFF745B94}" id="{B95EAA1D-215B-429B-BA06-2258CDEEF014}">
    <text>1.22 if using all salps</text>
  </threadedComment>
  <threadedComment ref="J89" dT="2023-12-04T16:55:28.45" personId="{029BEE2B-5882-4626-9FE7-8F2FFF745B94}" id="{310A1DA3-55D7-4BCF-A885-4DDE4D6C71B4}">
    <text>7.49 if using all salps</text>
  </threadedComment>
  <threadedComment ref="K89" dT="2023-12-04T16:55:54.89" personId="{029BEE2B-5882-4626-9FE7-8F2FFF745B94}" id="{FBF316F2-539D-4E4D-9518-DE6B29B8A0D7}">
    <text>1.19 if using all salps</text>
  </threadedComment>
</ThreadedComments>
</file>

<file path=xl/threadedComments/threadedComment7.xml><?xml version="1.0" encoding="utf-8"?>
<ThreadedComments xmlns="http://schemas.microsoft.com/office/spreadsheetml/2018/threadedcomments" xmlns:x="http://schemas.openxmlformats.org/spreadsheetml/2006/main">
  <threadedComment ref="B2" dT="2024-02-02T15:40:39.27" personId="{029BEE2B-5882-4626-9FE7-8F2FFF745B94}" id="{11AEF130-BE7B-4914-83A6-8F93DB32E9B5}">
    <text>Note that the summed NPP of the 3 phytoplankton groups via dilution method exceeds 14C NPP. We trust the latter more , so what we're really interested in here is the proportion of total NPP attributable to Pico, Flag, and Diatoms.</text>
  </threadedComment>
  <threadedComment ref="B4" dT="2023-08-10T14:09:29.74" personId="{029BEE2B-5882-4626-9FE7-8F2FFF745B94}" id="{2C843EC0-E733-4A7D-8C21-301EFDEA5B4F}">
    <text>Both diatom NPP and Mortality are subject to a variety of assumptions. They are calculated using FlowCam biomass with the missing values at the surface assumed to be same as at 12 m, missing values at depth assumed to be proportional to chemtax fuco chl, and values in between assumed to be linearly related to the biomasses we have. Instantaneous growth and grazing rates come from those of fucoxanthin HPLC</text>
  </threadedComment>
</ThreadedComments>
</file>

<file path=xl/threadedComments/threadedComment8.xml><?xml version="1.0" encoding="utf-8"?>
<ThreadedComments xmlns="http://schemas.microsoft.com/office/spreadsheetml/2018/threadedcomments" xmlns:x="http://schemas.openxmlformats.org/spreadsheetml/2006/main">
  <threadedComment ref="D2" dT="2024-11-07T14:15:23.14" personId="{029BEE2B-5882-4626-9FE7-8F2FFF745B94}" id="{803DD042-119C-4366-A054-250367C6D7C6}">
    <text>Specifically ciliates</text>
  </threadedComment>
  <threadedComment ref="E2" dT="2024-11-07T14:09:10.62" personId="{029BEE2B-5882-4626-9FE7-8F2FFF745B94}" id="{0E9BD42D-CB47-4A36-9E26-68A9BD070751}">
    <text>Only towed to 100 meters, values are average day/night. C estimated from DW assuming 0.47 conversion.</text>
  </threadedComment>
  <threadedComment ref="E2" dT="2024-11-07T14:10:06.21" personId="{029BEE2B-5882-4626-9FE7-8F2FFF745B94}" id="{CD0944DD-897F-40A0-85E8-64A86A4B35A6}" parentId="{0E9BD42D-CB47-4A36-9E26-68A9BD070751}">
    <text>This is &gt;200 um 0.5 m2 ring net catch, so it is most comparable to my Meso + Macro</text>
  </threadedComment>
  <threadedComment ref="A4" dT="2024-11-07T15:09:23.73" personId="{029BEE2B-5882-4626-9FE7-8F2FFF745B94}" id="{2CDFE638-8856-4F98-B7B2-D756C0DF1D8B}">
    <text>About 1 degree north of our sampling</text>
  </threadedComment>
  <threadedComment ref="A5" dT="2024-11-07T15:10:05.33" personId="{029BEE2B-5882-4626-9FE7-8F2FFF745B94}" id="{963AB290-788D-4EEA-8BBC-E8D03C90AD19}">
    <text xml:space="preserve">About 2 degrees South of me </text>
  </threadedComment>
  <threadedComment ref="E11" dT="2024-11-07T15:14:16.15" personId="{029BEE2B-5882-4626-9FE7-8F2FFF745B94}" id="{40FC5C9D-16DA-4AA5-8E1A-9B3B48F8329B}">
    <text>These are MOCNESS down to 1000m, but values shown are integrated surface 100</text>
  </threadedComment>
  <threadedComment ref="A12" dT="2024-11-07T14:51:01.73" personId="{029BEE2B-5882-4626-9FE7-8F2FFF745B94}" id="{977E4D61-1962-4ECC-AE46-1C86B111AC83}">
    <text>Note these stations were about 1 degree north of mine and 1-2 degrees warmer</text>
  </threadedComment>
  <threadedComment ref="A13" dT="2024-11-07T14:53:13.53" personId="{029BEE2B-5882-4626-9FE7-8F2FFF745B94}" id="{2E3F3021-1E1C-4C13-B58A-D42AF320A4D4}">
    <text>Based on temperature these may be most comparable to my “SA” cycles</text>
  </threadedComment>
  <threadedComment ref="E13" dT="2024-11-07T15:17:13.02" personId="{029BEE2B-5882-4626-9FE7-8F2FFF745B94}" id="{6D8BB8D1-AF9E-4F7D-8C24-89E8C5DA336E}">
    <text xml:space="preserve">Worth noting Bradford-Grieve also calculated only 4% of mesozoo metabolic needs were met by phytoplankton and 90% of microzoo biomass was required to support this value.  </text>
  </threadedComment>
  <threadedComment ref="E13" dT="2024-11-08T15:29:29.87" personId="{029BEE2B-5882-4626-9FE7-8F2FFF745B94}" id="{ABBBFE08-4960-4E82-9DB5-FE33424D013B}" parentId="{6D8BB8D1-AF9E-4F7D-8C24-89E8C5DA336E}">
    <text>Alternatively, Bradford-Grieve 2003 Ecopath used an annual mean of 1058 for the 0-615 m depth of the Southern Plateau. From this study averaging the winter and spring STC values over 100 m gives 1089. So 1058 seems the most reasonable annual average available.</text>
  </threadedComment>
  <threadedComment ref="A14" dT="2024-11-07T14:51:14.91" personId="{029BEE2B-5882-4626-9FE7-8F2FFF745B94}" id="{09EFD2FE-C753-4642-8C34-7F8FD8A3A4FA}">
    <text>These stations were 1 degree south of mine and 2 degrees colder</text>
  </threadedComment>
  <threadedComment ref="E17" dT="2024-11-07T14:19:08.16" personId="{029BEE2B-5882-4626-9FE7-8F2FFF745B94}" id="{A676BA69-1A27-4504-8E0F-F4150F080E32}">
    <text>Net tow only to 65 meters</text>
  </threadedComment>
  <threadedComment ref="E17" dT="2024-11-07T14:21:32.91" personId="{029BEE2B-5882-4626-9FE7-8F2FFF745B94}" id="{C6621143-0A7C-4973-9B3F-FA01418D5541}" parentId="{A676BA69-1A27-4504-8E0F-F4150F080E32}">
    <text>A big part of why this is so much lower is the ontogenetic migration of Neocalanus tonsus which is below their sampling depth in summer</text>
  </threadedComment>
  <threadedComment ref="E27" dT="2024-11-07T14:04:20.87" personId="{029BEE2B-5882-4626-9FE7-8F2FFF745B94}" id="{B994DE36-5DF9-48AE-8455-28727D0DEE5E}">
    <text>No clear reason for this, he copied bradford-grieve and says 1058 in the text</text>
  </threadedComment>
  <threadedComment ref="D32" dT="2024-11-07T14:24:27.80" personId="{029BEE2B-5882-4626-9FE7-8F2FFF745B94}" id="{C8AA4321-AD45-41C0-966A-F99D5B7471C6}">
    <text xml:space="preserve">These lower microzoo biomasses relative to the other studies paired with much higher mesozoo biomass suggests either increased competition for primary production (check zoo chl) or increased protistivory. </text>
  </threadedComment>
</ThreadedComments>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 Id="rId4" Type="http://schemas.microsoft.com/office/2017/10/relationships/threadedComment" Target="../threadedComments/threadedComment1.xml"/></Relationships>
</file>

<file path=xl/worksheets/_rels/sheet2.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2.bin"/><Relationship Id="rId4" Type="http://schemas.microsoft.com/office/2017/10/relationships/threadedComment" Target="../threadedComments/threadedComment2.xml"/></Relationships>
</file>

<file path=xl/worksheets/_rels/sheet3.xml.rels><?xml version="1.0" encoding="UTF-8" standalone="yes"?>
<Relationships xmlns="http://schemas.openxmlformats.org/package/2006/relationships"><Relationship Id="rId3" Type="http://schemas.microsoft.com/office/2017/10/relationships/threadedComment" Target="../threadedComments/threadedComment3.xml"/><Relationship Id="rId2" Type="http://schemas.openxmlformats.org/officeDocument/2006/relationships/comments" Target="../comments3.xml"/><Relationship Id="rId1" Type="http://schemas.openxmlformats.org/officeDocument/2006/relationships/vmlDrawing" Target="../drawings/vmlDrawing3.vml"/></Relationships>
</file>

<file path=xl/worksheets/_rels/sheet4.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printerSettings" Target="../printerSettings/printerSettings3.bin"/><Relationship Id="rId4" Type="http://schemas.microsoft.com/office/2017/10/relationships/threadedComment" Target="../threadedComments/threadedComment4.xml"/></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3" Type="http://schemas.openxmlformats.org/officeDocument/2006/relationships/comments" Target="../comments5.xml"/><Relationship Id="rId2" Type="http://schemas.openxmlformats.org/officeDocument/2006/relationships/vmlDrawing" Target="../drawings/vmlDrawing5.vml"/><Relationship Id="rId1" Type="http://schemas.openxmlformats.org/officeDocument/2006/relationships/printerSettings" Target="../printerSettings/printerSettings5.bin"/><Relationship Id="rId4" Type="http://schemas.microsoft.com/office/2017/10/relationships/threadedComment" Target="../threadedComments/threadedComment5.xml"/></Relationships>
</file>

<file path=xl/worksheets/_rels/sheet7.xml.rels><?xml version="1.0" encoding="UTF-8" standalone="yes"?>
<Relationships xmlns="http://schemas.openxmlformats.org/package/2006/relationships"><Relationship Id="rId3" Type="http://schemas.openxmlformats.org/officeDocument/2006/relationships/comments" Target="../comments6.xml"/><Relationship Id="rId2" Type="http://schemas.openxmlformats.org/officeDocument/2006/relationships/vmlDrawing" Target="../drawings/vmlDrawing6.vml"/><Relationship Id="rId1" Type="http://schemas.openxmlformats.org/officeDocument/2006/relationships/printerSettings" Target="../printerSettings/printerSettings6.bin"/><Relationship Id="rId4" Type="http://schemas.microsoft.com/office/2017/10/relationships/threadedComment" Target="../threadedComments/threadedComment6.xml"/></Relationships>
</file>

<file path=xl/worksheets/_rels/sheet8.xml.rels><?xml version="1.0" encoding="UTF-8" standalone="yes"?>
<Relationships xmlns="http://schemas.openxmlformats.org/package/2006/relationships"><Relationship Id="rId3" Type="http://schemas.microsoft.com/office/2017/10/relationships/threadedComment" Target="../threadedComments/threadedComment7.xml"/><Relationship Id="rId2" Type="http://schemas.openxmlformats.org/officeDocument/2006/relationships/comments" Target="../comments7.xml"/><Relationship Id="rId1" Type="http://schemas.openxmlformats.org/officeDocument/2006/relationships/vmlDrawing" Target="../drawings/vmlDrawing7.vml"/></Relationships>
</file>

<file path=xl/worksheets/_rels/sheet9.xml.rels><?xml version="1.0" encoding="UTF-8" standalone="yes"?>
<Relationships xmlns="http://schemas.openxmlformats.org/package/2006/relationships"><Relationship Id="rId3" Type="http://schemas.microsoft.com/office/2017/10/relationships/threadedComment" Target="../threadedComments/threadedComment8.xml"/><Relationship Id="rId2" Type="http://schemas.openxmlformats.org/officeDocument/2006/relationships/comments" Target="../comments8.xml"/><Relationship Id="rId1" Type="http://schemas.openxmlformats.org/officeDocument/2006/relationships/vmlDrawing" Target="../drawings/vmlDrawing8.vml"/></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B5AC0E-D26D-4753-8A53-09A41E589290}">
  <dimension ref="A1:S81"/>
  <sheetViews>
    <sheetView tabSelected="1" workbookViewId="0">
      <pane xSplit="3" ySplit="2" topLeftCell="D12" activePane="bottomRight" state="frozen"/>
      <selection pane="topRight" activeCell="D1" sqref="D1"/>
      <selection pane="bottomLeft" activeCell="A3" sqref="A3"/>
      <selection pane="bottomRight" activeCell="D23" sqref="D23:M41"/>
    </sheetView>
  </sheetViews>
  <sheetFormatPr defaultRowHeight="14.5" x14ac:dyDescent="0.35"/>
  <cols>
    <col min="1" max="1" width="4.26953125" customWidth="1"/>
    <col min="2" max="2" width="29.7265625" customWidth="1"/>
    <col min="3" max="3" width="13.7265625" customWidth="1"/>
    <col min="4" max="4" width="14.7265625" style="11" bestFit="1" customWidth="1"/>
    <col min="5" max="5" width="12.1796875" style="11" bestFit="1" customWidth="1"/>
    <col min="6" max="6" width="14.7265625" style="11" bestFit="1" customWidth="1"/>
    <col min="7" max="7" width="12.1796875" style="11" bestFit="1" customWidth="1"/>
    <col min="8" max="8" width="14.7265625" style="11" bestFit="1" customWidth="1"/>
    <col min="9" max="9" width="11" style="11" bestFit="1" customWidth="1"/>
    <col min="10" max="10" width="14.7265625" style="11" bestFit="1" customWidth="1"/>
    <col min="11" max="11" width="9.36328125" style="11" bestFit="1" customWidth="1"/>
    <col min="12" max="12" width="14.7265625" style="11" bestFit="1" customWidth="1"/>
    <col min="13" max="13" width="10.54296875" style="11" bestFit="1" customWidth="1"/>
    <col min="18" max="18" width="9.36328125" bestFit="1" customWidth="1"/>
  </cols>
  <sheetData>
    <row r="1" spans="1:16" ht="26" x14ac:dyDescent="0.6">
      <c r="A1" s="1" t="s">
        <v>0</v>
      </c>
      <c r="B1" s="2"/>
      <c r="C1" s="2"/>
      <c r="D1" s="12"/>
      <c r="E1" s="12"/>
      <c r="F1" s="12"/>
      <c r="G1" s="12"/>
      <c r="H1" s="12"/>
      <c r="I1" s="12"/>
      <c r="J1" s="12"/>
      <c r="K1" s="12"/>
      <c r="L1" s="12"/>
      <c r="M1" s="12"/>
    </row>
    <row r="2" spans="1:16" x14ac:dyDescent="0.35">
      <c r="A2" s="2"/>
      <c r="B2" s="2"/>
      <c r="C2" s="3" t="s">
        <v>1</v>
      </c>
      <c r="D2" s="3" t="s">
        <v>2</v>
      </c>
      <c r="E2" s="4" t="s">
        <v>3</v>
      </c>
      <c r="F2" s="3" t="s">
        <v>4</v>
      </c>
      <c r="G2" s="4" t="s">
        <v>3</v>
      </c>
      <c r="H2" s="3" t="s">
        <v>5</v>
      </c>
      <c r="I2" s="4" t="s">
        <v>3</v>
      </c>
      <c r="J2" s="3" t="s">
        <v>6</v>
      </c>
      <c r="K2" s="4" t="s">
        <v>3</v>
      </c>
      <c r="L2" s="3" t="s">
        <v>7</v>
      </c>
      <c r="M2" s="4" t="s">
        <v>3</v>
      </c>
    </row>
    <row r="3" spans="1:16" x14ac:dyDescent="0.35">
      <c r="A3" s="5">
        <v>1</v>
      </c>
      <c r="B3" s="5" t="s">
        <v>153</v>
      </c>
      <c r="C3" s="6" t="s">
        <v>8</v>
      </c>
      <c r="D3" s="15">
        <v>6.9751395770705304</v>
      </c>
      <c r="E3" s="15">
        <v>2.1054146836448493</v>
      </c>
      <c r="F3" s="15">
        <v>4.0433304059190514</v>
      </c>
      <c r="G3" s="15">
        <v>0.782773000331076</v>
      </c>
      <c r="H3" s="12">
        <v>9.8238143057644312</v>
      </c>
      <c r="I3" s="12">
        <v>4.5503873820535841</v>
      </c>
      <c r="J3" s="15">
        <v>5.689407455376319</v>
      </c>
      <c r="K3" s="15">
        <v>1.2846958018136592</v>
      </c>
      <c r="L3" s="15">
        <v>3.1620202422853949</v>
      </c>
      <c r="M3" s="15">
        <v>0.38276057123455215</v>
      </c>
    </row>
    <row r="4" spans="1:16" x14ac:dyDescent="0.35">
      <c r="A4" s="5">
        <v>2</v>
      </c>
      <c r="B4" s="5" t="s">
        <v>9</v>
      </c>
      <c r="C4" s="6" t="s">
        <v>8</v>
      </c>
      <c r="D4" s="15">
        <v>0.97868813053894244</v>
      </c>
      <c r="E4" s="15">
        <v>0.20023276423153064</v>
      </c>
      <c r="F4" s="15">
        <v>1.6343249758697753</v>
      </c>
      <c r="G4" s="15">
        <v>5.6975159479932917E-2</v>
      </c>
      <c r="H4" s="15">
        <v>0.46955161565803499</v>
      </c>
      <c r="I4" s="15">
        <v>2.9864707184233424E-2</v>
      </c>
      <c r="J4" s="15">
        <v>1.7889700021150503</v>
      </c>
      <c r="K4" s="15">
        <v>0.59585480538241931</v>
      </c>
      <c r="L4" s="15">
        <v>0.4195884011815369</v>
      </c>
      <c r="M4" s="15">
        <v>0.18168493088635868</v>
      </c>
    </row>
    <row r="5" spans="1:16" x14ac:dyDescent="0.35">
      <c r="A5" s="5">
        <v>3</v>
      </c>
      <c r="B5" s="5" t="s">
        <v>11</v>
      </c>
      <c r="C5" s="6" t="s">
        <v>8</v>
      </c>
      <c r="D5" s="15">
        <f>D3*NZ_Extra!D6</f>
        <v>2.1257040907636764</v>
      </c>
      <c r="E5" s="15">
        <f>D5*SQRT((E3/D3)^2+(NZ_Extra!E6/NZ_Extra!D6)^2)</f>
        <v>1.529245387205191</v>
      </c>
      <c r="F5" s="15">
        <f>F3*NZ_Extra!F6</f>
        <v>3.0867580654897724</v>
      </c>
      <c r="G5" s="15">
        <f>F5*SQRT((G3/F3)^2+(NZ_Extra!G6/NZ_Extra!F6)^2)</f>
        <v>0.91836992540808726</v>
      </c>
      <c r="H5" s="15">
        <f>H3*NZ_Extra!H6</f>
        <v>6.4892367066326058</v>
      </c>
      <c r="I5" s="15">
        <f>H5*SQRT((I3/H3)^2+(NZ_Extra!I6/NZ_Extra!H6)^2)</f>
        <v>4.75740961119413</v>
      </c>
      <c r="J5" s="15">
        <f>J3*NZ_Extra!J6</f>
        <v>3.4570987839772562</v>
      </c>
      <c r="K5" s="15">
        <f>J5*SQRT((K3/J3)^2+(NZ_Extra!K6/NZ_Extra!J6)^2)</f>
        <v>2.2352910282621208</v>
      </c>
      <c r="L5" s="15">
        <f>L3*NZ_Extra!L6</f>
        <v>2.8354623725330517</v>
      </c>
      <c r="M5" s="15">
        <f>L5*SQRT((M3/L3)^2+(NZ_Extra!M6/NZ_Extra!L6)^2)</f>
        <v>3.8090409922828234</v>
      </c>
    </row>
    <row r="6" spans="1:16" x14ac:dyDescent="0.35">
      <c r="A6" s="5">
        <v>4</v>
      </c>
      <c r="B6" s="5" t="s">
        <v>12</v>
      </c>
      <c r="C6" s="6" t="s">
        <v>8</v>
      </c>
      <c r="D6" s="15">
        <f>D3*NZ_Extra!D7</f>
        <v>1.6509193259295052</v>
      </c>
      <c r="E6" s="15">
        <f>D6*SQRT((E3/D3)^2+(NZ_Extra!E7/NZ_Extra!D7)^2)</f>
        <v>0.83512693633249513</v>
      </c>
      <c r="F6" s="15">
        <f>F3*NZ_Extra!F7</f>
        <v>0.34567740240112704</v>
      </c>
      <c r="G6" s="15">
        <f>F6*SQRT((G3/F3)^2+(NZ_Extra!G7/NZ_Extra!F7)^2)</f>
        <v>0.500674736451859</v>
      </c>
      <c r="H6" s="15">
        <f>H3*NZ_Extra!H7</f>
        <v>2.7169000225340558</v>
      </c>
      <c r="I6" s="15">
        <f>H6*SQRT((I3/H3)^2+(NZ_Extra!I7/NZ_Extra!H7)^2)</f>
        <v>3.3405851699714728</v>
      </c>
      <c r="J6" s="15">
        <f>J3*NZ_Extra!J7</f>
        <v>1.9849115483197928</v>
      </c>
      <c r="K6" s="15">
        <f>J6*SQRT((K3/J3)^2+(NZ_Extra!K7/NZ_Extra!J7)^2)</f>
        <v>1.9757685926891104</v>
      </c>
      <c r="L6" s="15">
        <f>L3*NZ_Extra!L7</f>
        <v>0.16239398547005449</v>
      </c>
      <c r="M6" s="15">
        <f>L6*SQRT((M3/L3)^2+(NZ_Extra!M7/NZ_Extra!L7)^2)</f>
        <v>3.4118451249548518</v>
      </c>
    </row>
    <row r="7" spans="1:16" x14ac:dyDescent="0.35">
      <c r="A7" s="5">
        <v>5</v>
      </c>
      <c r="B7" s="5" t="s">
        <v>183</v>
      </c>
      <c r="C7" s="6" t="s">
        <v>8</v>
      </c>
      <c r="D7" s="15">
        <f>D3*NZ_Extra!D8</f>
        <v>3.1985161603773489</v>
      </c>
      <c r="E7" s="15">
        <f>D7*SQRT((E3/D3)^2+(NZ_Extra!E8/NZ_Extra!D8)^2)</f>
        <v>2.0384171493794305</v>
      </c>
      <c r="F7" s="15">
        <f>F3*NZ_Extra!F8</f>
        <v>0.36121241637843743</v>
      </c>
      <c r="G7" s="15">
        <f>F7*SQRT((G3/F3)^2+(NZ_Extra!G8/NZ_Extra!F8)^2)</f>
        <v>0.23417384287485524</v>
      </c>
      <c r="H7" s="15">
        <f>H3*NZ_Extra!H8</f>
        <v>0.61767757659776912</v>
      </c>
      <c r="I7" s="15">
        <f>H7*SQRT((I3/H3)^2+(NZ_Extra!I8/NZ_Extra!H8)^2)</f>
        <v>0.56187448469565471</v>
      </c>
      <c r="J7" s="15">
        <f>J3*NZ_Extra!J8</f>
        <v>0.24739712307926998</v>
      </c>
      <c r="K7" s="15">
        <f>J7*SQRT((K3/J3)^2+(NZ_Extra!K8/NZ_Extra!J8)^2)</f>
        <v>0.15495821808294558</v>
      </c>
      <c r="L7" s="15">
        <f>L3*NZ_Extra!L8</f>
        <v>0.16416388428228881</v>
      </c>
      <c r="M7" s="15">
        <f>L7*SQRT((M3/L3)^2+(NZ_Extra!M8/NZ_Extra!L8)^2)</f>
        <v>0.21488912092939733</v>
      </c>
    </row>
    <row r="8" spans="1:16" x14ac:dyDescent="0.35">
      <c r="A8" s="5">
        <v>6</v>
      </c>
      <c r="B8" s="5" t="s">
        <v>13</v>
      </c>
      <c r="C8" s="6" t="s">
        <v>8</v>
      </c>
      <c r="D8" s="15">
        <f>D11*NZ_Extra!D14</f>
        <v>0.9680377856143324</v>
      </c>
      <c r="E8" s="15">
        <f>D8*SQRT((E11/D11)^2+(NZ_Extra!E14/NZ_Extra!D14)^2)</f>
        <v>0.77464728293812979</v>
      </c>
      <c r="F8" s="15">
        <f>F11*NZ_Extra!F14</f>
        <v>1.8898783958923295</v>
      </c>
      <c r="G8" s="15">
        <f>F8*SQRT((G11/F11)^2+(NZ_Extra!G14/NZ_Extra!F14)^2)</f>
        <v>0.73034638435033294</v>
      </c>
      <c r="H8" s="15">
        <f>H11*NZ_Extra!H14</f>
        <v>3.4956497672810012</v>
      </c>
      <c r="I8" s="15">
        <f>H8*SQRT((I11/H11)^2+(NZ_Extra!I14/NZ_Extra!H14)^2)</f>
        <v>2.5146743932235576</v>
      </c>
      <c r="J8" s="15">
        <f>J11*NZ_Extra!J14</f>
        <v>2.1195066010520414</v>
      </c>
      <c r="K8" s="15">
        <f>J8*SQRT((K11/J11)^2+(NZ_Extra!K14/NZ_Extra!J14)^2)</f>
        <v>1.293169338866397</v>
      </c>
      <c r="L8" s="15">
        <f>L11*NZ_Extra!L14</f>
        <v>1.249680964823271</v>
      </c>
      <c r="M8" s="15">
        <f>L8*SQRT((M11/L11)^2+(NZ_Extra!M14/NZ_Extra!L14)^2)</f>
        <v>0.93631570638214678</v>
      </c>
    </row>
    <row r="9" spans="1:16" x14ac:dyDescent="0.35">
      <c r="A9" s="5">
        <v>7</v>
      </c>
      <c r="B9" s="5" t="s">
        <v>14</v>
      </c>
      <c r="C9" s="6" t="s">
        <v>8</v>
      </c>
      <c r="D9" s="15">
        <f>D11*NZ_Extra!D15</f>
        <v>0.93107773943501781</v>
      </c>
      <c r="E9" s="15">
        <f>D9*SQRT((E11/D11)^2+(NZ_Extra!E15/NZ_Extra!D15)^2)</f>
        <v>1.0527763422171048</v>
      </c>
      <c r="F9" s="15">
        <f>F11*NZ_Extra!F15</f>
        <v>0.48436400386133022</v>
      </c>
      <c r="G9" s="15">
        <f>F9*SQRT((G11/F11)^2+(NZ_Extra!G15/NZ_Extra!F15)^2)</f>
        <v>0.53471731927488009</v>
      </c>
      <c r="H9" s="15">
        <f>H11*NZ_Extra!H15</f>
        <v>1.5734107472520935</v>
      </c>
      <c r="I9" s="15">
        <f>H9*SQRT((I11/H11)^2+(NZ_Extra!I15/NZ_Extra!H15)^2)</f>
        <v>1.7854607152677655</v>
      </c>
      <c r="J9" s="15">
        <f>J11*NZ_Extra!J15</f>
        <v>2.2956993882787935</v>
      </c>
      <c r="K9" s="15">
        <f>J9*SQRT((K11/J11)^2+(NZ_Extra!K15/NZ_Extra!J15)^2)</f>
        <v>1.4378622111730337</v>
      </c>
      <c r="L9" s="15">
        <f>L11*NZ_Extra!L15</f>
        <v>1.5922615659761581</v>
      </c>
      <c r="M9" s="15">
        <f>L9*SQRT((M11/L11)^2+(NZ_Extra!M15/NZ_Extra!L15)^2)</f>
        <v>2.3670613615743945</v>
      </c>
    </row>
    <row r="10" spans="1:16" x14ac:dyDescent="0.35">
      <c r="A10" s="5">
        <v>8</v>
      </c>
      <c r="B10" s="5" t="s">
        <v>184</v>
      </c>
      <c r="C10" s="6" t="s">
        <v>8</v>
      </c>
      <c r="D10" s="15">
        <f>D11*NZ_Extra!D16</f>
        <v>1.610034223190812</v>
      </c>
      <c r="E10" s="15">
        <f>D10*SQRT((E11/D11)^2+(NZ_Extra!E16/NZ_Extra!D16)^2)</f>
        <v>1.141546497344532</v>
      </c>
      <c r="F10" s="15">
        <f>F11*NZ_Extra!F16</f>
        <v>8.3139899568425379E-2</v>
      </c>
      <c r="G10" s="15">
        <f>F10*SQRT((G11/F11)^2+(NZ_Extra!G16/NZ_Extra!F16)^2)</f>
        <v>3.4881401373732787E-2</v>
      </c>
      <c r="H10" s="15">
        <f>H11*NZ_Extra!H16</f>
        <v>0.30286347948815684</v>
      </c>
      <c r="I10" s="15">
        <f>H10*SQRT((I11/H11)^2+(NZ_Extra!I16/NZ_Extra!H16)^2)</f>
        <v>0.26697516636211549</v>
      </c>
      <c r="J10" s="15">
        <f>J11*NZ_Extra!J16</f>
        <v>0.18752558852227863</v>
      </c>
      <c r="K10" s="15">
        <f>J10*SQRT((K11/J11)^2+(NZ_Extra!K16/NZ_Extra!J16)^2)</f>
        <v>0.12099696069503854</v>
      </c>
      <c r="L10" s="15">
        <f>L11*NZ_Extra!L16</f>
        <v>0.13592019999549798</v>
      </c>
      <c r="M10" s="15">
        <f>L10*SQRT((M11/L11)^2+(NZ_Extra!M16/NZ_Extra!L16)^2)</f>
        <v>0.13470708129944753</v>
      </c>
    </row>
    <row r="11" spans="1:16" x14ac:dyDescent="0.35">
      <c r="A11" s="5">
        <v>9</v>
      </c>
      <c r="B11" s="5" t="s">
        <v>152</v>
      </c>
      <c r="C11" s="6" t="s">
        <v>8</v>
      </c>
      <c r="D11" s="15">
        <v>3.5091497482401626</v>
      </c>
      <c r="E11" s="15">
        <v>1.2649780271784867</v>
      </c>
      <c r="F11" s="15">
        <v>2.6936632003654828</v>
      </c>
      <c r="G11" s="15">
        <v>0.60951549478679601</v>
      </c>
      <c r="H11" s="15">
        <v>5.3719239940212518</v>
      </c>
      <c r="I11" s="15">
        <v>2.9742856330468999</v>
      </c>
      <c r="J11" s="15">
        <v>4.6027315778531133</v>
      </c>
      <c r="K11" s="15">
        <v>2.1767590749848282</v>
      </c>
      <c r="L11" s="15">
        <v>2.9778627307949268</v>
      </c>
      <c r="M11" s="15">
        <v>0.86612577413233227</v>
      </c>
    </row>
    <row r="12" spans="1:16" x14ac:dyDescent="0.35">
      <c r="A12" s="5">
        <v>10</v>
      </c>
      <c r="B12" s="5" t="s">
        <v>15</v>
      </c>
      <c r="C12" s="6" t="s">
        <v>8</v>
      </c>
      <c r="D12" s="15">
        <v>0.90936712058115243</v>
      </c>
      <c r="E12" s="15">
        <v>0.18438143754367645</v>
      </c>
      <c r="F12" s="34">
        <v>0.69786875348140176</v>
      </c>
      <c r="G12" s="34">
        <v>0.33083742555493062</v>
      </c>
      <c r="H12" s="15">
        <v>0.24256808752952785</v>
      </c>
      <c r="I12" s="15">
        <v>9.9091055888499632E-2</v>
      </c>
      <c r="J12" s="15">
        <v>0.32637300304228883</v>
      </c>
      <c r="K12" s="15">
        <v>0.11439529554434019</v>
      </c>
      <c r="L12" s="15">
        <v>0.30265779501730594</v>
      </c>
      <c r="M12" s="15">
        <v>0.1607958156305225</v>
      </c>
    </row>
    <row r="13" spans="1:16" x14ac:dyDescent="0.35">
      <c r="A13" s="5">
        <v>11</v>
      </c>
      <c r="B13" s="5" t="s">
        <v>163</v>
      </c>
      <c r="C13" s="6" t="s">
        <v>8</v>
      </c>
      <c r="D13" s="15" t="s">
        <v>218</v>
      </c>
      <c r="E13" s="12" t="s">
        <v>218</v>
      </c>
      <c r="F13" s="12">
        <v>0.37867568904593102</v>
      </c>
      <c r="G13" s="15">
        <v>0.22091414383280425</v>
      </c>
      <c r="H13" s="15">
        <v>0.1322950384804672</v>
      </c>
      <c r="I13" s="15">
        <v>3.8642116171517138E-2</v>
      </c>
      <c r="J13" s="29">
        <v>7.347245661198748E-2</v>
      </c>
      <c r="K13" s="29">
        <v>0.10700277665733324</v>
      </c>
      <c r="L13" s="15">
        <v>0.20960150094376714</v>
      </c>
      <c r="M13" s="15">
        <v>0.12952207979943009</v>
      </c>
      <c r="P13">
        <f>H11/SUM(H12:H15)</f>
        <v>13.907990367593889</v>
      </c>
    </row>
    <row r="14" spans="1:16" x14ac:dyDescent="0.35">
      <c r="A14" s="5">
        <v>12</v>
      </c>
      <c r="B14" s="5" t="s">
        <v>16</v>
      </c>
      <c r="C14" s="6" t="s">
        <v>8</v>
      </c>
      <c r="D14" s="15">
        <v>2.7775614345871977E-2</v>
      </c>
      <c r="E14" s="15">
        <v>2.7788247064735046E-2</v>
      </c>
      <c r="F14" s="15">
        <v>3.3175154585448542E-2</v>
      </c>
      <c r="G14" s="15">
        <v>7.5474281355229864E-2</v>
      </c>
      <c r="H14" s="15">
        <v>7.8424367389722423E-3</v>
      </c>
      <c r="I14" s="15">
        <v>1.1119541452350641E-2</v>
      </c>
      <c r="J14" s="15">
        <v>1.1164564455451947E-2</v>
      </c>
      <c r="K14" s="15">
        <v>1.4112720238673453E-2</v>
      </c>
      <c r="L14" s="15">
        <v>2.4892996784586202E-2</v>
      </c>
      <c r="M14" s="15">
        <v>2.5748036807699545E-2</v>
      </c>
      <c r="O14" s="32"/>
    </row>
    <row r="15" spans="1:16" x14ac:dyDescent="0.35">
      <c r="A15" s="5">
        <v>13</v>
      </c>
      <c r="B15" s="5" t="s">
        <v>164</v>
      </c>
      <c r="C15" s="6" t="s">
        <v>8</v>
      </c>
      <c r="D15" s="15">
        <v>8.8005356807663079E-3</v>
      </c>
      <c r="E15" s="15">
        <v>1.2670301898349702E-2</v>
      </c>
      <c r="F15" s="15">
        <v>2.0797253454106119E-2</v>
      </c>
      <c r="G15" s="15">
        <v>4.7029263843153819E-2</v>
      </c>
      <c r="H15" s="15">
        <v>3.5417563847894682E-3</v>
      </c>
      <c r="I15" s="15">
        <v>6.7117834196103602E-3</v>
      </c>
      <c r="J15" s="15">
        <v>3.199379393507245E-3</v>
      </c>
      <c r="K15" s="15">
        <v>9.5212133763109569E-3</v>
      </c>
      <c r="L15" s="15">
        <v>8.8802004093344432E-5</v>
      </c>
      <c r="M15" s="15">
        <v>1.2747024535486495E-2</v>
      </c>
    </row>
    <row r="16" spans="1:16" x14ac:dyDescent="0.35">
      <c r="A16" s="5">
        <v>14</v>
      </c>
      <c r="B16" s="5" t="s">
        <v>170</v>
      </c>
      <c r="C16" s="6" t="s">
        <v>8</v>
      </c>
      <c r="D16" s="12">
        <v>2.6592086601850928</v>
      </c>
      <c r="E16" s="15">
        <v>1.9074743144778554</v>
      </c>
      <c r="F16" s="15">
        <v>1.7577646245826541</v>
      </c>
      <c r="G16" s="15">
        <v>0.91975506825772047</v>
      </c>
      <c r="H16" s="15">
        <v>2.4739265995989291E-2</v>
      </c>
      <c r="I16" s="15">
        <v>2.8097449191110818E-2</v>
      </c>
      <c r="J16" s="15">
        <v>1.5968294083391568</v>
      </c>
      <c r="K16" s="15">
        <v>0.97512046936770413</v>
      </c>
      <c r="L16" s="15">
        <v>7.2143977414072993E-3</v>
      </c>
      <c r="M16" s="15">
        <v>1.6218314560821474E-2</v>
      </c>
    </row>
    <row r="17" spans="1:19" x14ac:dyDescent="0.35">
      <c r="A17" s="5">
        <v>15</v>
      </c>
      <c r="B17" s="5" t="s">
        <v>171</v>
      </c>
      <c r="C17" s="6" t="s">
        <v>8</v>
      </c>
      <c r="D17" s="15">
        <f>(D16/0.58499)*0.41501</f>
        <v>1.8865248740378728</v>
      </c>
      <c r="E17" s="15">
        <f>D17*SQRT((E16/D16)^2+(0.17843/0.58499)^2+(0.17843/0.41501)^2)</f>
        <v>1.6793412199250386</v>
      </c>
      <c r="F17" s="15">
        <f>(F16/0.95928)*0.4072</f>
        <v>0.74614477017143777</v>
      </c>
      <c r="G17" s="15">
        <f>F17*SQRT((G16/F16)^2+(0.30768/0.95928)^2+(0.30768/0.04072)^2)</f>
        <v>5.6564311872057029</v>
      </c>
      <c r="H17" s="15">
        <f>(H16/0.7689925)*0.23100747</f>
        <v>7.4317438042510384E-3</v>
      </c>
      <c r="I17" s="15">
        <f>H17*SQRT((I16/H16)^2+(0.28703/0.76899)^2+(0.28703/0.23101)^2)</f>
        <v>1.2814186761036529E-2</v>
      </c>
      <c r="J17" s="15">
        <f>(J16/0.81303)*0.18697</f>
        <v>0.36721793104457662</v>
      </c>
      <c r="K17" s="15">
        <f>J17*SQRT((K16/J16)^2+(0.22065/0.81303)^2+(0.22065/0.18697)^2)</f>
        <v>0.49802123210338339</v>
      </c>
      <c r="L17" s="15">
        <f>(L16/0.94848)*0.05152</f>
        <v>3.9187518096038299E-4</v>
      </c>
      <c r="M17" s="15">
        <f>L17*SQRT((M16/L16)^2+(0/0.94848)^2+(0/0.05152)^2)</f>
        <v>8.8095433343193558E-4</v>
      </c>
    </row>
    <row r="18" spans="1:19" x14ac:dyDescent="0.35">
      <c r="A18" s="5">
        <v>16</v>
      </c>
      <c r="B18" s="5" t="s">
        <v>17</v>
      </c>
      <c r="C18" s="6" t="s">
        <v>8</v>
      </c>
      <c r="D18" s="15">
        <f>(D16+D17) * 0.0144398</f>
        <v>6.5639483087472777E-2</v>
      </c>
      <c r="E18" s="15">
        <f>D18*SQRT((SQRT((E16)^2+(E17^2))/(D16+D17))^2+(0.00000265298/0.0144398)^2)</f>
        <v>3.6697114340849879E-2</v>
      </c>
      <c r="F18" s="15">
        <f>(F16+F17) * 0.02786716</f>
        <v>6.977684372911544E-2</v>
      </c>
      <c r="G18" s="15">
        <f>F18*SQRT((SQRT((G16)^2+(G17^2))/(F16+F17))^2+(6.398304E-19/0.02786716)^2)</f>
        <v>0.15969891897698574</v>
      </c>
      <c r="H18" s="15">
        <f>(H16+H17) * 0.08979186</f>
        <v>2.8886948080418078E-3</v>
      </c>
      <c r="I18" s="15">
        <f>H18*SQRT((SQRT((I16)^2+(I17^2))/(H16+H17))^2+(0/0.08979186)^2)</f>
        <v>2.7729116731506714E-3</v>
      </c>
      <c r="J18" s="15">
        <f>(J16+J17) * 0.0366902</f>
        <v>7.2061289691457059E-2</v>
      </c>
      <c r="K18" s="15">
        <f>J18*SQRT((SQRT((K16)^2+(K17^2))/(J16+J17))^2+(0/0.0366902)^2)</f>
        <v>4.0173424736185466E-2</v>
      </c>
      <c r="L18" s="15">
        <f>(L16+L17) * 0.02808958</f>
        <v>2.136570117546808E-4</v>
      </c>
      <c r="M18" s="15">
        <f>L18*SQRT((SQRT((M16)^2+(M17^2))/(L16+L17))^2+(0.0000002335522/0.02808958)^2)</f>
        <v>4.5623722212329037E-4</v>
      </c>
    </row>
    <row r="19" spans="1:19" x14ac:dyDescent="0.35">
      <c r="A19" s="5">
        <v>17</v>
      </c>
      <c r="B19" s="5" t="s">
        <v>18</v>
      </c>
      <c r="C19" s="6" t="s">
        <v>8</v>
      </c>
      <c r="D19" s="15">
        <f>(D16+D17) * 0.1836172</f>
        <v>0.83467486350012521</v>
      </c>
      <c r="E19" s="15">
        <f>D19*SQRT((SQRT((E16)^2+(E17^2))/(D16+D17))^2+(0.001733872/0.1836172)^2)</f>
        <v>0.46670882535929636</v>
      </c>
      <c r="F19" s="15">
        <f>(F16+F17) * 0.09318711</f>
        <v>0.23333208019898299</v>
      </c>
      <c r="G19" s="15">
        <f>F19*SQRT((SQRT((G16)^2+(G17^2))/(F16+F17))^2+(0.0006530248/0.09318711)^2)</f>
        <v>0.53403183128280451</v>
      </c>
      <c r="H19" s="15">
        <f>(H16+H17) * 0.0004796753</f>
        <v>1.5431638777233221E-5</v>
      </c>
      <c r="I19" s="15">
        <f>H19*SQRT((SQRT((I16)^2+(I17^2))/(H16+H17))^2+(0.00001015141/0.0004796753)^2)</f>
        <v>1.4816715596507647E-5</v>
      </c>
      <c r="J19" s="15">
        <f>(J16+J17) * 0.000004663878</f>
        <v>9.160077177110328E-6</v>
      </c>
      <c r="K19" s="15">
        <f>J19*SQRT((SQRT((K16)^2+(K17^2))/(J16+J17))^2+(0/0.000004663878)^2)</f>
        <v>5.1066484186990305E-6</v>
      </c>
      <c r="L19" s="15">
        <f>(L16+L17) * 0.09488286</f>
        <v>7.2170492881480359E-4</v>
      </c>
      <c r="M19" s="15">
        <f>L19*SQRT((SQRT((M16)^2+(M17^2))/(L16+L17))^2+(0.000609438/0.09488286)^2)</f>
        <v>1.5411155419658771E-3</v>
      </c>
    </row>
    <row r="20" spans="1:19" x14ac:dyDescent="0.35">
      <c r="A20" s="5">
        <v>18</v>
      </c>
      <c r="B20" s="5" t="s">
        <v>161</v>
      </c>
      <c r="C20" s="6" t="s">
        <v>8</v>
      </c>
      <c r="D20" s="15">
        <f>(D16+D17) * 0.8019303</f>
        <v>3.645361456819483</v>
      </c>
      <c r="E20" s="15">
        <f>D20*SQRT((SQRT((E16)^2+(E17^2))/(D16+D17))^2+(0.001733677/0.8019303)^2)</f>
        <v>2.0380300520516972</v>
      </c>
      <c r="F20" s="15">
        <f>(F16+F17) * 0.8789064</f>
        <v>2.2007019920694977</v>
      </c>
      <c r="G20" s="15">
        <f>F20*SQRT((SQRT((G16)^2+(G17^2))/(F16+F17))^2+(0.0006530248/0.8789064)^2)</f>
        <v>5.0367676274917379</v>
      </c>
      <c r="H20" s="15">
        <f>(H16+H17) * 0.9097285</f>
        <v>2.926688448905794E-2</v>
      </c>
      <c r="I20" s="15">
        <f>H20*SQRT((SQRT((I16)^2+(I17^2))/(H16+H17))^2+(0.00001015141/0.9097285)^2)</f>
        <v>2.8093824732200599E-2</v>
      </c>
      <c r="J20" s="15">
        <f>(J16+J17) * 0.9633051</f>
        <v>1.8919768186697814</v>
      </c>
      <c r="K20" s="15">
        <f>J20*SQRT((SQRT((K16)^2+(K17^2))/(J16+J17))^2+(0/0.9633051)^2)</f>
        <v>1.0547575356044288</v>
      </c>
      <c r="L20" s="15">
        <f>(L16+L17) * 0.8769906</f>
        <v>6.6706298539509863E-3</v>
      </c>
      <c r="M20" s="15">
        <f>L20*SQRT((SQRT((M16)^2+(M17^2))/(L16+L17))^2+(0.0006094337/0.8769906)^2)</f>
        <v>1.4244277641613269E-2</v>
      </c>
    </row>
    <row r="21" spans="1:19" x14ac:dyDescent="0.35">
      <c r="A21" s="5">
        <v>19</v>
      </c>
      <c r="B21" s="5" t="s">
        <v>162</v>
      </c>
      <c r="C21" s="6" t="s">
        <v>8</v>
      </c>
      <c r="D21" s="15">
        <v>0.95731511766663324</v>
      </c>
      <c r="E21" s="15">
        <v>0.6866907532120281</v>
      </c>
      <c r="F21" s="15">
        <v>0.63279526484975535</v>
      </c>
      <c r="G21" s="15">
        <v>0.33111182457277949</v>
      </c>
      <c r="H21" s="15">
        <v>8.906135758556144E-3</v>
      </c>
      <c r="I21" s="15">
        <v>1.0115081708799895E-2</v>
      </c>
      <c r="J21" s="15">
        <v>0.57485858700209647</v>
      </c>
      <c r="K21" s="15">
        <v>0.35104336897237348</v>
      </c>
      <c r="L21" s="15">
        <v>2.5971831869066281E-3</v>
      </c>
      <c r="M21" s="15">
        <v>5.8385932418957313E-3</v>
      </c>
    </row>
    <row r="22" spans="1:19" x14ac:dyDescent="0.35">
      <c r="A22" s="5">
        <v>20</v>
      </c>
      <c r="B22" s="5" t="s">
        <v>179</v>
      </c>
      <c r="C22" s="6" t="s">
        <v>8</v>
      </c>
      <c r="D22" s="15">
        <v>0.7685139653165618</v>
      </c>
      <c r="E22" s="15">
        <v>0.15497850567849536</v>
      </c>
      <c r="F22" s="15">
        <v>0.51195866101729559</v>
      </c>
      <c r="G22" s="15">
        <v>0.17726619239998903</v>
      </c>
      <c r="H22" s="15">
        <v>0.82093159034171903</v>
      </c>
      <c r="I22" s="15">
        <v>0.18646460250648508</v>
      </c>
      <c r="J22" s="15">
        <v>0.73073093882389928</v>
      </c>
      <c r="K22" s="15">
        <v>0.19985947417252783</v>
      </c>
      <c r="L22" s="15">
        <v>0.44078466938784061</v>
      </c>
      <c r="M22" s="15">
        <v>0.10558124978639725</v>
      </c>
    </row>
    <row r="23" spans="1:19" x14ac:dyDescent="0.35">
      <c r="A23" s="5">
        <v>21</v>
      </c>
      <c r="B23" s="5" t="s">
        <v>223</v>
      </c>
      <c r="C23" s="6" t="s">
        <v>180</v>
      </c>
      <c r="D23" s="15">
        <v>5.8469953561643855E-2</v>
      </c>
      <c r="E23" s="15">
        <v>2.9234976780821927E-2</v>
      </c>
      <c r="F23" s="15">
        <v>3.0570928150684937E-2</v>
      </c>
      <c r="G23" s="15">
        <v>1.5285464075342469E-2</v>
      </c>
      <c r="H23" s="15">
        <v>8.6478871849315089E-2</v>
      </c>
      <c r="I23" s="15">
        <v>4.3239435924657545E-2</v>
      </c>
      <c r="J23" s="15">
        <v>4.2115578698630148E-2</v>
      </c>
      <c r="K23" s="15">
        <v>2.1057789349315074E-2</v>
      </c>
      <c r="L23" s="15">
        <v>7.48631782191781E-3</v>
      </c>
      <c r="M23" s="15">
        <v>3.743158910958905E-3</v>
      </c>
      <c r="O23" s="32">
        <f>SUM(D23,D25:D29)</f>
        <v>0.21638658990101789</v>
      </c>
      <c r="P23" s="32">
        <f>SUM(F23:F29)</f>
        <v>0.22829898373530574</v>
      </c>
      <c r="Q23" s="32">
        <f>SUM(H23:H29)</f>
        <v>0.20374433722324356</v>
      </c>
      <c r="R23" s="32">
        <f>SUM(J23:J29)</f>
        <v>0.17042541839875919</v>
      </c>
      <c r="S23" s="32">
        <f>SUM(L23:L29)</f>
        <v>8.2780526582476366E-2</v>
      </c>
    </row>
    <row r="24" spans="1:19" x14ac:dyDescent="0.35">
      <c r="A24" s="5">
        <v>22</v>
      </c>
      <c r="B24" s="5" t="s">
        <v>224</v>
      </c>
      <c r="C24" s="6" t="s">
        <v>180</v>
      </c>
      <c r="D24" s="15" t="s">
        <v>218</v>
      </c>
      <c r="E24" s="15" t="s">
        <v>218</v>
      </c>
      <c r="F24" s="15">
        <v>9.9923467808219202E-2</v>
      </c>
      <c r="G24" s="15">
        <v>4.9961733904109601E-2</v>
      </c>
      <c r="H24" s="15">
        <v>0.1010939173972603</v>
      </c>
      <c r="I24" s="15">
        <v>5.054695869863015E-2</v>
      </c>
      <c r="J24" s="15">
        <v>2.9976384246575349E-2</v>
      </c>
      <c r="K24" s="15">
        <v>1.4988192123287674E-2</v>
      </c>
      <c r="L24" s="15">
        <v>6.5739576287671242E-2</v>
      </c>
      <c r="M24" s="15">
        <v>3.2869788143835621E-2</v>
      </c>
    </row>
    <row r="25" spans="1:19" x14ac:dyDescent="0.35">
      <c r="A25" s="5">
        <v>23</v>
      </c>
      <c r="B25" s="5" t="s">
        <v>225</v>
      </c>
      <c r="C25" s="6" t="s">
        <v>180</v>
      </c>
      <c r="D25" s="15">
        <v>1.3413622780380028E-3</v>
      </c>
      <c r="E25" s="15">
        <v>6.706811390190014E-4</v>
      </c>
      <c r="F25" s="15">
        <v>4.429099185152453E-3</v>
      </c>
      <c r="G25" s="15">
        <v>2.2145495925762265E-3</v>
      </c>
      <c r="H25" s="15">
        <v>2.6256932765355728E-3</v>
      </c>
      <c r="I25" s="15">
        <v>1.3128466382677864E-3</v>
      </c>
      <c r="J25" s="15">
        <v>1.2998957758727355E-3</v>
      </c>
      <c r="K25" s="15">
        <v>6.4994788793636777E-4</v>
      </c>
      <c r="L25" s="15">
        <v>6.7505401495360148E-3</v>
      </c>
      <c r="M25" s="15">
        <v>3.3752700747680074E-3</v>
      </c>
    </row>
    <row r="26" spans="1:19" x14ac:dyDescent="0.35">
      <c r="A26" s="5">
        <v>24</v>
      </c>
      <c r="B26" s="5" t="s">
        <v>226</v>
      </c>
      <c r="C26" s="6" t="s">
        <v>180</v>
      </c>
      <c r="D26" s="15">
        <v>2.1795859038798056E-2</v>
      </c>
      <c r="E26" s="15">
        <v>1.0897929519399028E-2</v>
      </c>
      <c r="F26" s="15">
        <v>1.7501117771453824E-2</v>
      </c>
      <c r="G26" s="15">
        <v>8.7505588857269122E-3</v>
      </c>
      <c r="H26" s="15">
        <v>1.2697540547591694E-2</v>
      </c>
      <c r="I26" s="15">
        <v>6.3487702737958472E-3</v>
      </c>
      <c r="J26" s="15">
        <v>6.9954703667697744E-3</v>
      </c>
      <c r="K26" s="15">
        <v>3.4977351833848872E-3</v>
      </c>
      <c r="L26" s="15">
        <v>2.001868019443211E-4</v>
      </c>
      <c r="M26" s="15">
        <v>1.0009340097216055E-4</v>
      </c>
    </row>
    <row r="27" spans="1:19" x14ac:dyDescent="0.35">
      <c r="A27" s="5">
        <v>25</v>
      </c>
      <c r="B27" s="5" t="s">
        <v>227</v>
      </c>
      <c r="C27" s="6" t="s">
        <v>180</v>
      </c>
      <c r="D27" s="15">
        <v>1.8041689080477243E-3</v>
      </c>
      <c r="E27" s="15">
        <v>9.0208445402386217E-4</v>
      </c>
      <c r="F27" s="15">
        <v>7.4452092781617334E-5</v>
      </c>
      <c r="G27" s="15">
        <v>3.7226046390808667E-5</v>
      </c>
      <c r="H27" s="15">
        <v>1.9958218011489175E-6</v>
      </c>
      <c r="I27" s="15">
        <v>9.9791090057445875E-7</v>
      </c>
      <c r="J27" s="15">
        <v>1.8840562170570043E-4</v>
      </c>
      <c r="K27" s="15">
        <v>9.4202810852850213E-5</v>
      </c>
      <c r="L27" s="15">
        <v>1.810573036146708E-3</v>
      </c>
      <c r="M27" s="15">
        <v>9.0528651807335401E-4</v>
      </c>
    </row>
    <row r="28" spans="1:19" x14ac:dyDescent="0.35">
      <c r="A28" s="5">
        <v>26</v>
      </c>
      <c r="B28" s="5" t="s">
        <v>228</v>
      </c>
      <c r="C28" s="6" t="s">
        <v>180</v>
      </c>
      <c r="D28" s="15">
        <v>0.13278426182079164</v>
      </c>
      <c r="E28" s="15">
        <v>6.6392130910395822E-2</v>
      </c>
      <c r="F28" s="15">
        <v>6.761319177468493E-2</v>
      </c>
      <c r="G28" s="15">
        <v>3.3806595887342465E-2</v>
      </c>
      <c r="H28" s="15">
        <v>6.3513703101369858E-4</v>
      </c>
      <c r="I28" s="15">
        <v>3.1756851550684929E-4</v>
      </c>
      <c r="J28" s="15">
        <v>8.9283059864547959E-2</v>
      </c>
      <c r="K28" s="15">
        <v>4.4641529932273979E-2</v>
      </c>
      <c r="L28" s="15">
        <v>3.8182327758904116E-4</v>
      </c>
      <c r="M28" s="15">
        <v>1.9091163879452058E-4</v>
      </c>
    </row>
    <row r="29" spans="1:19" x14ac:dyDescent="0.35">
      <c r="A29" s="5">
        <v>27</v>
      </c>
      <c r="B29" s="5" t="s">
        <v>229</v>
      </c>
      <c r="C29" s="6" t="s">
        <v>180</v>
      </c>
      <c r="D29" s="15">
        <v>1.9098429369863014E-4</v>
      </c>
      <c r="E29" s="15">
        <v>9.549214684931507E-5</v>
      </c>
      <c r="F29" s="15">
        <v>8.1867269523287663E-3</v>
      </c>
      <c r="G29" s="15">
        <v>4.0933634761643831E-3</v>
      </c>
      <c r="H29" s="15">
        <v>2.1118129972602737E-4</v>
      </c>
      <c r="I29" s="15">
        <v>1.0559064986301369E-4</v>
      </c>
      <c r="J29" s="15">
        <v>5.6662382465753425E-4</v>
      </c>
      <c r="K29" s="15">
        <v>2.8331191232876712E-4</v>
      </c>
      <c r="L29" s="15">
        <v>4.1150920767123292E-4</v>
      </c>
      <c r="M29" s="15">
        <v>2.0575460383561646E-4</v>
      </c>
    </row>
    <row r="30" spans="1:19" x14ac:dyDescent="0.35">
      <c r="A30" s="5">
        <v>28</v>
      </c>
      <c r="B30" s="5" t="s">
        <v>230</v>
      </c>
      <c r="C30" s="6" t="s">
        <v>180</v>
      </c>
      <c r="D30" s="15">
        <v>1.109128195006016E-2</v>
      </c>
      <c r="E30" s="15">
        <v>5.5456409750300802E-3</v>
      </c>
      <c r="F30" s="15">
        <v>1.1066583190778584E-2</v>
      </c>
      <c r="G30" s="15">
        <v>5.5332915953892918E-3</v>
      </c>
      <c r="H30" s="15">
        <v>9.2192534159415591E-3</v>
      </c>
      <c r="I30" s="15">
        <v>4.6096267079707796E-3</v>
      </c>
      <c r="J30" s="15">
        <v>8.5263110275611391E-3</v>
      </c>
      <c r="K30" s="15">
        <v>4.2631555137805695E-3</v>
      </c>
      <c r="L30" s="15">
        <v>3.7655898540716348E-3</v>
      </c>
      <c r="M30" s="15">
        <v>1.8827949270358174E-3</v>
      </c>
    </row>
    <row r="31" spans="1:19" x14ac:dyDescent="0.35">
      <c r="A31" s="5">
        <v>29</v>
      </c>
      <c r="B31" s="5" t="s">
        <v>232</v>
      </c>
      <c r="C31" s="6" t="s">
        <v>180</v>
      </c>
      <c r="D31" s="15">
        <v>2.0805138173398143E-3</v>
      </c>
      <c r="E31" s="15">
        <v>1.0402569086699071E-3</v>
      </c>
      <c r="F31" s="15">
        <v>1.6705612418205923E-3</v>
      </c>
      <c r="G31" s="15">
        <v>8.3528062091029615E-4</v>
      </c>
      <c r="H31" s="15">
        <v>1.2120379613610253E-3</v>
      </c>
      <c r="I31" s="15">
        <v>6.0601898068051265E-4</v>
      </c>
      <c r="J31" s="15">
        <v>6.6774944410075122E-4</v>
      </c>
      <c r="K31" s="15">
        <v>3.3387472205037561E-4</v>
      </c>
      <c r="L31" s="15">
        <v>1.9108740185594285E-5</v>
      </c>
      <c r="M31" s="15">
        <v>9.5543700927971426E-6</v>
      </c>
    </row>
    <row r="32" spans="1:19" x14ac:dyDescent="0.35">
      <c r="A32" s="5">
        <v>30</v>
      </c>
      <c r="B32" s="5" t="s">
        <v>233</v>
      </c>
      <c r="C32" s="6" t="s">
        <v>180</v>
      </c>
      <c r="D32" s="15">
        <v>1.7221612304091913E-4</v>
      </c>
      <c r="E32" s="15">
        <v>8.6108061520459567E-5</v>
      </c>
      <c r="F32" s="15">
        <v>7.106790674608927E-6</v>
      </c>
      <c r="G32" s="15">
        <v>3.5533953373044635E-6</v>
      </c>
      <c r="H32" s="15">
        <v>1.9051026283694211E-7</v>
      </c>
      <c r="I32" s="15">
        <v>9.5255131418471056E-8</v>
      </c>
      <c r="J32" s="15">
        <v>1.7984172980998678E-5</v>
      </c>
      <c r="K32" s="15">
        <v>8.9920864904993392E-6</v>
      </c>
      <c r="L32" s="15">
        <v>1.7282742617764031E-4</v>
      </c>
      <c r="M32" s="15">
        <v>8.6413713088820157E-5</v>
      </c>
    </row>
    <row r="33" spans="1:13" x14ac:dyDescent="0.35">
      <c r="A33" s="5">
        <v>31</v>
      </c>
      <c r="B33" s="5" t="s">
        <v>234</v>
      </c>
      <c r="C33" s="6" t="s">
        <v>180</v>
      </c>
      <c r="D33" s="15">
        <v>7.3086394143315289E-2</v>
      </c>
      <c r="E33" s="15">
        <v>3.6543197071657645E-2</v>
      </c>
      <c r="F33" s="15">
        <v>3.7215286778499973E-2</v>
      </c>
      <c r="G33" s="15">
        <v>1.8607643389249987E-2</v>
      </c>
      <c r="H33" s="15">
        <v>3.4958868428497543E-4</v>
      </c>
      <c r="I33" s="15">
        <v>1.7479434214248772E-4</v>
      </c>
      <c r="J33" s="15">
        <v>4.9142698194070224E-2</v>
      </c>
      <c r="K33" s="15">
        <v>2.4571349097035112E-2</v>
      </c>
      <c r="L33" s="15">
        <v>2.1016110024113979E-4</v>
      </c>
      <c r="M33" s="15">
        <v>1.050805501205699E-4</v>
      </c>
    </row>
    <row r="34" spans="1:13" x14ac:dyDescent="0.35">
      <c r="A34" s="5">
        <v>32</v>
      </c>
      <c r="B34" s="5" t="s">
        <v>235</v>
      </c>
      <c r="C34" s="6" t="s">
        <v>180</v>
      </c>
      <c r="D34" s="15">
        <v>1.0512054043934248E-4</v>
      </c>
      <c r="E34" s="15">
        <v>5.2560270219671242E-5</v>
      </c>
      <c r="F34" s="15">
        <v>4.506093904329809E-3</v>
      </c>
      <c r="G34" s="15">
        <v>2.2530469521649045E-3</v>
      </c>
      <c r="H34" s="15">
        <v>1.1623726709649316E-4</v>
      </c>
      <c r="I34" s="15">
        <v>5.8118633548246581E-5</v>
      </c>
      <c r="J34" s="15">
        <v>3.1187801635561648E-4</v>
      </c>
      <c r="K34" s="15">
        <v>1.5593900817780824E-4</v>
      </c>
      <c r="L34" s="15">
        <v>2.2650066907819183E-4</v>
      </c>
      <c r="M34" s="15">
        <v>1.1325033453909592E-4</v>
      </c>
    </row>
    <row r="35" spans="1:13" x14ac:dyDescent="0.35">
      <c r="A35" s="5">
        <v>33</v>
      </c>
      <c r="B35" s="5" t="s">
        <v>279</v>
      </c>
      <c r="C35" s="6" t="s">
        <v>180</v>
      </c>
      <c r="D35" s="15">
        <v>6.2117203563088613E-3</v>
      </c>
      <c r="E35" s="15">
        <v>3.1058601781544307E-3</v>
      </c>
      <c r="F35" s="15">
        <v>3.2477887382732231E-3</v>
      </c>
      <c r="G35" s="15">
        <v>1.6238943691366115E-3</v>
      </c>
      <c r="H35" s="15">
        <v>9.1873267539142756E-3</v>
      </c>
      <c r="I35" s="15">
        <v>4.5936633769571378E-3</v>
      </c>
      <c r="J35" s="15">
        <v>4.4742672361488657E-3</v>
      </c>
      <c r="K35" s="15">
        <v>2.2371336180744329E-3</v>
      </c>
      <c r="L35" s="15">
        <v>7.9533007939158816E-4</v>
      </c>
      <c r="M35" s="15">
        <v>3.9766503969579408E-4</v>
      </c>
    </row>
    <row r="36" spans="1:13" x14ac:dyDescent="0.35">
      <c r="A36" s="5">
        <v>34</v>
      </c>
      <c r="B36" s="5" t="s">
        <v>280</v>
      </c>
      <c r="C36" s="6" t="s">
        <v>180</v>
      </c>
      <c r="D36" s="15" t="s">
        <v>218</v>
      </c>
      <c r="E36" s="15" t="s">
        <v>218</v>
      </c>
      <c r="F36" s="15">
        <v>1.0615651308888058E-2</v>
      </c>
      <c r="G36" s="15">
        <v>5.3078256544440289E-3</v>
      </c>
      <c r="H36" s="15">
        <v>1.0739997320735231E-2</v>
      </c>
      <c r="I36" s="15">
        <v>5.3699986603676156E-3</v>
      </c>
      <c r="J36" s="15">
        <v>3.1846256904698202E-3</v>
      </c>
      <c r="K36" s="15">
        <v>1.5923128452349101E-3</v>
      </c>
      <c r="L36" s="15">
        <v>6.98402922127729E-3</v>
      </c>
      <c r="M36" s="15">
        <v>3.492014610638645E-3</v>
      </c>
    </row>
    <row r="37" spans="1:13" x14ac:dyDescent="0.35">
      <c r="A37" s="5">
        <v>35</v>
      </c>
      <c r="B37" s="5" t="s">
        <v>281</v>
      </c>
      <c r="C37" s="6" t="s">
        <v>180</v>
      </c>
      <c r="D37" s="15">
        <v>4.3431282429880696E-4</v>
      </c>
      <c r="E37" s="15">
        <v>2.1715641214940348E-4</v>
      </c>
      <c r="F37" s="15">
        <v>1.4340753483963766E-3</v>
      </c>
      <c r="G37" s="15">
        <v>7.1703767419818828E-4</v>
      </c>
      <c r="H37" s="15">
        <v>8.5015978259248795E-4</v>
      </c>
      <c r="I37" s="15">
        <v>4.2507989129624398E-4</v>
      </c>
      <c r="J37" s="15">
        <v>4.2088659786911184E-4</v>
      </c>
      <c r="K37" s="15">
        <v>2.1044329893455592E-4</v>
      </c>
      <c r="L37" s="15">
        <v>2.185722832593637E-3</v>
      </c>
      <c r="M37" s="15">
        <v>1.0928614162968185E-3</v>
      </c>
    </row>
    <row r="38" spans="1:13" x14ac:dyDescent="0.35">
      <c r="A38" s="5">
        <v>36</v>
      </c>
      <c r="B38" s="5" t="s">
        <v>282</v>
      </c>
      <c r="C38" s="6" t="s">
        <v>180</v>
      </c>
      <c r="D38" s="15">
        <v>7.0571696044749452E-3</v>
      </c>
      <c r="E38" s="15">
        <v>3.5285848022374726E-3</v>
      </c>
      <c r="F38" s="15">
        <v>5.6665973183799385E-3</v>
      </c>
      <c r="G38" s="15">
        <v>2.8332986591899693E-3</v>
      </c>
      <c r="H38" s="15">
        <v>4.1112716431384007E-3</v>
      </c>
      <c r="I38" s="15">
        <v>2.0556358215692004E-3</v>
      </c>
      <c r="J38" s="15">
        <v>2.2650275336014141E-3</v>
      </c>
      <c r="K38" s="15">
        <v>1.1325137668007071E-3</v>
      </c>
      <c r="L38" s="15">
        <v>6.4817459655236223E-5</v>
      </c>
      <c r="M38" s="15">
        <v>3.2408729827618111E-5</v>
      </c>
    </row>
    <row r="39" spans="1:13" x14ac:dyDescent="0.35">
      <c r="A39" s="5">
        <v>37</v>
      </c>
      <c r="B39" s="5" t="s">
        <v>283</v>
      </c>
      <c r="C39" s="6" t="s">
        <v>180</v>
      </c>
      <c r="D39" s="15">
        <v>5.8416261348308307E-4</v>
      </c>
      <c r="E39" s="15">
        <v>2.9208130674154153E-4</v>
      </c>
      <c r="F39" s="15">
        <v>2.4106461930805041E-5</v>
      </c>
      <c r="G39" s="15">
        <v>1.2053230965402521E-5</v>
      </c>
      <c r="H39" s="15">
        <v>6.4621692248718522E-7</v>
      </c>
      <c r="I39" s="15">
        <v>3.2310846124359261E-7</v>
      </c>
      <c r="J39" s="15">
        <v>6.1002891624821044E-5</v>
      </c>
      <c r="K39" s="15">
        <v>3.0501445812410522E-5</v>
      </c>
      <c r="L39" s="15">
        <v>5.8623617333144063E-4</v>
      </c>
      <c r="M39" s="15">
        <v>2.9311808666572032E-4</v>
      </c>
    </row>
    <row r="40" spans="1:13" x14ac:dyDescent="0.35">
      <c r="A40" s="5">
        <v>38</v>
      </c>
      <c r="B40" s="5" t="s">
        <v>284</v>
      </c>
      <c r="C40" s="6" t="s">
        <v>180</v>
      </c>
      <c r="D40" s="15">
        <v>6.6107474649117495E-2</v>
      </c>
      <c r="E40" s="15">
        <v>3.3053737324558748E-2</v>
      </c>
      <c r="F40" s="15">
        <v>3.3661650107475481E-2</v>
      </c>
      <c r="G40" s="15">
        <v>1.6830825053737741E-2</v>
      </c>
      <c r="H40" s="15">
        <v>3.1620694049661367E-4</v>
      </c>
      <c r="I40" s="15">
        <v>1.5810347024830683E-4</v>
      </c>
      <c r="J40" s="15">
        <v>4.445012937268935E-2</v>
      </c>
      <c r="K40" s="15">
        <v>2.2225064686344675E-2</v>
      </c>
      <c r="L40" s="15">
        <v>1.9009310514318903E-4</v>
      </c>
      <c r="M40" s="15">
        <v>9.5046552571594517E-5</v>
      </c>
    </row>
    <row r="41" spans="1:13" x14ac:dyDescent="0.35">
      <c r="A41" s="5">
        <v>39</v>
      </c>
      <c r="B41" s="5" t="s">
        <v>285</v>
      </c>
      <c r="C41" s="6" t="s">
        <v>180</v>
      </c>
      <c r="D41" s="15">
        <v>9.5082724269698613E-5</v>
      </c>
      <c r="E41" s="15">
        <v>4.7541362134849307E-5</v>
      </c>
      <c r="F41" s="15">
        <v>4.0758131802603277E-3</v>
      </c>
      <c r="G41" s="15">
        <v>2.0379065901301638E-3</v>
      </c>
      <c r="H41" s="15">
        <v>1.0513792995172601E-4</v>
      </c>
      <c r="I41" s="15">
        <v>5.2568964975863005E-5</v>
      </c>
      <c r="J41" s="15">
        <v>2.8209721250465751E-4</v>
      </c>
      <c r="K41" s="15">
        <v>1.4104860625232876E-4</v>
      </c>
      <c r="L41" s="15">
        <v>2.0487243097167123E-4</v>
      </c>
      <c r="M41" s="15">
        <v>1.0243621548583562E-4</v>
      </c>
    </row>
    <row r="43" spans="1:13" ht="26" x14ac:dyDescent="0.6">
      <c r="A43" s="7" t="s">
        <v>19</v>
      </c>
      <c r="B43" s="8"/>
      <c r="C43" s="8"/>
      <c r="D43" s="13"/>
    </row>
    <row r="44" spans="1:13" x14ac:dyDescent="0.35">
      <c r="A44" s="9">
        <v>1</v>
      </c>
      <c r="B44" s="9" t="s">
        <v>20</v>
      </c>
      <c r="C44" s="10" t="s">
        <v>21</v>
      </c>
      <c r="D44" s="17">
        <v>10.240493000000001</v>
      </c>
      <c r="E44" s="17">
        <v>0.58962110000000001</v>
      </c>
      <c r="F44" s="17">
        <v>9.8974919999999997</v>
      </c>
      <c r="G44" s="17">
        <v>0.41121180000000002</v>
      </c>
      <c r="H44" s="17">
        <v>13.090223999999999</v>
      </c>
      <c r="I44" s="17">
        <v>0.32739249999999998</v>
      </c>
      <c r="J44" s="17">
        <v>12.122057</v>
      </c>
      <c r="K44" s="17">
        <v>0.59165129999999999</v>
      </c>
      <c r="L44" s="17">
        <v>10.688394000000001</v>
      </c>
      <c r="M44" s="17">
        <v>0.57504809999999995</v>
      </c>
    </row>
    <row r="45" spans="1:13" x14ac:dyDescent="0.35">
      <c r="A45" s="9">
        <v>2</v>
      </c>
      <c r="B45" s="9" t="s">
        <v>181</v>
      </c>
      <c r="C45" s="10" t="s">
        <v>21</v>
      </c>
      <c r="D45" s="17">
        <v>9.3974150000000005</v>
      </c>
      <c r="F45" s="17">
        <v>7.9157019999999996</v>
      </c>
      <c r="G45" s="17"/>
      <c r="H45" s="17">
        <v>11.465439</v>
      </c>
      <c r="I45" s="17"/>
      <c r="J45" s="17">
        <v>9.6527419999999999</v>
      </c>
      <c r="K45" s="17"/>
      <c r="L45" s="17">
        <v>7.9416000000000002</v>
      </c>
      <c r="M45" s="17"/>
    </row>
    <row r="46" spans="1:13" x14ac:dyDescent="0.35">
      <c r="A46" s="9">
        <v>3</v>
      </c>
      <c r="B46" s="9" t="s">
        <v>168</v>
      </c>
      <c r="C46" s="10" t="s">
        <v>21</v>
      </c>
      <c r="D46" s="17">
        <v>5.7369500000000002</v>
      </c>
      <c r="E46" s="17"/>
      <c r="F46" s="17">
        <v>2.8820000000000001</v>
      </c>
      <c r="G46" s="17"/>
      <c r="H46" s="17">
        <v>4.9303999999999997</v>
      </c>
      <c r="I46" s="17"/>
      <c r="J46" s="17">
        <v>8.3413350000000008</v>
      </c>
      <c r="K46" s="17"/>
      <c r="L46" s="17">
        <v>1.8084</v>
      </c>
      <c r="M46" s="17"/>
    </row>
    <row r="47" spans="1:13" x14ac:dyDescent="0.35">
      <c r="A47" s="9">
        <v>4</v>
      </c>
      <c r="B47" s="9" t="s">
        <v>190</v>
      </c>
      <c r="C47" s="10" t="s">
        <v>191</v>
      </c>
      <c r="D47" s="17">
        <v>884.26319999999998</v>
      </c>
      <c r="E47" s="17"/>
      <c r="F47" s="17">
        <v>1501.6922999999999</v>
      </c>
      <c r="G47" s="17"/>
      <c r="H47" s="17">
        <v>1046.5</v>
      </c>
      <c r="I47" s="17"/>
      <c r="J47" s="17">
        <v>449.5</v>
      </c>
      <c r="K47" s="17"/>
      <c r="L47" s="17">
        <v>2635.1</v>
      </c>
      <c r="M47" s="17"/>
    </row>
    <row r="48" spans="1:13" x14ac:dyDescent="0.35">
      <c r="A48" s="9">
        <v>5</v>
      </c>
      <c r="B48" s="8" t="s">
        <v>160</v>
      </c>
      <c r="C48" s="10" t="s">
        <v>169</v>
      </c>
      <c r="D48" s="17">
        <v>0.32656759474468966</v>
      </c>
      <c r="E48" s="17">
        <v>0.16437855245034977</v>
      </c>
      <c r="F48" s="17">
        <v>0.31045975717006297</v>
      </c>
      <c r="G48" s="17">
        <v>7.8558799430562487E-2</v>
      </c>
      <c r="H48" s="17">
        <v>7.3162576407054822E-3</v>
      </c>
      <c r="I48" s="17">
        <v>7.0528901977444406E-3</v>
      </c>
      <c r="J48" s="17">
        <v>0.4739057148472583</v>
      </c>
      <c r="K48" s="17">
        <v>0.16146131025564953</v>
      </c>
      <c r="L48" s="17">
        <v>1.9337844944991114E-4</v>
      </c>
      <c r="M48" s="17">
        <v>6.1151635065345418E-4</v>
      </c>
    </row>
    <row r="49" spans="1:18" x14ac:dyDescent="0.35">
      <c r="A49" s="9">
        <v>6</v>
      </c>
      <c r="B49" s="8" t="s">
        <v>22</v>
      </c>
      <c r="C49" s="10" t="s">
        <v>23</v>
      </c>
      <c r="D49" s="16">
        <v>2.4323501781423214</v>
      </c>
      <c r="E49" s="16"/>
      <c r="F49" s="16">
        <v>3.7253041652729526</v>
      </c>
      <c r="G49" s="16"/>
      <c r="H49" s="16">
        <v>4.8385681874089643</v>
      </c>
      <c r="I49" s="16"/>
      <c r="J49" s="16">
        <v>1.393927864036977</v>
      </c>
      <c r="K49" s="16"/>
      <c r="L49" s="16">
        <v>8.6175824554244311</v>
      </c>
      <c r="M49" s="13"/>
    </row>
    <row r="50" spans="1:18" s="8" customFormat="1" x14ac:dyDescent="0.35">
      <c r="A50" s="9">
        <v>7</v>
      </c>
      <c r="B50" s="8" t="s">
        <v>24</v>
      </c>
      <c r="C50" s="10" t="s">
        <v>23</v>
      </c>
      <c r="D50" s="13">
        <v>8.4716316118609694</v>
      </c>
      <c r="E50" s="16"/>
      <c r="F50" s="13">
        <v>1.1232474425869927</v>
      </c>
      <c r="G50" s="16"/>
      <c r="H50" s="13">
        <v>0.51240455397907148</v>
      </c>
      <c r="I50" s="16"/>
      <c r="J50" s="13">
        <v>0.35273312027826415</v>
      </c>
      <c r="K50" s="16"/>
      <c r="L50" s="13">
        <v>0.46975683323434964</v>
      </c>
      <c r="M50" s="13"/>
    </row>
    <row r="51" spans="1:18" s="8" customFormat="1" x14ac:dyDescent="0.35">
      <c r="A51" s="9">
        <v>8</v>
      </c>
      <c r="B51" s="8" t="s">
        <v>25</v>
      </c>
      <c r="C51" s="10" t="s">
        <v>23</v>
      </c>
      <c r="D51" s="13">
        <v>5.3577986892343077</v>
      </c>
      <c r="E51" s="16"/>
      <c r="F51" s="13">
        <v>3.4577517436177492</v>
      </c>
      <c r="G51" s="16"/>
      <c r="H51" s="13">
        <v>4.2948952587221045</v>
      </c>
      <c r="I51" s="16"/>
      <c r="J51" s="13">
        <v>3.9405854015456714</v>
      </c>
      <c r="K51" s="16"/>
      <c r="L51" s="13">
        <v>3.0408447155019203</v>
      </c>
      <c r="M51" s="13"/>
    </row>
    <row r="52" spans="1:18" s="8" customFormat="1" x14ac:dyDescent="0.35">
      <c r="A52" s="9">
        <v>9</v>
      </c>
      <c r="B52" s="8" t="s">
        <v>26</v>
      </c>
      <c r="C52" s="10" t="s">
        <v>23</v>
      </c>
      <c r="D52" s="13">
        <v>0.90800919603657448</v>
      </c>
      <c r="E52" s="16"/>
      <c r="F52" s="13">
        <v>1.1168357740714712</v>
      </c>
      <c r="G52" s="16"/>
      <c r="H52" s="13">
        <v>2.0222311417669885</v>
      </c>
      <c r="I52" s="16"/>
      <c r="J52" s="13">
        <v>1.7585174218494173</v>
      </c>
      <c r="K52" s="16"/>
      <c r="L52" s="13">
        <v>0.81948828811823138</v>
      </c>
      <c r="M52" s="13"/>
    </row>
    <row r="53" spans="1:18" x14ac:dyDescent="0.35">
      <c r="A53" s="9">
        <v>10</v>
      </c>
      <c r="B53" s="8" t="s">
        <v>27</v>
      </c>
      <c r="C53" s="10" t="s">
        <v>23</v>
      </c>
      <c r="D53" s="16">
        <v>1.0521291991626498</v>
      </c>
      <c r="E53" s="16"/>
      <c r="F53" s="16">
        <v>0.20896667907169963</v>
      </c>
      <c r="G53" s="16"/>
      <c r="H53" s="16">
        <v>0.26691986144075114</v>
      </c>
      <c r="I53" s="16"/>
      <c r="J53" s="16">
        <v>2.3268684258918482</v>
      </c>
      <c r="K53" s="16"/>
      <c r="L53" s="16">
        <v>0.55378937264701944</v>
      </c>
      <c r="M53" s="13"/>
    </row>
    <row r="54" spans="1:18" x14ac:dyDescent="0.35">
      <c r="A54" s="9">
        <v>11</v>
      </c>
      <c r="B54" s="8" t="s">
        <v>28</v>
      </c>
      <c r="C54" s="10" t="s">
        <v>23</v>
      </c>
      <c r="D54" s="16">
        <v>9.9137789999999999</v>
      </c>
      <c r="E54" s="16">
        <v>1.634976679</v>
      </c>
      <c r="F54" s="16">
        <v>4.7993069999999998</v>
      </c>
      <c r="G54" s="16">
        <v>9.1301560000000004E-3</v>
      </c>
      <c r="H54" s="16">
        <v>13.576252999999999</v>
      </c>
      <c r="I54" s="16">
        <v>7.2571894810000002</v>
      </c>
      <c r="J54" s="16">
        <v>6.6116929999999998</v>
      </c>
      <c r="K54" s="16">
        <v>1.918613779</v>
      </c>
      <c r="L54" s="16">
        <v>1.1752714</v>
      </c>
      <c r="M54" s="13">
        <v>0.63147409600000004</v>
      </c>
      <c r="Q54" s="28"/>
      <c r="R54" s="28"/>
    </row>
    <row r="55" spans="1:18" x14ac:dyDescent="0.35">
      <c r="A55" s="9">
        <v>12</v>
      </c>
      <c r="B55" s="8" t="s">
        <v>29</v>
      </c>
      <c r="C55" s="10" t="s">
        <v>23</v>
      </c>
      <c r="D55" s="16">
        <v>8.4445289999999993</v>
      </c>
      <c r="E55" s="16">
        <v>0.175182439</v>
      </c>
      <c r="F55" s="16">
        <v>20.486217</v>
      </c>
      <c r="G55" s="16">
        <v>5.1290182550000001</v>
      </c>
      <c r="H55" s="16">
        <v>29.446911</v>
      </c>
      <c r="I55" s="16">
        <v>5.2590702540000001</v>
      </c>
      <c r="J55" s="16">
        <v>11.317663</v>
      </c>
      <c r="K55" s="16">
        <v>6.5195917010000004</v>
      </c>
      <c r="L55" s="16">
        <v>11.495678</v>
      </c>
      <c r="M55" s="13">
        <v>3.3280949369999999</v>
      </c>
      <c r="Q55" s="28"/>
      <c r="R55" s="28"/>
    </row>
    <row r="56" spans="1:18" x14ac:dyDescent="0.35">
      <c r="A56" s="9">
        <v>13</v>
      </c>
      <c r="B56" s="8" t="s">
        <v>30</v>
      </c>
      <c r="C56" s="10" t="s">
        <v>23</v>
      </c>
      <c r="D56" s="16">
        <v>0.23954410000000001</v>
      </c>
      <c r="E56" s="16">
        <v>0.33876650000000003</v>
      </c>
      <c r="F56" s="16">
        <v>0.79096049999999996</v>
      </c>
      <c r="G56" s="16">
        <v>0.74237500000000001</v>
      </c>
      <c r="H56" s="16">
        <v>0.46890340000000003</v>
      </c>
      <c r="I56" s="16">
        <v>0.39759260000000002</v>
      </c>
      <c r="J56" s="16">
        <v>0.23213890000000001</v>
      </c>
      <c r="K56" s="16">
        <v>0.13097990000000001</v>
      </c>
      <c r="L56" s="16">
        <v>1.2055297</v>
      </c>
      <c r="M56" s="13">
        <v>0.85942859999999999</v>
      </c>
      <c r="Q56">
        <f>0.004*D61</f>
        <v>0.10097136575956031</v>
      </c>
    </row>
    <row r="57" spans="1:18" x14ac:dyDescent="0.35">
      <c r="A57" s="9">
        <v>14</v>
      </c>
      <c r="B57" s="8" t="s">
        <v>31</v>
      </c>
      <c r="C57" s="10" t="s">
        <v>23</v>
      </c>
      <c r="D57" s="16">
        <v>4.1319074999999996</v>
      </c>
      <c r="E57" s="16">
        <v>2.6204844</v>
      </c>
      <c r="F57" s="16">
        <v>3.9163573999999999</v>
      </c>
      <c r="G57" s="16">
        <v>2.8763820999999998</v>
      </c>
      <c r="H57" s="16">
        <v>2.7364644999999999</v>
      </c>
      <c r="I57" s="16">
        <v>0.35706339999999998</v>
      </c>
      <c r="J57" s="16">
        <v>1.4814088999999999</v>
      </c>
      <c r="K57" s="16">
        <v>0.62639690000000003</v>
      </c>
      <c r="L57" s="16">
        <v>1.2412795999999999</v>
      </c>
      <c r="M57" s="13">
        <v>0.53054069999999998</v>
      </c>
    </row>
    <row r="58" spans="1:18" x14ac:dyDescent="0.35">
      <c r="A58" s="9">
        <v>15</v>
      </c>
      <c r="B58" s="8" t="s">
        <v>158</v>
      </c>
      <c r="C58" s="10" t="s">
        <v>23</v>
      </c>
      <c r="D58" s="16">
        <f>AVERAGE(NZ_Extra!D18:D19)</f>
        <v>0.32219335849999997</v>
      </c>
      <c r="E58" s="16"/>
      <c r="F58" s="16">
        <f>AVERAGE(NZ_Extra!F18:F19)</f>
        <v>1.32958559E-2</v>
      </c>
      <c r="G58" s="16"/>
      <c r="H58" s="16">
        <f>AVERAGE(NZ_Extra!H18:H19)</f>
        <v>3.5641924999999999E-4</v>
      </c>
      <c r="I58" s="16"/>
      <c r="J58" s="16">
        <f>AVERAGE(NZ_Extra!J18:J19)</f>
        <v>3.3645985000000003E-2</v>
      </c>
      <c r="K58" s="16"/>
      <c r="L58" s="16">
        <f>AVERAGE(NZ_Extra!L18:L19)</f>
        <v>0.323337025</v>
      </c>
      <c r="M58" s="35"/>
    </row>
    <row r="59" spans="1:18" x14ac:dyDescent="0.35">
      <c r="A59" s="9">
        <v>16</v>
      </c>
      <c r="B59" s="8" t="s">
        <v>159</v>
      </c>
      <c r="C59" s="10" t="s">
        <v>23</v>
      </c>
      <c r="D59" s="16">
        <f>AVERAGE(NZ_Extra!D20:D21)</f>
        <v>3.6306909999999998E-2</v>
      </c>
      <c r="E59" s="16"/>
      <c r="F59" s="16">
        <f>AVERAGE(NZ_Extra!F20:F21)</f>
        <v>1.5563309049999998</v>
      </c>
      <c r="G59" s="16"/>
      <c r="H59" s="16">
        <f>AVERAGE(NZ_Extra!H20:H21)</f>
        <v>4.0146444999999996E-2</v>
      </c>
      <c r="I59" s="16"/>
      <c r="J59" s="16">
        <f>AVERAGE(NZ_Extra!J20:J21)</f>
        <v>0.10771755</v>
      </c>
      <c r="K59" s="16"/>
      <c r="L59" s="16">
        <f>AVERAGE(NZ_Extra!L20:L21)</f>
        <v>7.8229615000000002E-2</v>
      </c>
      <c r="M59" s="35"/>
    </row>
    <row r="60" spans="1:18" x14ac:dyDescent="0.35">
      <c r="A60" s="9">
        <v>17</v>
      </c>
      <c r="B60" s="8" t="s">
        <v>166</v>
      </c>
      <c r="C60" s="10" t="s">
        <v>23</v>
      </c>
      <c r="D60" s="8">
        <v>10.280304567373474</v>
      </c>
      <c r="E60" s="16">
        <v>8.4812444609999993</v>
      </c>
      <c r="F60" s="16">
        <v>3.5113963199999998</v>
      </c>
      <c r="G60" s="16">
        <v>3.2785495619999998</v>
      </c>
      <c r="H60" s="16">
        <v>7.5097617000000005E-2</v>
      </c>
      <c r="I60" s="16">
        <v>9.3705091000000004E-2</v>
      </c>
      <c r="J60" s="16">
        <v>7.6321474839999999</v>
      </c>
      <c r="K60" s="16">
        <v>8.6550229059999992</v>
      </c>
      <c r="L60" s="16">
        <v>1.770607E-3</v>
      </c>
      <c r="M60" s="13">
        <v>4.3370830000000003E-3</v>
      </c>
    </row>
    <row r="61" spans="1:18" x14ac:dyDescent="0.35">
      <c r="A61" s="9">
        <v>18</v>
      </c>
      <c r="B61" s="8" t="s">
        <v>167</v>
      </c>
      <c r="C61" s="10" t="s">
        <v>23</v>
      </c>
      <c r="D61" s="16">
        <v>25.242841439890078</v>
      </c>
      <c r="E61" s="16">
        <v>18.100777572999998</v>
      </c>
      <c r="F61" s="16">
        <v>12.853549478</v>
      </c>
      <c r="G61" s="16">
        <v>15.547954317</v>
      </c>
      <c r="H61" s="16">
        <v>0.120742196</v>
      </c>
      <c r="I61" s="16">
        <v>0.17997648599999999</v>
      </c>
      <c r="J61" s="16">
        <v>16.973081693000001</v>
      </c>
      <c r="K61" s="16">
        <v>11.787042123000001</v>
      </c>
      <c r="L61" s="16">
        <v>7.2586196000000006E-2</v>
      </c>
      <c r="M61" s="13">
        <v>0.15708614900000001</v>
      </c>
    </row>
    <row r="62" spans="1:18" x14ac:dyDescent="0.35">
      <c r="A62" s="9">
        <v>19</v>
      </c>
      <c r="B62" s="8" t="s">
        <v>32</v>
      </c>
      <c r="C62" s="10" t="s">
        <v>23</v>
      </c>
      <c r="D62" s="16">
        <v>5.354917872714231</v>
      </c>
      <c r="E62" s="16"/>
      <c r="F62" s="16">
        <v>5.3429932071880728</v>
      </c>
      <c r="G62" s="16"/>
      <c r="H62" s="16">
        <v>4.451094572511467</v>
      </c>
      <c r="I62" s="16"/>
      <c r="J62" s="16">
        <v>4.116539054311926</v>
      </c>
      <c r="K62" s="16"/>
      <c r="L62" s="16">
        <v>1.8180427205504586</v>
      </c>
    </row>
    <row r="63" spans="1:18" x14ac:dyDescent="0.35">
      <c r="A63" s="9">
        <v>20</v>
      </c>
      <c r="B63" s="8" t="s">
        <v>33</v>
      </c>
      <c r="C63" s="10" t="s">
        <v>23</v>
      </c>
      <c r="D63" s="16">
        <v>1.5578214515930142</v>
      </c>
      <c r="E63" s="16"/>
      <c r="F63" s="16">
        <v>1.3807395753864304</v>
      </c>
      <c r="G63" s="16"/>
      <c r="H63" s="16">
        <v>1.093792666100704</v>
      </c>
      <c r="I63" s="16"/>
      <c r="J63" s="16">
        <v>0.87898105291124362</v>
      </c>
      <c r="K63" s="16"/>
      <c r="L63" s="16">
        <v>0.35441645392681881</v>
      </c>
    </row>
    <row r="64" spans="1:18" x14ac:dyDescent="0.35">
      <c r="A64" s="9">
        <v>21</v>
      </c>
      <c r="B64" s="8" t="s">
        <v>34</v>
      </c>
      <c r="C64" s="10" t="s">
        <v>23</v>
      </c>
      <c r="D64" s="16">
        <v>18.403219989872277</v>
      </c>
      <c r="E64" s="16"/>
      <c r="F64" s="16">
        <v>10.490392913780543</v>
      </c>
      <c r="G64" s="16"/>
      <c r="H64" s="16">
        <v>0.11712693059168898</v>
      </c>
      <c r="I64" s="16"/>
      <c r="J64" s="16">
        <v>12.434821842925722</v>
      </c>
      <c r="K64" s="16"/>
      <c r="L64" s="16">
        <v>0.10979391035521449</v>
      </c>
    </row>
    <row r="65" spans="1:13" x14ac:dyDescent="0.35">
      <c r="A65" s="9">
        <v>22</v>
      </c>
      <c r="B65" s="8" t="s">
        <v>154</v>
      </c>
      <c r="C65" s="10" t="s">
        <v>155</v>
      </c>
      <c r="D65" s="16">
        <v>555.38994216228696</v>
      </c>
      <c r="E65" s="16"/>
      <c r="F65" s="16">
        <v>384.66280015304699</v>
      </c>
      <c r="G65" s="16"/>
      <c r="H65" s="16">
        <v>317.083903009398</v>
      </c>
      <c r="I65" s="16"/>
      <c r="J65" s="16">
        <v>235.54478217396701</v>
      </c>
      <c r="K65" s="16"/>
      <c r="L65" s="16">
        <v>354.50234195540702</v>
      </c>
    </row>
    <row r="66" spans="1:13" x14ac:dyDescent="0.35">
      <c r="A66" s="9">
        <v>23</v>
      </c>
      <c r="B66" s="8" t="s">
        <v>156</v>
      </c>
      <c r="C66" s="10" t="s">
        <v>155</v>
      </c>
      <c r="D66" s="16">
        <v>1679.9187908255799</v>
      </c>
      <c r="E66" s="16"/>
      <c r="F66" s="16">
        <v>524.29391895270601</v>
      </c>
      <c r="G66" s="16"/>
      <c r="H66" s="16">
        <v>436.082019537897</v>
      </c>
      <c r="I66" s="16"/>
      <c r="J66" s="16">
        <v>308.87667068271998</v>
      </c>
      <c r="K66" s="16"/>
      <c r="L66" s="16">
        <v>627.79010109917101</v>
      </c>
    </row>
    <row r="67" spans="1:13" x14ac:dyDescent="0.35">
      <c r="A67" s="9">
        <v>24</v>
      </c>
      <c r="B67" s="8" t="s">
        <v>157</v>
      </c>
      <c r="C67" s="10" t="s">
        <v>155</v>
      </c>
      <c r="D67" s="16">
        <v>11749.864845948199</v>
      </c>
      <c r="E67" s="16"/>
      <c r="F67" s="16">
        <v>8239.8320490517999</v>
      </c>
      <c r="G67" s="16"/>
      <c r="H67" s="16">
        <v>10570.128463663599</v>
      </c>
      <c r="I67" s="16"/>
      <c r="J67" s="16">
        <v>23363.7795992069</v>
      </c>
      <c r="K67" s="16"/>
      <c r="L67" s="16">
        <v>11056.7363182476</v>
      </c>
    </row>
    <row r="68" spans="1:13" x14ac:dyDescent="0.35">
      <c r="A68" s="9">
        <v>25</v>
      </c>
      <c r="B68" s="8" t="s">
        <v>36</v>
      </c>
      <c r="C68" s="10" t="s">
        <v>37</v>
      </c>
      <c r="D68" s="13">
        <v>7.5640000000000004E-3</v>
      </c>
      <c r="E68" s="16"/>
      <c r="F68" s="13">
        <v>7.5640000000000004E-3</v>
      </c>
      <c r="G68" s="16"/>
      <c r="H68" s="13">
        <v>7.5640000000000004E-3</v>
      </c>
      <c r="I68" s="16"/>
      <c r="J68" s="13">
        <v>7.5640000000000004E-3</v>
      </c>
      <c r="K68" s="16"/>
      <c r="L68" s="13">
        <v>7.5640000000000004E-3</v>
      </c>
    </row>
    <row r="69" spans="1:13" x14ac:dyDescent="0.35">
      <c r="A69" s="9">
        <v>26</v>
      </c>
      <c r="B69" s="8" t="s">
        <v>38</v>
      </c>
      <c r="C69" s="10" t="s">
        <v>37</v>
      </c>
      <c r="D69" s="16">
        <v>0.46887499999999999</v>
      </c>
      <c r="E69" s="16"/>
      <c r="F69" s="16">
        <v>0.46887499999999999</v>
      </c>
      <c r="G69" s="16"/>
      <c r="H69" s="16">
        <v>0.46887499999999999</v>
      </c>
      <c r="I69" s="16"/>
      <c r="J69" s="16">
        <v>0.46887499999999999</v>
      </c>
      <c r="K69" s="16"/>
      <c r="L69" s="16">
        <v>0.46887499999999999</v>
      </c>
    </row>
    <row r="70" spans="1:13" x14ac:dyDescent="0.35">
      <c r="A70" s="9">
        <v>27</v>
      </c>
      <c r="B70" s="8" t="s">
        <v>150</v>
      </c>
      <c r="C70" s="10" t="s">
        <v>37</v>
      </c>
      <c r="D70" s="16">
        <v>0.96186859999999996</v>
      </c>
      <c r="E70" s="18"/>
      <c r="F70" s="16">
        <v>0.54815100000000005</v>
      </c>
      <c r="G70" s="16"/>
      <c r="H70" s="16">
        <v>2.8122100000000001E-2</v>
      </c>
      <c r="I70" s="16"/>
      <c r="J70" s="16">
        <v>0.75654580000000005</v>
      </c>
      <c r="K70" s="16"/>
      <c r="L70" s="16">
        <v>1.7015480000000001</v>
      </c>
    </row>
    <row r="71" spans="1:13" x14ac:dyDescent="0.35">
      <c r="A71" s="9">
        <v>28</v>
      </c>
      <c r="B71" s="8" t="s">
        <v>151</v>
      </c>
      <c r="C71" s="10" t="s">
        <v>37</v>
      </c>
      <c r="D71" s="16">
        <v>1.21023E-2</v>
      </c>
      <c r="E71" s="18"/>
      <c r="F71" s="16">
        <v>0.51877689999999999</v>
      </c>
      <c r="G71" s="16"/>
      <c r="H71" s="16">
        <v>1.3382150000000001E-2</v>
      </c>
      <c r="I71" s="16"/>
      <c r="J71" s="16">
        <v>3.5905859999999998E-2</v>
      </c>
      <c r="K71" s="16"/>
      <c r="L71" s="16">
        <v>2.6076539999999999E-2</v>
      </c>
    </row>
    <row r="72" spans="1:13" x14ac:dyDescent="0.35">
      <c r="A72" s="9">
        <v>29</v>
      </c>
      <c r="B72" s="8" t="s">
        <v>254</v>
      </c>
      <c r="C72" s="10" t="s">
        <v>37</v>
      </c>
      <c r="D72" s="16">
        <v>1.1365681939127792</v>
      </c>
      <c r="E72" s="18"/>
      <c r="F72" s="16">
        <v>2.37664373529313</v>
      </c>
      <c r="G72" s="16"/>
      <c r="H72" s="16">
        <v>1.5945618649858171</v>
      </c>
      <c r="I72" s="16"/>
      <c r="J72" s="16">
        <v>20.549279036435077</v>
      </c>
      <c r="K72" s="16"/>
      <c r="L72" s="16">
        <v>1.5945618649858171</v>
      </c>
    </row>
    <row r="73" spans="1:13" x14ac:dyDescent="0.35">
      <c r="A73" s="9">
        <v>30</v>
      </c>
      <c r="B73" s="8" t="s">
        <v>39</v>
      </c>
      <c r="C73" s="10" t="s">
        <v>40</v>
      </c>
      <c r="D73" s="16">
        <v>1300</v>
      </c>
      <c r="E73" s="18"/>
      <c r="F73" s="16">
        <v>1300</v>
      </c>
      <c r="G73" s="16"/>
      <c r="H73" s="16">
        <v>1300</v>
      </c>
      <c r="I73" s="16"/>
      <c r="J73" s="16">
        <v>1300</v>
      </c>
      <c r="K73" s="16"/>
      <c r="L73" s="16">
        <v>1300</v>
      </c>
    </row>
    <row r="74" spans="1:13" x14ac:dyDescent="0.35">
      <c r="A74" s="9">
        <v>31</v>
      </c>
      <c r="B74" s="8" t="s">
        <v>41</v>
      </c>
      <c r="C74" s="10" t="s">
        <v>40</v>
      </c>
      <c r="D74" s="16">
        <v>892000</v>
      </c>
      <c r="E74" s="18"/>
      <c r="F74" s="16">
        <v>892000</v>
      </c>
      <c r="G74" s="16"/>
      <c r="H74" s="16">
        <v>892000</v>
      </c>
      <c r="I74" s="16"/>
      <c r="J74" s="16">
        <v>892000</v>
      </c>
      <c r="K74" s="16"/>
      <c r="L74" s="16">
        <v>892000</v>
      </c>
    </row>
    <row r="75" spans="1:13" x14ac:dyDescent="0.35">
      <c r="A75" s="9">
        <v>32</v>
      </c>
      <c r="B75" s="8" t="s">
        <v>42</v>
      </c>
      <c r="C75" s="10" t="s">
        <v>40</v>
      </c>
      <c r="D75" s="16">
        <v>1257660</v>
      </c>
      <c r="E75" s="18"/>
      <c r="F75" s="16">
        <v>1257660</v>
      </c>
      <c r="G75" s="16"/>
      <c r="H75" s="16">
        <v>1257660</v>
      </c>
      <c r="I75" s="16"/>
      <c r="J75" s="16">
        <v>1257660</v>
      </c>
      <c r="K75" s="16"/>
      <c r="L75" s="16">
        <v>1257660</v>
      </c>
    </row>
    <row r="76" spans="1:13" x14ac:dyDescent="0.35">
      <c r="A76" s="9">
        <v>33</v>
      </c>
      <c r="B76" s="8" t="s">
        <v>182</v>
      </c>
      <c r="C76" s="10" t="s">
        <v>35</v>
      </c>
      <c r="D76" s="17">
        <v>1.0503395377281601</v>
      </c>
      <c r="E76" s="17"/>
      <c r="F76" s="17">
        <v>0.48589487930952385</v>
      </c>
      <c r="G76" s="17"/>
      <c r="H76" s="17">
        <v>6.4810982831485352E-3</v>
      </c>
      <c r="I76" s="17"/>
      <c r="J76" s="17">
        <v>0.79249506342541975</v>
      </c>
      <c r="K76" s="17"/>
      <c r="L76" s="17">
        <v>2.8626111979504808E-3</v>
      </c>
      <c r="M76" s="15"/>
    </row>
    <row r="78" spans="1:13" ht="30" x14ac:dyDescent="0.6">
      <c r="A78" s="19" t="s">
        <v>43</v>
      </c>
      <c r="B78" s="20"/>
      <c r="C78" s="20"/>
      <c r="D78" s="21"/>
      <c r="E78" s="21"/>
      <c r="F78" s="21"/>
      <c r="G78" s="21"/>
      <c r="H78" s="21"/>
      <c r="I78" s="21"/>
      <c r="J78" s="21"/>
      <c r="K78" s="21"/>
      <c r="L78" s="21"/>
      <c r="M78" s="21"/>
    </row>
    <row r="79" spans="1:13" x14ac:dyDescent="0.35">
      <c r="A79" s="22">
        <v>1</v>
      </c>
      <c r="B79" s="22" t="s">
        <v>47</v>
      </c>
      <c r="C79" s="23" t="s">
        <v>45</v>
      </c>
      <c r="D79" s="24">
        <v>6.5344519999999999</v>
      </c>
      <c r="E79" s="24">
        <v>0.75064960000000003</v>
      </c>
      <c r="F79" s="21">
        <v>4.0130990000000004</v>
      </c>
      <c r="G79" s="21">
        <v>0.6753015</v>
      </c>
      <c r="H79" s="11">
        <v>9.1313420000000001</v>
      </c>
      <c r="I79" s="11">
        <v>0.45024690000000001</v>
      </c>
      <c r="J79" s="21">
        <v>9.7313410000000005</v>
      </c>
      <c r="K79" s="21">
        <v>0.35580620000000002</v>
      </c>
      <c r="L79" s="24">
        <v>4.5152340000000004</v>
      </c>
      <c r="M79" s="24">
        <v>0.33743719999999999</v>
      </c>
    </row>
    <row r="80" spans="1:13" x14ac:dyDescent="0.35">
      <c r="A80" s="22">
        <v>2</v>
      </c>
      <c r="B80" s="22" t="s">
        <v>48</v>
      </c>
      <c r="C80" s="23" t="s">
        <v>45</v>
      </c>
      <c r="D80" s="24">
        <v>6.0951810000000002</v>
      </c>
      <c r="E80" s="24">
        <v>1.4836384</v>
      </c>
      <c r="F80" s="21">
        <v>4.4330930000000004</v>
      </c>
      <c r="G80" s="21">
        <v>0.7529901</v>
      </c>
      <c r="H80" s="21">
        <v>8.9932130000000008</v>
      </c>
      <c r="I80" s="21">
        <v>0.57430250000000005</v>
      </c>
      <c r="J80" s="21">
        <v>10.505179</v>
      </c>
      <c r="K80" s="21">
        <v>0.38461450000000003</v>
      </c>
      <c r="L80" s="24">
        <v>6.5810570000000004</v>
      </c>
      <c r="M80" s="24">
        <v>1.1969808</v>
      </c>
    </row>
    <row r="81" spans="1:13" x14ac:dyDescent="0.35">
      <c r="A81" s="22">
        <v>3</v>
      </c>
      <c r="B81" s="22" t="s">
        <v>49</v>
      </c>
      <c r="C81" s="23" t="s">
        <v>45</v>
      </c>
      <c r="D81" s="24">
        <v>2.78</v>
      </c>
      <c r="E81" s="24">
        <v>1.33</v>
      </c>
      <c r="F81" s="21">
        <v>1.1299999999999999</v>
      </c>
      <c r="G81" s="21">
        <v>0.55000000000000004</v>
      </c>
      <c r="H81" s="21" t="s">
        <v>71</v>
      </c>
      <c r="I81" s="21" t="s">
        <v>71</v>
      </c>
      <c r="J81" s="21">
        <v>7.75</v>
      </c>
      <c r="K81" s="21">
        <v>0.47</v>
      </c>
      <c r="L81" s="24" t="s">
        <v>71</v>
      </c>
      <c r="M81" s="24" t="s">
        <v>71</v>
      </c>
    </row>
  </sheetData>
  <pageMargins left="0.7" right="0.7" top="0.75" bottom="0.75" header="0.3" footer="0.3"/>
  <pageSetup orientation="portrait" r:id="rId1"/>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B261FB-3465-442B-9E26-AFFF1B0F0D2C}">
  <dimension ref="A1:S81"/>
  <sheetViews>
    <sheetView workbookViewId="0">
      <pane xSplit="3" ySplit="2" topLeftCell="D21" activePane="bottomRight" state="frozen"/>
      <selection pane="topRight" activeCell="D1" sqref="D1"/>
      <selection pane="bottomLeft" activeCell="A3" sqref="A3"/>
      <selection pane="bottomRight" activeCell="E42" sqref="E42"/>
    </sheetView>
  </sheetViews>
  <sheetFormatPr defaultRowHeight="14.5" x14ac:dyDescent="0.35"/>
  <cols>
    <col min="1" max="1" width="4.26953125" customWidth="1"/>
    <col min="2" max="2" width="29.7265625" customWidth="1"/>
    <col min="3" max="3" width="13.7265625" customWidth="1"/>
    <col min="4" max="4" width="14.7265625" style="11" bestFit="1" customWidth="1"/>
    <col min="5" max="5" width="12.1796875" style="11" bestFit="1" customWidth="1"/>
    <col min="6" max="6" width="14.7265625" style="11" bestFit="1" customWidth="1"/>
    <col min="7" max="7" width="12.1796875" style="11" bestFit="1" customWidth="1"/>
    <col min="8" max="8" width="14.7265625" style="11" bestFit="1" customWidth="1"/>
    <col min="9" max="9" width="11" style="11" bestFit="1" customWidth="1"/>
    <col min="10" max="10" width="14.7265625" style="11" bestFit="1" customWidth="1"/>
    <col min="11" max="11" width="9.36328125" style="11" bestFit="1" customWidth="1"/>
    <col min="12" max="12" width="14.7265625" style="11" bestFit="1" customWidth="1"/>
    <col min="13" max="13" width="10.54296875" style="11" bestFit="1" customWidth="1"/>
    <col min="18" max="18" width="9.36328125" bestFit="1" customWidth="1"/>
  </cols>
  <sheetData>
    <row r="1" spans="1:16" ht="26" x14ac:dyDescent="0.6">
      <c r="A1" s="1" t="s">
        <v>0</v>
      </c>
      <c r="B1" s="2"/>
      <c r="C1" s="2"/>
      <c r="D1" s="12"/>
      <c r="E1" s="12"/>
      <c r="F1" s="12"/>
      <c r="G1" s="12"/>
      <c r="H1" s="12"/>
      <c r="I1" s="12"/>
      <c r="J1" s="12"/>
      <c r="K1" s="12"/>
      <c r="L1" s="12"/>
      <c r="M1" s="12"/>
    </row>
    <row r="2" spans="1:16" x14ac:dyDescent="0.35">
      <c r="A2" s="2"/>
      <c r="B2" s="2"/>
      <c r="C2" s="3" t="s">
        <v>1</v>
      </c>
      <c r="D2" s="3" t="s">
        <v>2</v>
      </c>
      <c r="E2" s="4" t="s">
        <v>3</v>
      </c>
      <c r="F2" s="3" t="s">
        <v>4</v>
      </c>
      <c r="G2" s="4" t="s">
        <v>3</v>
      </c>
      <c r="H2" s="3" t="s">
        <v>5</v>
      </c>
      <c r="I2" s="4" t="s">
        <v>3</v>
      </c>
      <c r="J2" s="3" t="s">
        <v>6</v>
      </c>
      <c r="K2" s="4" t="s">
        <v>3</v>
      </c>
      <c r="L2" s="3" t="s">
        <v>7</v>
      </c>
      <c r="M2" s="4" t="s">
        <v>3</v>
      </c>
    </row>
    <row r="3" spans="1:16" x14ac:dyDescent="0.35">
      <c r="A3" s="5">
        <v>1</v>
      </c>
      <c r="B3" s="5" t="s">
        <v>153</v>
      </c>
      <c r="C3" s="6" t="s">
        <v>8</v>
      </c>
      <c r="D3" s="15">
        <v>6.9751395770705304</v>
      </c>
      <c r="E3" s="15">
        <v>2.1054146836448493</v>
      </c>
      <c r="F3" s="15">
        <v>4.0433304059190514</v>
      </c>
      <c r="G3" s="15">
        <v>0.782773000331076</v>
      </c>
      <c r="H3" s="12">
        <v>9.8238143057644312</v>
      </c>
      <c r="I3" s="12">
        <v>4.5503873820535841</v>
      </c>
      <c r="J3" s="15">
        <v>5.689407455376319</v>
      </c>
      <c r="K3" s="15">
        <v>1.2846958018136592</v>
      </c>
      <c r="L3" s="15">
        <v>3.1620202422853949</v>
      </c>
      <c r="M3" s="15">
        <v>0.38276057123455215</v>
      </c>
    </row>
    <row r="4" spans="1:16" x14ac:dyDescent="0.35">
      <c r="A4" s="5">
        <v>2</v>
      </c>
      <c r="B4" s="5" t="s">
        <v>9</v>
      </c>
      <c r="C4" s="6" t="s">
        <v>8</v>
      </c>
      <c r="D4" s="15">
        <v>0.97868813053894244</v>
      </c>
      <c r="E4" s="15">
        <v>0.20023276423153064</v>
      </c>
      <c r="F4" s="15">
        <v>1.6343249758697753</v>
      </c>
      <c r="G4" s="15">
        <v>5.6975159479932917E-2</v>
      </c>
      <c r="H4" s="15">
        <v>0.46955161565803499</v>
      </c>
      <c r="I4" s="15">
        <v>2.9864707184233424E-2</v>
      </c>
      <c r="J4" s="15">
        <v>1.7889700021150503</v>
      </c>
      <c r="K4" s="15">
        <v>0.59585480538241931</v>
      </c>
      <c r="L4" s="15">
        <v>0.4195884011815369</v>
      </c>
      <c r="M4" s="15">
        <v>0.18168493088635868</v>
      </c>
    </row>
    <row r="5" spans="1:16" x14ac:dyDescent="0.35">
      <c r="A5" s="5">
        <v>3</v>
      </c>
      <c r="B5" s="5" t="s">
        <v>11</v>
      </c>
      <c r="C5" s="6" t="s">
        <v>8</v>
      </c>
      <c r="D5" s="15">
        <f>D3*NZ_Extra!D6</f>
        <v>2.1257040907636764</v>
      </c>
      <c r="E5" s="15">
        <f>D5*SQRT((E3/D3)^2+(NZ_Extra!E6/NZ_Extra!D6)^2)</f>
        <v>1.529245387205191</v>
      </c>
      <c r="F5" s="15">
        <f>F3*NZ_Extra!F6</f>
        <v>3.0867580654897724</v>
      </c>
      <c r="G5" s="15">
        <f>F5*SQRT((G3/F3)^2+(NZ_Extra!G6/NZ_Extra!F6)^2)</f>
        <v>0.91836992540808726</v>
      </c>
      <c r="H5" s="15">
        <f>H3*NZ_Extra!H6</f>
        <v>6.4892367066326058</v>
      </c>
      <c r="I5" s="15">
        <f>H5*SQRT((I3/H3)^2+(NZ_Extra!I6/NZ_Extra!H6)^2)</f>
        <v>4.75740961119413</v>
      </c>
      <c r="J5" s="15">
        <f>J3*NZ_Extra!J6</f>
        <v>3.4570987839772562</v>
      </c>
      <c r="K5" s="15">
        <f>J5*SQRT((K3/J3)^2+(NZ_Extra!K6/NZ_Extra!J6)^2)</f>
        <v>2.2352910282621208</v>
      </c>
      <c r="L5" s="15">
        <f>L3*NZ_Extra!L6</f>
        <v>2.8354623725330517</v>
      </c>
      <c r="M5" s="15">
        <f>L5*SQRT((M3/L3)^2+(NZ_Extra!M6/NZ_Extra!L6)^2)</f>
        <v>3.8090409922828234</v>
      </c>
    </row>
    <row r="6" spans="1:16" x14ac:dyDescent="0.35">
      <c r="A6" s="5">
        <v>4</v>
      </c>
      <c r="B6" s="5" t="s">
        <v>12</v>
      </c>
      <c r="C6" s="6" t="s">
        <v>8</v>
      </c>
      <c r="D6" s="15">
        <f>D3*NZ_Extra!D7</f>
        <v>1.6509193259295052</v>
      </c>
      <c r="E6" s="15">
        <f>D6*SQRT((E3/D3)^2+(NZ_Extra!E7/NZ_Extra!D7)^2)</f>
        <v>0.83512693633249513</v>
      </c>
      <c r="F6" s="15">
        <f>F3*NZ_Extra!F7</f>
        <v>0.34567740240112704</v>
      </c>
      <c r="G6" s="15">
        <f>F6*SQRT((G3/F3)^2+(NZ_Extra!G7/NZ_Extra!F7)^2)</f>
        <v>0.500674736451859</v>
      </c>
      <c r="H6" s="15">
        <f>H3*NZ_Extra!H7</f>
        <v>2.7169000225340558</v>
      </c>
      <c r="I6" s="15">
        <f>H6*SQRT((I3/H3)^2+(NZ_Extra!I7/NZ_Extra!H7)^2)</f>
        <v>3.3405851699714728</v>
      </c>
      <c r="J6" s="15">
        <f>J3*NZ_Extra!J7</f>
        <v>1.9849115483197928</v>
      </c>
      <c r="K6" s="15">
        <f>J6*SQRT((K3/J3)^2+(NZ_Extra!K7/NZ_Extra!J7)^2)</f>
        <v>1.9757685926891104</v>
      </c>
      <c r="L6" s="15">
        <f>L3*NZ_Extra!L7</f>
        <v>0.16239398547005449</v>
      </c>
      <c r="M6" s="15">
        <f>L6*SQRT((M3/L3)^2+(NZ_Extra!M7/NZ_Extra!L7)^2)</f>
        <v>3.4118451249548518</v>
      </c>
    </row>
    <row r="7" spans="1:16" x14ac:dyDescent="0.35">
      <c r="A7" s="5">
        <v>5</v>
      </c>
      <c r="B7" s="5" t="s">
        <v>183</v>
      </c>
      <c r="C7" s="6" t="s">
        <v>8</v>
      </c>
      <c r="D7" s="15">
        <f>D3*NZ_Extra!D8</f>
        <v>3.1985161603773489</v>
      </c>
      <c r="E7" s="15">
        <f>D7*SQRT((E3/D3)^2+(NZ_Extra!E8/NZ_Extra!D8)^2)</f>
        <v>2.0384171493794305</v>
      </c>
      <c r="F7" s="15">
        <f>F3*NZ_Extra!F8</f>
        <v>0.36121241637843743</v>
      </c>
      <c r="G7" s="15">
        <f>F7*SQRT((G3/F3)^2+(NZ_Extra!G8/NZ_Extra!F8)^2)</f>
        <v>0.23417384287485524</v>
      </c>
      <c r="H7" s="15">
        <f>H3*NZ_Extra!H8</f>
        <v>0.61767757659776912</v>
      </c>
      <c r="I7" s="15">
        <f>H7*SQRT((I3/H3)^2+(NZ_Extra!I8/NZ_Extra!H8)^2)</f>
        <v>0.56187448469565471</v>
      </c>
      <c r="J7" s="15">
        <f>J3*NZ_Extra!J8</f>
        <v>0.24739712307926998</v>
      </c>
      <c r="K7" s="15">
        <f>J7*SQRT((K3/J3)^2+(NZ_Extra!K8/NZ_Extra!J8)^2)</f>
        <v>0.15495821808294558</v>
      </c>
      <c r="L7" s="15">
        <f>L3*NZ_Extra!L8</f>
        <v>0.16416388428228881</v>
      </c>
      <c r="M7" s="15">
        <f>L7*SQRT((M3/L3)^2+(NZ_Extra!M8/NZ_Extra!L8)^2)</f>
        <v>0.21488912092939733</v>
      </c>
    </row>
    <row r="8" spans="1:16" x14ac:dyDescent="0.35">
      <c r="A8" s="5">
        <v>6</v>
      </c>
      <c r="B8" s="5" t="s">
        <v>13</v>
      </c>
      <c r="C8" s="6" t="s">
        <v>8</v>
      </c>
      <c r="D8" s="15">
        <f>D11*NZ_Extra!D14</f>
        <v>0.9680377856143324</v>
      </c>
      <c r="E8" s="15">
        <f>D8*SQRT((E11/D11)^2+(NZ_Extra!E14/NZ_Extra!D14)^2)</f>
        <v>0.77464728293812979</v>
      </c>
      <c r="F8" s="15">
        <f>F11*NZ_Extra!F14</f>
        <v>1.8898783958923295</v>
      </c>
      <c r="G8" s="15">
        <f>F8*SQRT((G11/F11)^2+(NZ_Extra!G14/NZ_Extra!F14)^2)</f>
        <v>0.73034638435033294</v>
      </c>
      <c r="H8" s="15">
        <f>H11*NZ_Extra!H14</f>
        <v>3.4956497672810012</v>
      </c>
      <c r="I8" s="15">
        <f>H8*SQRT((I11/H11)^2+(NZ_Extra!I14/NZ_Extra!H14)^2)</f>
        <v>2.5146743932235576</v>
      </c>
      <c r="J8" s="15">
        <f>J11*NZ_Extra!J14</f>
        <v>2.1195066010520414</v>
      </c>
      <c r="K8" s="15">
        <f>J8*SQRT((K11/J11)^2+(NZ_Extra!K14/NZ_Extra!J14)^2)</f>
        <v>1.293169338866397</v>
      </c>
      <c r="L8" s="15">
        <f>L11*NZ_Extra!L14</f>
        <v>1.249680964823271</v>
      </c>
      <c r="M8" s="15">
        <f>L8*SQRT((M11/L11)^2+(NZ_Extra!M14/NZ_Extra!L14)^2)</f>
        <v>0.93631570638214678</v>
      </c>
    </row>
    <row r="9" spans="1:16" x14ac:dyDescent="0.35">
      <c r="A9" s="5">
        <v>7</v>
      </c>
      <c r="B9" s="5" t="s">
        <v>14</v>
      </c>
      <c r="C9" s="6" t="s">
        <v>8</v>
      </c>
      <c r="D9" s="15">
        <f>D11*NZ_Extra!D15</f>
        <v>0.93107773943501781</v>
      </c>
      <c r="E9" s="15">
        <f>D9*SQRT((E11/D11)^2+(NZ_Extra!E15/NZ_Extra!D15)^2)</f>
        <v>1.0527763422171048</v>
      </c>
      <c r="F9" s="15">
        <f>F11*NZ_Extra!F15</f>
        <v>0.48436400386133022</v>
      </c>
      <c r="G9" s="15">
        <f>F9*SQRT((G11/F11)^2+(NZ_Extra!G15/NZ_Extra!F15)^2)</f>
        <v>0.53471731927488009</v>
      </c>
      <c r="H9" s="15">
        <f>H11*NZ_Extra!H15</f>
        <v>1.5734107472520935</v>
      </c>
      <c r="I9" s="15">
        <f>H9*SQRT((I11/H11)^2+(NZ_Extra!I15/NZ_Extra!H15)^2)</f>
        <v>1.7854607152677655</v>
      </c>
      <c r="J9" s="15">
        <f>J11*NZ_Extra!J15</f>
        <v>2.2956993882787935</v>
      </c>
      <c r="K9" s="15">
        <f>J9*SQRT((K11/J11)^2+(NZ_Extra!K15/NZ_Extra!J15)^2)</f>
        <v>1.4378622111730337</v>
      </c>
      <c r="L9" s="15">
        <f>L11*NZ_Extra!L15</f>
        <v>1.5922615659761581</v>
      </c>
      <c r="M9" s="15">
        <f>L9*SQRT((M11/L11)^2+(NZ_Extra!M15/NZ_Extra!L15)^2)</f>
        <v>2.3670613615743945</v>
      </c>
    </row>
    <row r="10" spans="1:16" x14ac:dyDescent="0.35">
      <c r="A10" s="5">
        <v>8</v>
      </c>
      <c r="B10" s="5" t="s">
        <v>184</v>
      </c>
      <c r="C10" s="6" t="s">
        <v>8</v>
      </c>
      <c r="D10" s="15">
        <f>D11*NZ_Extra!D16</f>
        <v>1.610034223190812</v>
      </c>
      <c r="E10" s="15">
        <f>D10*SQRT((E11/D11)^2+(NZ_Extra!E16/NZ_Extra!D16)^2)</f>
        <v>1.141546497344532</v>
      </c>
      <c r="F10" s="15">
        <f>F11*NZ_Extra!F16</f>
        <v>8.3139899568425379E-2</v>
      </c>
      <c r="G10" s="15">
        <f>F10*SQRT((G11/F11)^2+(NZ_Extra!G16/NZ_Extra!F16)^2)</f>
        <v>3.4881401373732787E-2</v>
      </c>
      <c r="H10" s="15">
        <f>H11*NZ_Extra!H16</f>
        <v>0.30286347948815684</v>
      </c>
      <c r="I10" s="15">
        <f>H10*SQRT((I11/H11)^2+(NZ_Extra!I16/NZ_Extra!H16)^2)</f>
        <v>0.26697516636211549</v>
      </c>
      <c r="J10" s="15">
        <f>J11*NZ_Extra!J16</f>
        <v>0.18752558852227863</v>
      </c>
      <c r="K10" s="15">
        <f>J10*SQRT((K11/J11)^2+(NZ_Extra!K16/NZ_Extra!J16)^2)</f>
        <v>0.12099696069503854</v>
      </c>
      <c r="L10" s="15">
        <f>L11*NZ_Extra!L16</f>
        <v>0.13592019999549798</v>
      </c>
      <c r="M10" s="15">
        <f>L10*SQRT((M11/L11)^2+(NZ_Extra!M16/NZ_Extra!L16)^2)</f>
        <v>0.13470708129944753</v>
      </c>
    </row>
    <row r="11" spans="1:16" x14ac:dyDescent="0.35">
      <c r="A11" s="5">
        <v>9</v>
      </c>
      <c r="B11" s="5" t="s">
        <v>152</v>
      </c>
      <c r="C11" s="6" t="s">
        <v>8</v>
      </c>
      <c r="D11" s="15">
        <v>3.5091497482401626</v>
      </c>
      <c r="E11" s="15">
        <v>1.2649780271784867</v>
      </c>
      <c r="F11" s="15">
        <v>2.6936632003654828</v>
      </c>
      <c r="G11" s="15">
        <v>0.60951549478679601</v>
      </c>
      <c r="H11" s="15">
        <v>5.3719239940212518</v>
      </c>
      <c r="I11" s="15">
        <v>2.9742856330468999</v>
      </c>
      <c r="J11" s="15">
        <v>4.6027315778531133</v>
      </c>
      <c r="K11" s="15">
        <v>2.1767590749848282</v>
      </c>
      <c r="L11" s="15">
        <v>2.9778627307949268</v>
      </c>
      <c r="M11" s="15">
        <v>0.86612577413233227</v>
      </c>
    </row>
    <row r="12" spans="1:16" x14ac:dyDescent="0.35">
      <c r="A12" s="5">
        <v>10</v>
      </c>
      <c r="B12" s="5" t="s">
        <v>15</v>
      </c>
      <c r="C12" s="6" t="s">
        <v>8</v>
      </c>
      <c r="D12" s="15">
        <v>0.90936712058115243</v>
      </c>
      <c r="E12" s="15">
        <v>0.18438143754367645</v>
      </c>
      <c r="F12" s="34">
        <v>0.69786875348140176</v>
      </c>
      <c r="G12" s="34">
        <v>0.33083742555493062</v>
      </c>
      <c r="H12" s="15">
        <v>0.24256808752952785</v>
      </c>
      <c r="I12" s="15">
        <v>9.9091055888499632E-2</v>
      </c>
      <c r="J12" s="15">
        <v>0.32637300304228883</v>
      </c>
      <c r="K12" s="15">
        <v>0.11439529554434019</v>
      </c>
      <c r="L12" s="15">
        <v>0.30265779501730594</v>
      </c>
      <c r="M12" s="15">
        <v>0.1607958156305225</v>
      </c>
    </row>
    <row r="13" spans="1:16" x14ac:dyDescent="0.35">
      <c r="A13" s="5">
        <v>11</v>
      </c>
      <c r="B13" s="5" t="s">
        <v>163</v>
      </c>
      <c r="C13" s="6" t="s">
        <v>8</v>
      </c>
      <c r="D13" s="15" t="s">
        <v>218</v>
      </c>
      <c r="E13" s="12" t="s">
        <v>218</v>
      </c>
      <c r="F13" s="12">
        <v>0.37867568904593102</v>
      </c>
      <c r="G13" s="15">
        <v>0.22091414383280425</v>
      </c>
      <c r="H13" s="15">
        <v>0.1322950384804672</v>
      </c>
      <c r="I13" s="15">
        <v>3.8642116171517138E-2</v>
      </c>
      <c r="J13" s="29">
        <v>7.347245661198748E-2</v>
      </c>
      <c r="K13" s="29">
        <v>0.10700277665733324</v>
      </c>
      <c r="L13" s="15">
        <v>0.20960150094376714</v>
      </c>
      <c r="M13" s="15">
        <v>0.12952207979943009</v>
      </c>
      <c r="P13">
        <f>H11/SUM(H12:H15)</f>
        <v>13.907990367593889</v>
      </c>
    </row>
    <row r="14" spans="1:16" x14ac:dyDescent="0.35">
      <c r="A14" s="5">
        <v>12</v>
      </c>
      <c r="B14" s="5" t="s">
        <v>16</v>
      </c>
      <c r="C14" s="6" t="s">
        <v>8</v>
      </c>
      <c r="D14" s="15">
        <v>2.7775614345871977E-2</v>
      </c>
      <c r="E14" s="15">
        <v>2.7788247064735046E-2</v>
      </c>
      <c r="F14" s="15">
        <v>3.3175154585448542E-2</v>
      </c>
      <c r="G14" s="15">
        <v>7.5474281355229864E-2</v>
      </c>
      <c r="H14" s="15">
        <v>7.8424367389722423E-3</v>
      </c>
      <c r="I14" s="15">
        <v>1.1119541452350641E-2</v>
      </c>
      <c r="J14" s="15">
        <v>1.1164564455451947E-2</v>
      </c>
      <c r="K14" s="15">
        <v>1.4112720238673453E-2</v>
      </c>
      <c r="L14" s="15">
        <v>2.4892996784586202E-2</v>
      </c>
      <c r="M14" s="15">
        <v>2.5748036807699545E-2</v>
      </c>
      <c r="O14" s="32"/>
    </row>
    <row r="15" spans="1:16" x14ac:dyDescent="0.35">
      <c r="A15" s="5">
        <v>13</v>
      </c>
      <c r="B15" s="5" t="s">
        <v>164</v>
      </c>
      <c r="C15" s="6" t="s">
        <v>8</v>
      </c>
      <c r="D15" s="15">
        <v>8.8005356807663079E-3</v>
      </c>
      <c r="E15" s="15">
        <v>1.2670301898349702E-2</v>
      </c>
      <c r="F15" s="15">
        <v>2.0797253454106119E-2</v>
      </c>
      <c r="G15" s="15">
        <v>4.7029263843153819E-2</v>
      </c>
      <c r="H15" s="15">
        <v>3.5417563847894682E-3</v>
      </c>
      <c r="I15" s="15">
        <v>6.7117834196103602E-3</v>
      </c>
      <c r="J15" s="15">
        <v>3.199379393507245E-3</v>
      </c>
      <c r="K15" s="15">
        <v>9.5212133763109569E-3</v>
      </c>
      <c r="L15" s="15">
        <v>8.8802004093344432E-5</v>
      </c>
      <c r="M15" s="15">
        <v>1.2747024535486495E-2</v>
      </c>
    </row>
    <row r="16" spans="1:16" x14ac:dyDescent="0.35">
      <c r="A16" s="5">
        <v>14</v>
      </c>
      <c r="B16" s="5" t="s">
        <v>170</v>
      </c>
      <c r="C16" s="6" t="s">
        <v>8</v>
      </c>
      <c r="D16" s="12">
        <v>2.6592086601850928</v>
      </c>
      <c r="E16" s="15">
        <v>1.9074743144778554</v>
      </c>
      <c r="F16" s="15">
        <v>1.7577646245826541</v>
      </c>
      <c r="G16" s="15">
        <v>0.91975506825772047</v>
      </c>
      <c r="H16" s="15">
        <v>2.4739265995989291E-2</v>
      </c>
      <c r="I16" s="15">
        <v>2.8097449191110818E-2</v>
      </c>
      <c r="J16" s="15">
        <v>1.5968294083391568</v>
      </c>
      <c r="K16" s="15">
        <v>0.97512046936770413</v>
      </c>
      <c r="L16" s="15">
        <v>7.2143977414072993E-3</v>
      </c>
      <c r="M16" s="15">
        <v>1.6218314560821474E-2</v>
      </c>
    </row>
    <row r="17" spans="1:19" x14ac:dyDescent="0.35">
      <c r="A17" s="5">
        <v>15</v>
      </c>
      <c r="B17" s="5" t="s">
        <v>171</v>
      </c>
      <c r="C17" s="6" t="s">
        <v>8</v>
      </c>
      <c r="D17" s="15">
        <f>(D16/0.58499)*0.41501</f>
        <v>1.8865248740378728</v>
      </c>
      <c r="E17" s="15">
        <f>D17*SQRT((E16/D16)^2+(0.17843/0.58499)^2+(0.17843/0.41501)^2)</f>
        <v>1.6793412199250386</v>
      </c>
      <c r="F17" s="15">
        <f>(F16/0.95928)*0.4072</f>
        <v>0.74614477017143777</v>
      </c>
      <c r="G17" s="15">
        <f>F17*SQRT((G16/F16)^2+(0.30768/0.95928)^2+(0.30768/0.04072)^2)</f>
        <v>5.6564311872057029</v>
      </c>
      <c r="H17" s="15">
        <f>(H16/0.7689925)*0.23100747</f>
        <v>7.4317438042510384E-3</v>
      </c>
      <c r="I17" s="15">
        <f>H17*SQRT((I16/H16)^2+(0.28703/0.76899)^2+(0.28703/0.23101)^2)</f>
        <v>1.2814186761036529E-2</v>
      </c>
      <c r="J17" s="15">
        <f>(J16/0.81303)*0.18697</f>
        <v>0.36721793104457662</v>
      </c>
      <c r="K17" s="15">
        <f>J17*SQRT((K16/J16)^2+(0.22065/0.81303)^2+(0.22065/0.18697)^2)</f>
        <v>0.49802123210338339</v>
      </c>
      <c r="L17" s="15">
        <f>(L16/0.94848)*0.05152</f>
        <v>3.9187518096038299E-4</v>
      </c>
      <c r="M17" s="15">
        <f>L17*SQRT((M16/L16)^2+(0/0.94848)^2+(0/0.05152)^2)</f>
        <v>8.8095433343193558E-4</v>
      </c>
    </row>
    <row r="18" spans="1:19" x14ac:dyDescent="0.35">
      <c r="A18" s="5">
        <v>16</v>
      </c>
      <c r="B18" s="5" t="s">
        <v>17</v>
      </c>
      <c r="C18" s="6" t="s">
        <v>8</v>
      </c>
      <c r="D18" s="15">
        <f>(D16+D17) * 0.0144398</f>
        <v>6.5639483087472777E-2</v>
      </c>
      <c r="E18" s="15">
        <f>D18*SQRT((SQRT((E16)^2+(E17^2))/(D16+D17))^2+(0.00000265298/0.0144398)^2)</f>
        <v>3.6697114340849879E-2</v>
      </c>
      <c r="F18" s="15">
        <f>(F16+F17) * 0.02786716</f>
        <v>6.977684372911544E-2</v>
      </c>
      <c r="G18" s="15">
        <f>F18*SQRT((SQRT((G16)^2+(G17^2))/(F16+F17))^2+(6.398304E-19/0.02786716)^2)</f>
        <v>0.15969891897698574</v>
      </c>
      <c r="H18" s="15">
        <f>(H16+H17) * 0.08979186</f>
        <v>2.8886948080418078E-3</v>
      </c>
      <c r="I18" s="15">
        <f>H18*SQRT((SQRT((I16)^2+(I17^2))/(H16+H17))^2+(0/0.08979186)^2)</f>
        <v>2.7729116731506714E-3</v>
      </c>
      <c r="J18" s="15">
        <f>(J16+J17) * 0.0366902</f>
        <v>7.2061289691457059E-2</v>
      </c>
      <c r="K18" s="15">
        <f>J18*SQRT((SQRT((K16)^2+(K17^2))/(J16+J17))^2+(0/0.0366902)^2)</f>
        <v>4.0173424736185466E-2</v>
      </c>
      <c r="L18" s="15">
        <f>(L16+L17) * 0.02808958</f>
        <v>2.136570117546808E-4</v>
      </c>
      <c r="M18" s="15">
        <f>L18*SQRT((SQRT((M16)^2+(M17^2))/(L16+L17))^2+(0.0000002335522/0.02808958)^2)</f>
        <v>4.5623722212329037E-4</v>
      </c>
    </row>
    <row r="19" spans="1:19" x14ac:dyDescent="0.35">
      <c r="A19" s="5">
        <v>17</v>
      </c>
      <c r="B19" s="5" t="s">
        <v>18</v>
      </c>
      <c r="C19" s="6" t="s">
        <v>8</v>
      </c>
      <c r="D19" s="15">
        <f>(D16+D17) * 0.1836172</f>
        <v>0.83467486350012521</v>
      </c>
      <c r="E19" s="15">
        <f>D19*SQRT((SQRT((E16)^2+(E17^2))/(D16+D17))^2+(0.001733872/0.1836172)^2)</f>
        <v>0.46670882535929636</v>
      </c>
      <c r="F19" s="15">
        <f>(F16+F17) * 0.09318711</f>
        <v>0.23333208019898299</v>
      </c>
      <c r="G19" s="15">
        <f>F19*SQRT((SQRT((G16)^2+(G17^2))/(F16+F17))^2+(0.0006530248/0.09318711)^2)</f>
        <v>0.53403183128280451</v>
      </c>
      <c r="H19" s="15">
        <f>(H16+H17) * 0.0004796753</f>
        <v>1.5431638777233221E-5</v>
      </c>
      <c r="I19" s="15">
        <f>H19*SQRT((SQRT((I16)^2+(I17^2))/(H16+H17))^2+(0.00001015141/0.0004796753)^2)</f>
        <v>1.4816715596507647E-5</v>
      </c>
      <c r="J19" s="15">
        <f>(J16+J17) * 0.000004663878</f>
        <v>9.160077177110328E-6</v>
      </c>
      <c r="K19" s="15">
        <f>J19*SQRT((SQRT((K16)^2+(K17^2))/(J16+J17))^2+(0/0.000004663878)^2)</f>
        <v>5.1066484186990305E-6</v>
      </c>
      <c r="L19" s="15">
        <f>(L16+L17) * 0.09488286</f>
        <v>7.2170492881480359E-4</v>
      </c>
      <c r="M19" s="15">
        <f>L19*SQRT((SQRT((M16)^2+(M17^2))/(L16+L17))^2+(0.000609438/0.09488286)^2)</f>
        <v>1.5411155419658771E-3</v>
      </c>
    </row>
    <row r="20" spans="1:19" x14ac:dyDescent="0.35">
      <c r="A20" s="5">
        <v>18</v>
      </c>
      <c r="B20" s="5" t="s">
        <v>161</v>
      </c>
      <c r="C20" s="6" t="s">
        <v>8</v>
      </c>
      <c r="D20" s="15">
        <f>(D16+D17) * 0.8019303</f>
        <v>3.645361456819483</v>
      </c>
      <c r="E20" s="15">
        <f>D20*SQRT((SQRT((E16)^2+(E17^2))/(D16+D17))^2+(0.001733677/0.8019303)^2)</f>
        <v>2.0380300520516972</v>
      </c>
      <c r="F20" s="15">
        <f>(F16+F17) * 0.8789064</f>
        <v>2.2007019920694977</v>
      </c>
      <c r="G20" s="15">
        <f>F20*SQRT((SQRT((G16)^2+(G17^2))/(F16+F17))^2+(0.0006530248/0.8789064)^2)</f>
        <v>5.0367676274917379</v>
      </c>
      <c r="H20" s="15">
        <f>(H16+H17) * 0.9097285</f>
        <v>2.926688448905794E-2</v>
      </c>
      <c r="I20" s="15">
        <f>H20*SQRT((SQRT((I16)^2+(I17^2))/(H16+H17))^2+(0.00001015141/0.9097285)^2)</f>
        <v>2.8093824732200599E-2</v>
      </c>
      <c r="J20" s="15">
        <f>(J16+J17) * 0.9633051</f>
        <v>1.8919768186697814</v>
      </c>
      <c r="K20" s="15">
        <f>J20*SQRT((SQRT((K16)^2+(K17^2))/(J16+J17))^2+(0/0.9633051)^2)</f>
        <v>1.0547575356044288</v>
      </c>
      <c r="L20" s="15">
        <f>(L16+L17) * 0.8769906</f>
        <v>6.6706298539509863E-3</v>
      </c>
      <c r="M20" s="15">
        <f>L20*SQRT((SQRT((M16)^2+(M17^2))/(L16+L17))^2+(0.0006094337/0.8769906)^2)</f>
        <v>1.4244277641613269E-2</v>
      </c>
    </row>
    <row r="21" spans="1:19" x14ac:dyDescent="0.35">
      <c r="A21" s="5">
        <v>19</v>
      </c>
      <c r="B21" s="5" t="s">
        <v>162</v>
      </c>
      <c r="C21" s="6" t="s">
        <v>8</v>
      </c>
      <c r="D21" s="15">
        <v>0.95731511766663324</v>
      </c>
      <c r="E21" s="15">
        <v>0.6866907532120281</v>
      </c>
      <c r="F21" s="15">
        <v>0.63279526484975535</v>
      </c>
      <c r="G21" s="15">
        <v>0.33111182457277949</v>
      </c>
      <c r="H21" s="15">
        <v>8.906135758556144E-3</v>
      </c>
      <c r="I21" s="15">
        <v>1.0115081708799895E-2</v>
      </c>
      <c r="J21" s="15">
        <v>0.57485858700209647</v>
      </c>
      <c r="K21" s="15">
        <v>0.35104336897237348</v>
      </c>
      <c r="L21" s="15">
        <v>2.5971831869066281E-3</v>
      </c>
      <c r="M21" s="15">
        <v>5.8385932418957313E-3</v>
      </c>
    </row>
    <row r="22" spans="1:19" x14ac:dyDescent="0.35">
      <c r="A22" s="5">
        <v>20</v>
      </c>
      <c r="B22" s="5" t="s">
        <v>179</v>
      </c>
      <c r="C22" s="6" t="s">
        <v>8</v>
      </c>
      <c r="D22" s="15">
        <v>0.7685139653165618</v>
      </c>
      <c r="E22" s="15">
        <v>0.15497850567849536</v>
      </c>
      <c r="F22" s="15">
        <v>0.51195866101729559</v>
      </c>
      <c r="G22" s="15">
        <v>0.17726619239998903</v>
      </c>
      <c r="H22" s="15">
        <v>0.82093159034171903</v>
      </c>
      <c r="I22" s="15">
        <v>0.18646460250648508</v>
      </c>
      <c r="J22" s="15">
        <v>0.73073093882389928</v>
      </c>
      <c r="K22" s="15">
        <v>0.19985947417252783</v>
      </c>
      <c r="L22" s="15">
        <v>0.44078466938784061</v>
      </c>
      <c r="M22" s="15">
        <v>0.10558124978639725</v>
      </c>
    </row>
    <row r="23" spans="1:19" x14ac:dyDescent="0.35">
      <c r="A23" s="5">
        <v>21</v>
      </c>
      <c r="B23" s="5" t="s">
        <v>223</v>
      </c>
      <c r="C23" s="6" t="s">
        <v>180</v>
      </c>
      <c r="D23" s="15">
        <v>0.11693990712328771</v>
      </c>
      <c r="E23" s="15">
        <v>5.8469953561643855E-2</v>
      </c>
      <c r="F23" s="15">
        <v>6.1141856301369875E-2</v>
      </c>
      <c r="G23" s="15">
        <v>3.0570928150684937E-2</v>
      </c>
      <c r="H23" s="15">
        <v>0.17295774369863018</v>
      </c>
      <c r="I23" s="15">
        <v>8.6478871849315089E-2</v>
      </c>
      <c r="J23" s="15">
        <v>8.4231157397260295E-2</v>
      </c>
      <c r="K23" s="15">
        <v>4.2115578698630148E-2</v>
      </c>
      <c r="L23" s="15">
        <v>1.497263564383562E-2</v>
      </c>
      <c r="M23" s="15">
        <v>7.48631782191781E-3</v>
      </c>
      <c r="O23" s="32">
        <f>SUM(D23,D25:D29)</f>
        <v>0.43277317980203578</v>
      </c>
      <c r="P23" s="32">
        <f>SUM(F23:F29)</f>
        <v>0.45659796747061149</v>
      </c>
      <c r="Q23" s="32">
        <f>SUM(H23:H29)</f>
        <v>0.40748867444648712</v>
      </c>
      <c r="R23" s="32">
        <f>SUM(J23:J29)</f>
        <v>0.34085083679751838</v>
      </c>
      <c r="S23" s="32">
        <f>SUM(L23:L29)</f>
        <v>0.16556105316495273</v>
      </c>
    </row>
    <row r="24" spans="1:19" x14ac:dyDescent="0.35">
      <c r="A24" s="5">
        <v>22</v>
      </c>
      <c r="B24" s="5" t="s">
        <v>224</v>
      </c>
      <c r="C24" s="6" t="s">
        <v>180</v>
      </c>
      <c r="D24" s="15" t="s">
        <v>218</v>
      </c>
      <c r="E24" s="15" t="s">
        <v>218</v>
      </c>
      <c r="F24" s="15">
        <v>0.1998469356164384</v>
      </c>
      <c r="G24" s="15">
        <v>9.9923467808219202E-2</v>
      </c>
      <c r="H24" s="15">
        <v>0.2021878347945206</v>
      </c>
      <c r="I24" s="15">
        <v>0.1010939173972603</v>
      </c>
      <c r="J24" s="15">
        <v>5.9952768493150697E-2</v>
      </c>
      <c r="K24" s="15">
        <v>2.9976384246575349E-2</v>
      </c>
      <c r="L24" s="15">
        <v>0.13147915257534248</v>
      </c>
      <c r="M24" s="15">
        <v>6.5739576287671242E-2</v>
      </c>
    </row>
    <row r="25" spans="1:19" x14ac:dyDescent="0.35">
      <c r="A25" s="5">
        <v>23</v>
      </c>
      <c r="B25" s="5" t="s">
        <v>225</v>
      </c>
      <c r="C25" s="6" t="s">
        <v>180</v>
      </c>
      <c r="D25" s="15">
        <v>2.6827245560760056E-3</v>
      </c>
      <c r="E25" s="15">
        <v>1.3413622780380028E-3</v>
      </c>
      <c r="F25" s="15">
        <v>8.8581983703049059E-3</v>
      </c>
      <c r="G25" s="15">
        <v>4.429099185152453E-3</v>
      </c>
      <c r="H25" s="15">
        <v>5.2513865530711456E-3</v>
      </c>
      <c r="I25" s="15">
        <v>2.6256932765355728E-3</v>
      </c>
      <c r="J25" s="15">
        <v>2.5997915517454711E-3</v>
      </c>
      <c r="K25" s="15">
        <v>1.2998957758727355E-3</v>
      </c>
      <c r="L25" s="15">
        <v>1.350108029907203E-2</v>
      </c>
      <c r="M25" s="15">
        <v>6.7505401495360148E-3</v>
      </c>
    </row>
    <row r="26" spans="1:19" x14ac:dyDescent="0.35">
      <c r="A26" s="5">
        <v>24</v>
      </c>
      <c r="B26" s="5" t="s">
        <v>226</v>
      </c>
      <c r="C26" s="6" t="s">
        <v>180</v>
      </c>
      <c r="D26" s="15">
        <v>4.3591718077596112E-2</v>
      </c>
      <c r="E26" s="15">
        <v>2.1795859038798056E-2</v>
      </c>
      <c r="F26" s="15">
        <v>3.5002235542907649E-2</v>
      </c>
      <c r="G26" s="15">
        <v>1.7501117771453824E-2</v>
      </c>
      <c r="H26" s="15">
        <v>2.5395081095183389E-2</v>
      </c>
      <c r="I26" s="15">
        <v>1.2697540547591694E-2</v>
      </c>
      <c r="J26" s="15">
        <v>1.3990940733539549E-2</v>
      </c>
      <c r="K26" s="15">
        <v>6.9954703667697744E-3</v>
      </c>
      <c r="L26" s="15">
        <v>4.003736038886422E-4</v>
      </c>
      <c r="M26" s="15">
        <v>2.001868019443211E-4</v>
      </c>
    </row>
    <row r="27" spans="1:19" x14ac:dyDescent="0.35">
      <c r="A27" s="5">
        <v>25</v>
      </c>
      <c r="B27" s="5" t="s">
        <v>227</v>
      </c>
      <c r="C27" s="6" t="s">
        <v>180</v>
      </c>
      <c r="D27" s="15">
        <v>3.6083378160954487E-3</v>
      </c>
      <c r="E27" s="15">
        <v>1.8041689080477243E-3</v>
      </c>
      <c r="F27" s="15">
        <v>1.4890418556323467E-4</v>
      </c>
      <c r="G27" s="15">
        <v>7.4452092781617334E-5</v>
      </c>
      <c r="H27" s="15">
        <v>3.991643602297835E-6</v>
      </c>
      <c r="I27" s="15">
        <v>1.9958218011489175E-6</v>
      </c>
      <c r="J27" s="15">
        <v>3.7681124341140085E-4</v>
      </c>
      <c r="K27" s="15">
        <v>1.8840562170570043E-4</v>
      </c>
      <c r="L27" s="15">
        <v>3.621146072293416E-3</v>
      </c>
      <c r="M27" s="15">
        <v>1.810573036146708E-3</v>
      </c>
    </row>
    <row r="28" spans="1:19" x14ac:dyDescent="0.35">
      <c r="A28" s="5">
        <v>26</v>
      </c>
      <c r="B28" s="5" t="s">
        <v>228</v>
      </c>
      <c r="C28" s="6" t="s">
        <v>180</v>
      </c>
      <c r="D28" s="15">
        <v>0.26556852364158329</v>
      </c>
      <c r="E28" s="15">
        <v>0.13278426182079164</v>
      </c>
      <c r="F28" s="15">
        <v>0.13522638354936986</v>
      </c>
      <c r="G28" s="15">
        <v>6.761319177468493E-2</v>
      </c>
      <c r="H28" s="15">
        <v>1.2702740620273972E-3</v>
      </c>
      <c r="I28" s="15">
        <v>6.3513703101369858E-4</v>
      </c>
      <c r="J28" s="15">
        <v>0.17856611972909592</v>
      </c>
      <c r="K28" s="15">
        <v>8.9283059864547959E-2</v>
      </c>
      <c r="L28" s="15">
        <v>7.6364655517808231E-4</v>
      </c>
      <c r="M28" s="15">
        <v>3.8182327758904116E-4</v>
      </c>
    </row>
    <row r="29" spans="1:19" x14ac:dyDescent="0.35">
      <c r="A29" s="5">
        <v>27</v>
      </c>
      <c r="B29" s="5" t="s">
        <v>229</v>
      </c>
      <c r="C29" s="6" t="s">
        <v>180</v>
      </c>
      <c r="D29" s="15">
        <v>3.8196858739726028E-4</v>
      </c>
      <c r="E29" s="15">
        <v>1.9098429369863014E-4</v>
      </c>
      <c r="F29" s="15">
        <v>1.6373453904657533E-2</v>
      </c>
      <c r="G29" s="15">
        <v>8.1867269523287663E-3</v>
      </c>
      <c r="H29" s="15">
        <v>4.2236259945205475E-4</v>
      </c>
      <c r="I29" s="15">
        <v>2.1118129972602737E-4</v>
      </c>
      <c r="J29" s="15">
        <v>1.1332476493150685E-3</v>
      </c>
      <c r="K29" s="15">
        <v>5.6662382465753425E-4</v>
      </c>
      <c r="L29" s="15">
        <v>8.2301841534246584E-4</v>
      </c>
      <c r="M29" s="15">
        <v>4.1150920767123292E-4</v>
      </c>
    </row>
    <row r="30" spans="1:19" x14ac:dyDescent="0.35">
      <c r="A30" s="5">
        <v>28</v>
      </c>
      <c r="B30" s="5" t="s">
        <v>230</v>
      </c>
      <c r="C30" s="6" t="s">
        <v>180</v>
      </c>
      <c r="D30" s="15">
        <v>2.2182563900120321E-2</v>
      </c>
      <c r="E30" s="15">
        <v>1.109128195006016E-2</v>
      </c>
      <c r="F30" s="15">
        <v>2.2133166381557167E-2</v>
      </c>
      <c r="G30" s="15">
        <v>1.1066583190778584E-2</v>
      </c>
      <c r="H30" s="15">
        <v>1.8438506831883118E-2</v>
      </c>
      <c r="I30" s="15">
        <v>9.2192534159415591E-3</v>
      </c>
      <c r="J30" s="15">
        <v>1.7052622055122278E-2</v>
      </c>
      <c r="K30" s="15">
        <v>8.5263110275611391E-3</v>
      </c>
      <c r="L30" s="15">
        <v>7.5311797081432695E-3</v>
      </c>
      <c r="M30" s="15">
        <v>3.7655898540716348E-3</v>
      </c>
    </row>
    <row r="31" spans="1:19" x14ac:dyDescent="0.35">
      <c r="A31" s="5">
        <v>29</v>
      </c>
      <c r="B31" s="5" t="s">
        <v>232</v>
      </c>
      <c r="C31" s="6" t="s">
        <v>180</v>
      </c>
      <c r="D31" s="15">
        <v>4.1610276346796286E-3</v>
      </c>
      <c r="E31" s="15">
        <v>2.0805138173398143E-3</v>
      </c>
      <c r="F31" s="15">
        <v>3.3411224836411846E-3</v>
      </c>
      <c r="G31" s="15">
        <v>1.6705612418205923E-3</v>
      </c>
      <c r="H31" s="15">
        <v>2.4240759227220506E-3</v>
      </c>
      <c r="I31" s="15">
        <v>1.2120379613610253E-3</v>
      </c>
      <c r="J31" s="15">
        <v>1.3354988882015024E-3</v>
      </c>
      <c r="K31" s="15">
        <v>6.6774944410075122E-4</v>
      </c>
      <c r="L31" s="15">
        <v>3.821748037118857E-5</v>
      </c>
      <c r="M31" s="15">
        <v>1.9108740185594285E-5</v>
      </c>
    </row>
    <row r="32" spans="1:19" x14ac:dyDescent="0.35">
      <c r="A32" s="5">
        <v>30</v>
      </c>
      <c r="B32" s="5" t="s">
        <v>233</v>
      </c>
      <c r="C32" s="6" t="s">
        <v>180</v>
      </c>
      <c r="D32" s="15">
        <v>3.4443224608183827E-4</v>
      </c>
      <c r="E32" s="15">
        <v>1.7221612304091913E-4</v>
      </c>
      <c r="F32" s="15">
        <v>1.4213581349217854E-5</v>
      </c>
      <c r="G32" s="15">
        <v>7.106790674608927E-6</v>
      </c>
      <c r="H32" s="15">
        <v>3.8102052567388422E-7</v>
      </c>
      <c r="I32" s="15">
        <v>1.9051026283694211E-7</v>
      </c>
      <c r="J32" s="15">
        <v>3.5968345961997357E-5</v>
      </c>
      <c r="K32" s="15">
        <v>1.7984172980998678E-5</v>
      </c>
      <c r="L32" s="15">
        <v>3.4565485235528063E-4</v>
      </c>
      <c r="M32" s="15">
        <v>1.7282742617764031E-4</v>
      </c>
    </row>
    <row r="33" spans="1:13" x14ac:dyDescent="0.35">
      <c r="A33" s="5">
        <v>31</v>
      </c>
      <c r="B33" s="5" t="s">
        <v>234</v>
      </c>
      <c r="C33" s="6" t="s">
        <v>180</v>
      </c>
      <c r="D33" s="15">
        <v>0.14617278828663058</v>
      </c>
      <c r="E33" s="15">
        <v>7.3086394143315289E-2</v>
      </c>
      <c r="F33" s="15">
        <v>7.4430573556999946E-2</v>
      </c>
      <c r="G33" s="15">
        <v>3.7215286778499973E-2</v>
      </c>
      <c r="H33" s="15">
        <v>6.9917736856995086E-4</v>
      </c>
      <c r="I33" s="15">
        <v>3.4958868428497543E-4</v>
      </c>
      <c r="J33" s="15">
        <v>9.8285396388140447E-2</v>
      </c>
      <c r="K33" s="15">
        <v>4.9142698194070224E-2</v>
      </c>
      <c r="L33" s="15">
        <v>4.2032220048227959E-4</v>
      </c>
      <c r="M33" s="15">
        <v>2.1016110024113979E-4</v>
      </c>
    </row>
    <row r="34" spans="1:13" x14ac:dyDescent="0.35">
      <c r="A34" s="5">
        <v>32</v>
      </c>
      <c r="B34" s="5" t="s">
        <v>235</v>
      </c>
      <c r="C34" s="6" t="s">
        <v>180</v>
      </c>
      <c r="D34" s="15">
        <v>2.1024108087868497E-4</v>
      </c>
      <c r="E34" s="15">
        <v>1.0512054043934248E-4</v>
      </c>
      <c r="F34" s="15">
        <v>9.0121878086596181E-3</v>
      </c>
      <c r="G34" s="15">
        <v>4.506093904329809E-3</v>
      </c>
      <c r="H34" s="15">
        <v>2.3247453419298632E-4</v>
      </c>
      <c r="I34" s="15">
        <v>1.1623726709649316E-4</v>
      </c>
      <c r="J34" s="15">
        <v>6.2375603271123297E-4</v>
      </c>
      <c r="K34" s="15">
        <v>3.1187801635561648E-4</v>
      </c>
      <c r="L34" s="15">
        <v>4.5300133815638367E-4</v>
      </c>
      <c r="M34" s="15">
        <v>2.2650066907819183E-4</v>
      </c>
    </row>
    <row r="35" spans="1:13" x14ac:dyDescent="0.35">
      <c r="A35" s="5">
        <v>33</v>
      </c>
      <c r="B35" s="5" t="s">
        <v>279</v>
      </c>
      <c r="C35" s="6" t="s">
        <v>180</v>
      </c>
      <c r="D35" s="15">
        <v>1.2423440712617723E-2</v>
      </c>
      <c r="E35" s="15">
        <v>6.2117203563088613E-3</v>
      </c>
      <c r="F35" s="15">
        <v>6.4955774765464462E-3</v>
      </c>
      <c r="G35" s="15">
        <v>3.2477887382732231E-3</v>
      </c>
      <c r="H35" s="15">
        <v>1.8374653507828551E-2</v>
      </c>
      <c r="I35" s="15">
        <v>9.1873267539142756E-3</v>
      </c>
      <c r="J35" s="15">
        <v>8.9485344722977315E-3</v>
      </c>
      <c r="K35" s="15">
        <v>4.4742672361488657E-3</v>
      </c>
      <c r="L35" s="15">
        <v>1.5906601587831763E-3</v>
      </c>
      <c r="M35" s="15">
        <v>7.9533007939158816E-4</v>
      </c>
    </row>
    <row r="36" spans="1:13" x14ac:dyDescent="0.35">
      <c r="A36" s="5">
        <v>34</v>
      </c>
      <c r="B36" s="5" t="s">
        <v>280</v>
      </c>
      <c r="C36" s="6" t="s">
        <v>180</v>
      </c>
      <c r="D36" s="15" t="s">
        <v>218</v>
      </c>
      <c r="E36" s="15" t="s">
        <v>218</v>
      </c>
      <c r="F36" s="15">
        <v>2.1231302617776115E-2</v>
      </c>
      <c r="G36" s="15">
        <v>1.0615651308888058E-2</v>
      </c>
      <c r="H36" s="15">
        <v>2.1479994641470462E-2</v>
      </c>
      <c r="I36" s="15">
        <v>1.0739997320735231E-2</v>
      </c>
      <c r="J36" s="15">
        <v>6.3692513809396403E-3</v>
      </c>
      <c r="K36" s="15">
        <v>3.1846256904698202E-3</v>
      </c>
      <c r="L36" s="15">
        <v>1.396805844255458E-2</v>
      </c>
      <c r="M36" s="15">
        <v>6.98402922127729E-3</v>
      </c>
    </row>
    <row r="37" spans="1:13" x14ac:dyDescent="0.35">
      <c r="A37" s="5">
        <v>35</v>
      </c>
      <c r="B37" s="5" t="s">
        <v>281</v>
      </c>
      <c r="C37" s="6" t="s">
        <v>180</v>
      </c>
      <c r="D37" s="15">
        <v>8.6862564859761392E-4</v>
      </c>
      <c r="E37" s="15">
        <v>4.3431282429880696E-4</v>
      </c>
      <c r="F37" s="15">
        <v>2.8681506967927531E-3</v>
      </c>
      <c r="G37" s="15">
        <v>1.4340753483963766E-3</v>
      </c>
      <c r="H37" s="15">
        <v>1.7003195651849759E-3</v>
      </c>
      <c r="I37" s="15">
        <v>8.5015978259248795E-4</v>
      </c>
      <c r="J37" s="15">
        <v>8.4177319573822368E-4</v>
      </c>
      <c r="K37" s="15">
        <v>4.2088659786911184E-4</v>
      </c>
      <c r="L37" s="15">
        <v>4.371445665187274E-3</v>
      </c>
      <c r="M37" s="15">
        <v>2.185722832593637E-3</v>
      </c>
    </row>
    <row r="38" spans="1:13" x14ac:dyDescent="0.35">
      <c r="A38" s="5">
        <v>36</v>
      </c>
      <c r="B38" s="5" t="s">
        <v>282</v>
      </c>
      <c r="C38" s="6" t="s">
        <v>180</v>
      </c>
      <c r="D38" s="15">
        <v>1.411433920894989E-2</v>
      </c>
      <c r="E38" s="15">
        <v>7.0571696044749452E-3</v>
      </c>
      <c r="F38" s="15">
        <v>1.1333194636759877E-2</v>
      </c>
      <c r="G38" s="15">
        <v>5.6665973183799385E-3</v>
      </c>
      <c r="H38" s="15">
        <v>8.2225432862768014E-3</v>
      </c>
      <c r="I38" s="15">
        <v>4.1112716431384007E-3</v>
      </c>
      <c r="J38" s="15">
        <v>4.5300550672028282E-3</v>
      </c>
      <c r="K38" s="15">
        <v>2.2650275336014141E-3</v>
      </c>
      <c r="L38" s="15">
        <v>1.2963491931047245E-4</v>
      </c>
      <c r="M38" s="15">
        <v>6.4817459655236223E-5</v>
      </c>
    </row>
    <row r="39" spans="1:13" x14ac:dyDescent="0.35">
      <c r="A39" s="5">
        <v>37</v>
      </c>
      <c r="B39" s="5" t="s">
        <v>283</v>
      </c>
      <c r="C39" s="6" t="s">
        <v>180</v>
      </c>
      <c r="D39" s="15">
        <v>1.1683252269661661E-3</v>
      </c>
      <c r="E39" s="15">
        <v>5.8416261348308307E-4</v>
      </c>
      <c r="F39" s="15">
        <v>4.8212923861610083E-5</v>
      </c>
      <c r="G39" s="15">
        <v>2.4106461930805041E-5</v>
      </c>
      <c r="H39" s="15">
        <v>1.2924338449743704E-6</v>
      </c>
      <c r="I39" s="15">
        <v>6.4621692248718522E-7</v>
      </c>
      <c r="J39" s="15">
        <v>1.2200578324964209E-4</v>
      </c>
      <c r="K39" s="15">
        <v>6.1002891624821044E-5</v>
      </c>
      <c r="L39" s="15">
        <v>1.1724723466628813E-3</v>
      </c>
      <c r="M39" s="15">
        <v>5.8623617333144063E-4</v>
      </c>
    </row>
    <row r="40" spans="1:13" x14ac:dyDescent="0.35">
      <c r="A40" s="5">
        <v>38</v>
      </c>
      <c r="B40" s="5" t="s">
        <v>284</v>
      </c>
      <c r="C40" s="6" t="s">
        <v>180</v>
      </c>
      <c r="D40" s="15">
        <v>0.13221494929823499</v>
      </c>
      <c r="E40" s="15">
        <v>6.6107474649117495E-2</v>
      </c>
      <c r="F40" s="15">
        <v>6.7323300214950962E-2</v>
      </c>
      <c r="G40" s="15">
        <v>3.3661650107475481E-2</v>
      </c>
      <c r="H40" s="15">
        <v>6.3241388099322734E-4</v>
      </c>
      <c r="I40" s="15">
        <v>3.1620694049661367E-4</v>
      </c>
      <c r="J40" s="15">
        <v>8.8900258745378699E-2</v>
      </c>
      <c r="K40" s="15">
        <v>4.445012937268935E-2</v>
      </c>
      <c r="L40" s="15">
        <v>3.8018621028637807E-4</v>
      </c>
      <c r="M40" s="15">
        <v>1.9009310514318903E-4</v>
      </c>
    </row>
    <row r="41" spans="1:13" x14ac:dyDescent="0.35">
      <c r="A41" s="5">
        <v>39</v>
      </c>
      <c r="B41" s="5" t="s">
        <v>285</v>
      </c>
      <c r="C41" s="6" t="s">
        <v>180</v>
      </c>
      <c r="D41" s="15">
        <v>1.9016544853939723E-4</v>
      </c>
      <c r="E41" s="15">
        <v>9.5082724269698613E-5</v>
      </c>
      <c r="F41" s="15">
        <v>8.1516263605206554E-3</v>
      </c>
      <c r="G41" s="15">
        <v>4.0758131802603277E-3</v>
      </c>
      <c r="H41" s="15">
        <v>2.1027585990345202E-4</v>
      </c>
      <c r="I41" s="15">
        <v>1.0513792995172601E-4</v>
      </c>
      <c r="J41" s="15">
        <v>5.6419442500931503E-4</v>
      </c>
      <c r="K41" s="15">
        <v>2.8209721250465751E-4</v>
      </c>
      <c r="L41" s="15">
        <v>4.0974486194334246E-4</v>
      </c>
      <c r="M41" s="15">
        <v>2.0487243097167123E-4</v>
      </c>
    </row>
    <row r="43" spans="1:13" ht="26" x14ac:dyDescent="0.6">
      <c r="A43" s="7" t="s">
        <v>19</v>
      </c>
      <c r="B43" s="8"/>
      <c r="C43" s="8"/>
      <c r="D43" s="13"/>
    </row>
    <row r="44" spans="1:13" x14ac:dyDescent="0.35">
      <c r="A44" s="9">
        <v>1</v>
      </c>
      <c r="B44" s="9" t="s">
        <v>20</v>
      </c>
      <c r="C44" s="10" t="s">
        <v>21</v>
      </c>
      <c r="D44" s="17">
        <v>10.240493000000001</v>
      </c>
      <c r="E44" s="17">
        <v>0.58962110000000001</v>
      </c>
      <c r="F44" s="17">
        <v>9.8974919999999997</v>
      </c>
      <c r="G44" s="17">
        <v>0.41121180000000002</v>
      </c>
      <c r="H44" s="17">
        <v>13.090223999999999</v>
      </c>
      <c r="I44" s="17">
        <v>0.32739249999999998</v>
      </c>
      <c r="J44" s="17">
        <v>12.122057</v>
      </c>
      <c r="K44" s="17">
        <v>0.59165129999999999</v>
      </c>
      <c r="L44" s="17">
        <v>10.688394000000001</v>
      </c>
      <c r="M44" s="17">
        <v>0.57504809999999995</v>
      </c>
    </row>
    <row r="45" spans="1:13" x14ac:dyDescent="0.35">
      <c r="A45" s="9">
        <v>2</v>
      </c>
      <c r="B45" s="9" t="s">
        <v>181</v>
      </c>
      <c r="C45" s="10" t="s">
        <v>21</v>
      </c>
      <c r="D45" s="17">
        <v>9.3974150000000005</v>
      </c>
      <c r="F45" s="17">
        <v>7.9157019999999996</v>
      </c>
      <c r="G45" s="17"/>
      <c r="H45" s="17">
        <v>11.465439</v>
      </c>
      <c r="I45" s="17"/>
      <c r="J45" s="17">
        <v>9.6527419999999999</v>
      </c>
      <c r="K45" s="17"/>
      <c r="L45" s="17">
        <v>7.9416000000000002</v>
      </c>
      <c r="M45" s="17"/>
    </row>
    <row r="46" spans="1:13" x14ac:dyDescent="0.35">
      <c r="A46" s="9">
        <v>3</v>
      </c>
      <c r="B46" s="9" t="s">
        <v>168</v>
      </c>
      <c r="C46" s="10" t="s">
        <v>21</v>
      </c>
      <c r="D46" s="17">
        <v>5.7369500000000002</v>
      </c>
      <c r="E46" s="17"/>
      <c r="F46" s="17">
        <v>2.8820000000000001</v>
      </c>
      <c r="G46" s="17"/>
      <c r="H46" s="17">
        <v>4.9303999999999997</v>
      </c>
      <c r="I46" s="17"/>
      <c r="J46" s="17">
        <v>8.3413350000000008</v>
      </c>
      <c r="K46" s="17"/>
      <c r="L46" s="17">
        <v>1.8084</v>
      </c>
      <c r="M46" s="17"/>
    </row>
    <row r="47" spans="1:13" x14ac:dyDescent="0.35">
      <c r="A47" s="9">
        <v>4</v>
      </c>
      <c r="B47" s="9" t="s">
        <v>190</v>
      </c>
      <c r="C47" s="10" t="s">
        <v>191</v>
      </c>
      <c r="D47" s="17">
        <v>884.26319999999998</v>
      </c>
      <c r="E47" s="17"/>
      <c r="F47" s="17">
        <v>1501.6922999999999</v>
      </c>
      <c r="G47" s="17"/>
      <c r="H47" s="17">
        <v>1046.5</v>
      </c>
      <c r="I47" s="17"/>
      <c r="J47" s="17">
        <v>449.5</v>
      </c>
      <c r="K47" s="17"/>
      <c r="L47" s="17">
        <v>2635.1</v>
      </c>
      <c r="M47" s="17"/>
    </row>
    <row r="48" spans="1:13" x14ac:dyDescent="0.35">
      <c r="A48" s="9">
        <v>5</v>
      </c>
      <c r="B48" s="8" t="s">
        <v>160</v>
      </c>
      <c r="C48" s="10" t="s">
        <v>169</v>
      </c>
      <c r="D48" s="17">
        <v>0.32656759474468966</v>
      </c>
      <c r="E48" s="17">
        <v>0.16437855245034977</v>
      </c>
      <c r="F48" s="17">
        <v>0.31045975717006297</v>
      </c>
      <c r="G48" s="17">
        <v>7.8558799430562487E-2</v>
      </c>
      <c r="H48" s="17">
        <v>7.3162576407054822E-3</v>
      </c>
      <c r="I48" s="17">
        <v>7.0528901977444406E-3</v>
      </c>
      <c r="J48" s="17">
        <v>0.4739057148472583</v>
      </c>
      <c r="K48" s="17">
        <v>0.16146131025564953</v>
      </c>
      <c r="L48" s="17">
        <v>1.9337844944991114E-4</v>
      </c>
      <c r="M48" s="17">
        <v>6.1151635065345418E-4</v>
      </c>
    </row>
    <row r="49" spans="1:18" x14ac:dyDescent="0.35">
      <c r="A49" s="9">
        <v>6</v>
      </c>
      <c r="B49" s="8" t="s">
        <v>22</v>
      </c>
      <c r="C49" s="10" t="s">
        <v>23</v>
      </c>
      <c r="D49" s="16">
        <v>2.4323501781423214</v>
      </c>
      <c r="E49" s="16"/>
      <c r="F49" s="16">
        <v>3.7253041652729526</v>
      </c>
      <c r="G49" s="16"/>
      <c r="H49" s="16">
        <v>4.8385681874089643</v>
      </c>
      <c r="I49" s="16"/>
      <c r="J49" s="16">
        <v>1.393927864036977</v>
      </c>
      <c r="K49" s="16"/>
      <c r="L49" s="16">
        <v>8.6175824554244311</v>
      </c>
      <c r="M49" s="13"/>
    </row>
    <row r="50" spans="1:18" s="8" customFormat="1" x14ac:dyDescent="0.35">
      <c r="A50" s="9">
        <v>7</v>
      </c>
      <c r="B50" s="8" t="s">
        <v>24</v>
      </c>
      <c r="C50" s="10" t="s">
        <v>23</v>
      </c>
      <c r="D50" s="13">
        <v>8.4716316118609694</v>
      </c>
      <c r="E50" s="16"/>
      <c r="F50" s="13">
        <v>1.1232474425869927</v>
      </c>
      <c r="G50" s="16"/>
      <c r="H50" s="13">
        <v>0.51240455397907148</v>
      </c>
      <c r="I50" s="16"/>
      <c r="J50" s="13">
        <v>0.35273312027826415</v>
      </c>
      <c r="K50" s="16"/>
      <c r="L50" s="13">
        <v>0.46975683323434964</v>
      </c>
      <c r="M50" s="13"/>
    </row>
    <row r="51" spans="1:18" s="8" customFormat="1" x14ac:dyDescent="0.35">
      <c r="A51" s="9">
        <v>8</v>
      </c>
      <c r="B51" s="8" t="s">
        <v>25</v>
      </c>
      <c r="C51" s="10" t="s">
        <v>23</v>
      </c>
      <c r="D51" s="13">
        <v>5.3577986892343077</v>
      </c>
      <c r="E51" s="16"/>
      <c r="F51" s="13">
        <v>3.4577517436177492</v>
      </c>
      <c r="G51" s="16"/>
      <c r="H51" s="13">
        <v>4.2948952587221045</v>
      </c>
      <c r="I51" s="16"/>
      <c r="J51" s="13">
        <v>3.9405854015456714</v>
      </c>
      <c r="K51" s="16"/>
      <c r="L51" s="13">
        <v>3.0408447155019203</v>
      </c>
      <c r="M51" s="13"/>
    </row>
    <row r="52" spans="1:18" s="8" customFormat="1" x14ac:dyDescent="0.35">
      <c r="A52" s="9">
        <v>9</v>
      </c>
      <c r="B52" s="8" t="s">
        <v>26</v>
      </c>
      <c r="C52" s="10" t="s">
        <v>23</v>
      </c>
      <c r="D52" s="13">
        <v>0.90800919603657448</v>
      </c>
      <c r="E52" s="16"/>
      <c r="F52" s="13">
        <v>1.1168357740714712</v>
      </c>
      <c r="G52" s="16"/>
      <c r="H52" s="13">
        <v>2.0222311417669885</v>
      </c>
      <c r="I52" s="16"/>
      <c r="J52" s="13">
        <v>1.7585174218494173</v>
      </c>
      <c r="K52" s="16"/>
      <c r="L52" s="13">
        <v>0.81948828811823138</v>
      </c>
      <c r="M52" s="13"/>
    </row>
    <row r="53" spans="1:18" x14ac:dyDescent="0.35">
      <c r="A53" s="9">
        <v>10</v>
      </c>
      <c r="B53" s="8" t="s">
        <v>27</v>
      </c>
      <c r="C53" s="10" t="s">
        <v>23</v>
      </c>
      <c r="D53" s="16">
        <v>1.0521291991626498</v>
      </c>
      <c r="E53" s="16"/>
      <c r="F53" s="16">
        <v>0.20896667907169963</v>
      </c>
      <c r="G53" s="16"/>
      <c r="H53" s="16">
        <v>0.26691986144075114</v>
      </c>
      <c r="I53" s="16"/>
      <c r="J53" s="16">
        <v>2.3268684258918482</v>
      </c>
      <c r="K53" s="16"/>
      <c r="L53" s="16">
        <v>0.55378937264701944</v>
      </c>
      <c r="M53" s="13"/>
    </row>
    <row r="54" spans="1:18" x14ac:dyDescent="0.35">
      <c r="A54" s="9">
        <v>11</v>
      </c>
      <c r="B54" s="8" t="s">
        <v>28</v>
      </c>
      <c r="C54" s="10" t="s">
        <v>23</v>
      </c>
      <c r="D54" s="16">
        <v>9.9137789999999999</v>
      </c>
      <c r="E54" s="16">
        <v>1.634976679</v>
      </c>
      <c r="F54" s="16">
        <v>4.7993069999999998</v>
      </c>
      <c r="G54" s="16">
        <v>9.1301560000000004E-3</v>
      </c>
      <c r="H54" s="16">
        <v>13.576252999999999</v>
      </c>
      <c r="I54" s="16">
        <v>7.2571894810000002</v>
      </c>
      <c r="J54" s="16">
        <v>6.6116929999999998</v>
      </c>
      <c r="K54" s="16">
        <v>1.918613779</v>
      </c>
      <c r="L54" s="16">
        <v>1.1752714</v>
      </c>
      <c r="M54" s="13">
        <v>0.63147409600000004</v>
      </c>
      <c r="Q54" s="28"/>
      <c r="R54" s="28"/>
    </row>
    <row r="55" spans="1:18" x14ac:dyDescent="0.35">
      <c r="A55" s="9">
        <v>12</v>
      </c>
      <c r="B55" s="8" t="s">
        <v>29</v>
      </c>
      <c r="C55" s="10" t="s">
        <v>23</v>
      </c>
      <c r="D55" s="16">
        <v>8.4445289999999993</v>
      </c>
      <c r="E55" s="16">
        <v>0.175182439</v>
      </c>
      <c r="F55" s="16">
        <v>20.486217</v>
      </c>
      <c r="G55" s="16">
        <v>5.1290182550000001</v>
      </c>
      <c r="H55" s="16">
        <v>29.446911</v>
      </c>
      <c r="I55" s="16">
        <v>5.2590702540000001</v>
      </c>
      <c r="J55" s="16">
        <v>11.317663</v>
      </c>
      <c r="K55" s="16">
        <v>6.5195917010000004</v>
      </c>
      <c r="L55" s="16">
        <v>11.495678</v>
      </c>
      <c r="M55" s="13">
        <v>3.3280949369999999</v>
      </c>
      <c r="Q55" s="28"/>
      <c r="R55" s="28"/>
    </row>
    <row r="56" spans="1:18" x14ac:dyDescent="0.35">
      <c r="A56" s="9">
        <v>13</v>
      </c>
      <c r="B56" s="8" t="s">
        <v>30</v>
      </c>
      <c r="C56" s="10" t="s">
        <v>23</v>
      </c>
      <c r="D56" s="16">
        <v>0.23954410000000001</v>
      </c>
      <c r="E56" s="16">
        <v>0.33876650000000003</v>
      </c>
      <c r="F56" s="16">
        <v>0.79096049999999996</v>
      </c>
      <c r="G56" s="16">
        <v>0.74237500000000001</v>
      </c>
      <c r="H56" s="16">
        <v>0.46890340000000003</v>
      </c>
      <c r="I56" s="16">
        <v>0.39759260000000002</v>
      </c>
      <c r="J56" s="16">
        <v>0.23213890000000001</v>
      </c>
      <c r="K56" s="16">
        <v>0.13097990000000001</v>
      </c>
      <c r="L56" s="16">
        <v>1.2055297</v>
      </c>
      <c r="M56" s="13">
        <v>0.85942859999999999</v>
      </c>
      <c r="Q56">
        <f>0.004*D61</f>
        <v>0.10097136575956031</v>
      </c>
    </row>
    <row r="57" spans="1:18" x14ac:dyDescent="0.35">
      <c r="A57" s="9">
        <v>14</v>
      </c>
      <c r="B57" s="8" t="s">
        <v>31</v>
      </c>
      <c r="C57" s="10" t="s">
        <v>23</v>
      </c>
      <c r="D57" s="16">
        <v>4.1319074999999996</v>
      </c>
      <c r="E57" s="16">
        <v>2.6204844</v>
      </c>
      <c r="F57" s="16">
        <v>3.9163573999999999</v>
      </c>
      <c r="G57" s="16">
        <v>2.8763820999999998</v>
      </c>
      <c r="H57" s="16">
        <v>2.7364644999999999</v>
      </c>
      <c r="I57" s="16">
        <v>0.35706339999999998</v>
      </c>
      <c r="J57" s="16">
        <v>1.4814088999999999</v>
      </c>
      <c r="K57" s="16">
        <v>0.62639690000000003</v>
      </c>
      <c r="L57" s="16">
        <v>1.2412795999999999</v>
      </c>
      <c r="M57" s="13">
        <v>0.53054069999999998</v>
      </c>
    </row>
    <row r="58" spans="1:18" x14ac:dyDescent="0.35">
      <c r="A58" s="9">
        <v>15</v>
      </c>
      <c r="B58" s="8" t="s">
        <v>158</v>
      </c>
      <c r="C58" s="10" t="s">
        <v>23</v>
      </c>
      <c r="D58" s="16">
        <f>AVERAGE(NZ_Extra!D18:D19)</f>
        <v>0.32219335849999997</v>
      </c>
      <c r="E58" s="16"/>
      <c r="F58" s="16">
        <f>AVERAGE(NZ_Extra!F18:F19)</f>
        <v>1.32958559E-2</v>
      </c>
      <c r="G58" s="16"/>
      <c r="H58" s="16">
        <f>AVERAGE(NZ_Extra!H18:H19)</f>
        <v>3.5641924999999999E-4</v>
      </c>
      <c r="I58" s="16"/>
      <c r="J58" s="16">
        <f>AVERAGE(NZ_Extra!J18:J19)</f>
        <v>3.3645985000000003E-2</v>
      </c>
      <c r="K58" s="16"/>
      <c r="L58" s="16">
        <f>AVERAGE(NZ_Extra!L18:L19)</f>
        <v>0.323337025</v>
      </c>
      <c r="M58" s="35"/>
    </row>
    <row r="59" spans="1:18" x14ac:dyDescent="0.35">
      <c r="A59" s="9">
        <v>16</v>
      </c>
      <c r="B59" s="8" t="s">
        <v>159</v>
      </c>
      <c r="C59" s="10" t="s">
        <v>23</v>
      </c>
      <c r="D59" s="16">
        <f>AVERAGE(NZ_Extra!D20:D21)</f>
        <v>3.6306909999999998E-2</v>
      </c>
      <c r="E59" s="16"/>
      <c r="F59" s="16">
        <f>AVERAGE(NZ_Extra!F20:F21)</f>
        <v>1.5563309049999998</v>
      </c>
      <c r="G59" s="16"/>
      <c r="H59" s="16">
        <f>AVERAGE(NZ_Extra!H20:H21)</f>
        <v>4.0146444999999996E-2</v>
      </c>
      <c r="I59" s="16"/>
      <c r="J59" s="16">
        <f>AVERAGE(NZ_Extra!J20:J21)</f>
        <v>0.10771755</v>
      </c>
      <c r="K59" s="16"/>
      <c r="L59" s="16">
        <f>AVERAGE(NZ_Extra!L20:L21)</f>
        <v>7.8229615000000002E-2</v>
      </c>
      <c r="M59" s="35"/>
    </row>
    <row r="60" spans="1:18" x14ac:dyDescent="0.35">
      <c r="A60" s="9">
        <v>17</v>
      </c>
      <c r="B60" s="8" t="s">
        <v>166</v>
      </c>
      <c r="C60" s="10" t="s">
        <v>23</v>
      </c>
      <c r="D60" s="8">
        <v>10.280304567373474</v>
      </c>
      <c r="E60" s="16">
        <v>8.4812444609999993</v>
      </c>
      <c r="F60" s="16">
        <v>3.5113963199999998</v>
      </c>
      <c r="G60" s="16">
        <v>3.2785495619999998</v>
      </c>
      <c r="H60" s="16">
        <v>7.5097617000000005E-2</v>
      </c>
      <c r="I60" s="16">
        <v>9.3705091000000004E-2</v>
      </c>
      <c r="J60" s="16">
        <v>7.6321474839999999</v>
      </c>
      <c r="K60" s="16">
        <v>8.6550229059999992</v>
      </c>
      <c r="L60" s="16">
        <v>1.770607E-3</v>
      </c>
      <c r="M60" s="13">
        <v>4.3370830000000003E-3</v>
      </c>
    </row>
    <row r="61" spans="1:18" x14ac:dyDescent="0.35">
      <c r="A61" s="9">
        <v>18</v>
      </c>
      <c r="B61" s="8" t="s">
        <v>167</v>
      </c>
      <c r="C61" s="10" t="s">
        <v>23</v>
      </c>
      <c r="D61" s="16">
        <v>25.242841439890078</v>
      </c>
      <c r="E61" s="16">
        <v>18.100777572999998</v>
      </c>
      <c r="F61" s="16">
        <v>12.853549478</v>
      </c>
      <c r="G61" s="16">
        <v>15.547954317</v>
      </c>
      <c r="H61" s="16">
        <v>0.120742196</v>
      </c>
      <c r="I61" s="16">
        <v>0.17997648599999999</v>
      </c>
      <c r="J61" s="16">
        <v>16.973081693000001</v>
      </c>
      <c r="K61" s="16">
        <v>11.787042123000001</v>
      </c>
      <c r="L61" s="16">
        <v>7.2586196000000006E-2</v>
      </c>
      <c r="M61" s="13">
        <v>0.15708614900000001</v>
      </c>
    </row>
    <row r="62" spans="1:18" x14ac:dyDescent="0.35">
      <c r="A62" s="9">
        <v>19</v>
      </c>
      <c r="B62" s="8" t="s">
        <v>32</v>
      </c>
      <c r="C62" s="10" t="s">
        <v>23</v>
      </c>
      <c r="D62" s="16">
        <v>5.354917872714231</v>
      </c>
      <c r="E62" s="16"/>
      <c r="F62" s="16">
        <v>5.3429932071880728</v>
      </c>
      <c r="G62" s="16"/>
      <c r="H62" s="16">
        <v>4.451094572511467</v>
      </c>
      <c r="I62" s="16"/>
      <c r="J62" s="16">
        <v>4.116539054311926</v>
      </c>
      <c r="K62" s="16"/>
      <c r="L62" s="16">
        <v>1.8180427205504586</v>
      </c>
    </row>
    <row r="63" spans="1:18" x14ac:dyDescent="0.35">
      <c r="A63" s="9">
        <v>20</v>
      </c>
      <c r="B63" s="8" t="s">
        <v>33</v>
      </c>
      <c r="C63" s="10" t="s">
        <v>23</v>
      </c>
      <c r="D63" s="16">
        <v>1.5578214515930142</v>
      </c>
      <c r="E63" s="16"/>
      <c r="F63" s="16">
        <v>1.3807395753864304</v>
      </c>
      <c r="G63" s="16"/>
      <c r="H63" s="16">
        <v>1.093792666100704</v>
      </c>
      <c r="I63" s="16"/>
      <c r="J63" s="16">
        <v>0.87898105291124362</v>
      </c>
      <c r="K63" s="16"/>
      <c r="L63" s="16">
        <v>0.35441645392681881</v>
      </c>
    </row>
    <row r="64" spans="1:18" x14ac:dyDescent="0.35">
      <c r="A64" s="9">
        <v>21</v>
      </c>
      <c r="B64" s="8" t="s">
        <v>34</v>
      </c>
      <c r="C64" s="10" t="s">
        <v>23</v>
      </c>
      <c r="D64" s="16">
        <v>18.403219989872277</v>
      </c>
      <c r="E64" s="16"/>
      <c r="F64" s="16">
        <v>10.490392913780543</v>
      </c>
      <c r="G64" s="16"/>
      <c r="H64" s="16">
        <v>0.11712693059168898</v>
      </c>
      <c r="I64" s="16"/>
      <c r="J64" s="16">
        <v>12.434821842925722</v>
      </c>
      <c r="K64" s="16"/>
      <c r="L64" s="16">
        <v>0.10979391035521449</v>
      </c>
    </row>
    <row r="65" spans="1:13" x14ac:dyDescent="0.35">
      <c r="A65" s="9">
        <v>22</v>
      </c>
      <c r="B65" s="8" t="s">
        <v>154</v>
      </c>
      <c r="C65" s="10" t="s">
        <v>155</v>
      </c>
      <c r="D65" s="16">
        <v>555.38994216228696</v>
      </c>
      <c r="E65" s="16"/>
      <c r="F65" s="16">
        <v>384.66280015304699</v>
      </c>
      <c r="G65" s="16"/>
      <c r="H65" s="16">
        <v>317.083903009398</v>
      </c>
      <c r="I65" s="16"/>
      <c r="J65" s="16">
        <v>235.54478217396701</v>
      </c>
      <c r="K65" s="16"/>
      <c r="L65" s="16">
        <v>354.50234195540702</v>
      </c>
    </row>
    <row r="66" spans="1:13" x14ac:dyDescent="0.35">
      <c r="A66" s="9">
        <v>23</v>
      </c>
      <c r="B66" s="8" t="s">
        <v>156</v>
      </c>
      <c r="C66" s="10" t="s">
        <v>155</v>
      </c>
      <c r="D66" s="16">
        <v>1679.9187908255799</v>
      </c>
      <c r="E66" s="16"/>
      <c r="F66" s="16">
        <v>524.29391895270601</v>
      </c>
      <c r="G66" s="16"/>
      <c r="H66" s="16">
        <v>436.082019537897</v>
      </c>
      <c r="I66" s="16"/>
      <c r="J66" s="16">
        <v>308.87667068271998</v>
      </c>
      <c r="K66" s="16"/>
      <c r="L66" s="16">
        <v>627.79010109917101</v>
      </c>
    </row>
    <row r="67" spans="1:13" x14ac:dyDescent="0.35">
      <c r="A67" s="9">
        <v>24</v>
      </c>
      <c r="B67" s="8" t="s">
        <v>157</v>
      </c>
      <c r="C67" s="10" t="s">
        <v>155</v>
      </c>
      <c r="D67" s="16">
        <v>11749.864845948199</v>
      </c>
      <c r="E67" s="16"/>
      <c r="F67" s="16">
        <v>8239.8320490517999</v>
      </c>
      <c r="G67" s="16"/>
      <c r="H67" s="16">
        <v>10570.128463663599</v>
      </c>
      <c r="I67" s="16"/>
      <c r="J67" s="16">
        <v>23363.7795992069</v>
      </c>
      <c r="K67" s="16"/>
      <c r="L67" s="16">
        <v>11056.7363182476</v>
      </c>
    </row>
    <row r="68" spans="1:13" x14ac:dyDescent="0.35">
      <c r="A68" s="9">
        <v>25</v>
      </c>
      <c r="B68" s="8" t="s">
        <v>36</v>
      </c>
      <c r="C68" s="10" t="s">
        <v>37</v>
      </c>
      <c r="D68" s="13">
        <v>7.5640000000000004E-3</v>
      </c>
      <c r="E68" s="16"/>
      <c r="F68" s="13">
        <v>7.5640000000000004E-3</v>
      </c>
      <c r="G68" s="16"/>
      <c r="H68" s="13">
        <v>7.5640000000000004E-3</v>
      </c>
      <c r="I68" s="16"/>
      <c r="J68" s="13">
        <v>7.5640000000000004E-3</v>
      </c>
      <c r="K68" s="16"/>
      <c r="L68" s="13">
        <v>7.5640000000000004E-3</v>
      </c>
    </row>
    <row r="69" spans="1:13" x14ac:dyDescent="0.35">
      <c r="A69" s="9">
        <v>26</v>
      </c>
      <c r="B69" s="8" t="s">
        <v>38</v>
      </c>
      <c r="C69" s="10" t="s">
        <v>37</v>
      </c>
      <c r="D69" s="16">
        <v>0.46887499999999999</v>
      </c>
      <c r="E69" s="16"/>
      <c r="F69" s="16">
        <v>0.46887499999999999</v>
      </c>
      <c r="G69" s="16"/>
      <c r="H69" s="16">
        <v>0.46887499999999999</v>
      </c>
      <c r="I69" s="16"/>
      <c r="J69" s="16">
        <v>0.46887499999999999</v>
      </c>
      <c r="K69" s="16"/>
      <c r="L69" s="16">
        <v>0.46887499999999999</v>
      </c>
    </row>
    <row r="70" spans="1:13" x14ac:dyDescent="0.35">
      <c r="A70" s="9">
        <v>27</v>
      </c>
      <c r="B70" s="8" t="s">
        <v>150</v>
      </c>
      <c r="C70" s="10" t="s">
        <v>37</v>
      </c>
      <c r="D70" s="16">
        <v>0.96186859999999996</v>
      </c>
      <c r="E70" s="18"/>
      <c r="F70" s="16">
        <v>0.54815100000000005</v>
      </c>
      <c r="G70" s="16"/>
      <c r="H70" s="16">
        <v>2.8122100000000001E-2</v>
      </c>
      <c r="I70" s="16"/>
      <c r="J70" s="16">
        <v>0.75654580000000005</v>
      </c>
      <c r="K70" s="16"/>
      <c r="L70" s="16">
        <v>1.7015480000000001</v>
      </c>
    </row>
    <row r="71" spans="1:13" x14ac:dyDescent="0.35">
      <c r="A71" s="9">
        <v>28</v>
      </c>
      <c r="B71" s="8" t="s">
        <v>151</v>
      </c>
      <c r="C71" s="10" t="s">
        <v>37</v>
      </c>
      <c r="D71" s="16">
        <v>1.21023E-2</v>
      </c>
      <c r="E71" s="18"/>
      <c r="F71" s="16">
        <v>0.51877689999999999</v>
      </c>
      <c r="G71" s="16"/>
      <c r="H71" s="16">
        <v>1.3382150000000001E-2</v>
      </c>
      <c r="I71" s="16"/>
      <c r="J71" s="16">
        <v>3.5905859999999998E-2</v>
      </c>
      <c r="K71" s="16"/>
      <c r="L71" s="16">
        <v>2.6076539999999999E-2</v>
      </c>
    </row>
    <row r="72" spans="1:13" x14ac:dyDescent="0.35">
      <c r="A72" s="9">
        <v>29</v>
      </c>
      <c r="B72" s="8" t="s">
        <v>254</v>
      </c>
      <c r="C72" s="10" t="s">
        <v>37</v>
      </c>
      <c r="D72" s="16">
        <v>1.1365681939127792</v>
      </c>
      <c r="E72" s="18"/>
      <c r="F72" s="16">
        <v>2.37664373529313</v>
      </c>
      <c r="G72" s="16"/>
      <c r="H72" s="16">
        <v>1.5945618649858171</v>
      </c>
      <c r="I72" s="16"/>
      <c r="J72" s="16">
        <v>20.549279036435077</v>
      </c>
      <c r="K72" s="16"/>
      <c r="L72" s="16">
        <v>1.5945618649858171</v>
      </c>
    </row>
    <row r="73" spans="1:13" x14ac:dyDescent="0.35">
      <c r="A73" s="9">
        <v>30</v>
      </c>
      <c r="B73" s="8" t="s">
        <v>39</v>
      </c>
      <c r="C73" s="10" t="s">
        <v>40</v>
      </c>
      <c r="D73" s="16">
        <v>1300</v>
      </c>
      <c r="E73" s="18"/>
      <c r="F73" s="16">
        <v>1300</v>
      </c>
      <c r="G73" s="16"/>
      <c r="H73" s="16">
        <v>1300</v>
      </c>
      <c r="I73" s="16"/>
      <c r="J73" s="16">
        <v>1300</v>
      </c>
      <c r="K73" s="16"/>
      <c r="L73" s="16">
        <v>1300</v>
      </c>
    </row>
    <row r="74" spans="1:13" x14ac:dyDescent="0.35">
      <c r="A74" s="9">
        <v>31</v>
      </c>
      <c r="B74" s="8" t="s">
        <v>41</v>
      </c>
      <c r="C74" s="10" t="s">
        <v>40</v>
      </c>
      <c r="D74" s="16">
        <v>892000</v>
      </c>
      <c r="E74" s="18"/>
      <c r="F74" s="16">
        <v>892000</v>
      </c>
      <c r="G74" s="16"/>
      <c r="H74" s="16">
        <v>892000</v>
      </c>
      <c r="I74" s="16"/>
      <c r="J74" s="16">
        <v>892000</v>
      </c>
      <c r="K74" s="16"/>
      <c r="L74" s="16">
        <v>892000</v>
      </c>
    </row>
    <row r="75" spans="1:13" x14ac:dyDescent="0.35">
      <c r="A75" s="9">
        <v>32</v>
      </c>
      <c r="B75" s="8" t="s">
        <v>42</v>
      </c>
      <c r="C75" s="10" t="s">
        <v>40</v>
      </c>
      <c r="D75" s="16">
        <v>1257660</v>
      </c>
      <c r="E75" s="18"/>
      <c r="F75" s="16">
        <v>1257660</v>
      </c>
      <c r="G75" s="16"/>
      <c r="H75" s="16">
        <v>1257660</v>
      </c>
      <c r="I75" s="16"/>
      <c r="J75" s="16">
        <v>1257660</v>
      </c>
      <c r="K75" s="16"/>
      <c r="L75" s="16">
        <v>1257660</v>
      </c>
    </row>
    <row r="76" spans="1:13" x14ac:dyDescent="0.35">
      <c r="A76" s="9">
        <v>33</v>
      </c>
      <c r="B76" s="8" t="s">
        <v>182</v>
      </c>
      <c r="C76" s="10" t="s">
        <v>35</v>
      </c>
      <c r="D76" s="17">
        <v>1.0503395377281601</v>
      </c>
      <c r="E76" s="17"/>
      <c r="F76" s="17">
        <v>0.48589487930952385</v>
      </c>
      <c r="G76" s="17"/>
      <c r="H76" s="17">
        <v>6.4810982831485352E-3</v>
      </c>
      <c r="I76" s="17"/>
      <c r="J76" s="17">
        <v>0.79249506342541975</v>
      </c>
      <c r="K76" s="17"/>
      <c r="L76" s="17">
        <v>2.8626111979504808E-3</v>
      </c>
      <c r="M76" s="15"/>
    </row>
    <row r="78" spans="1:13" ht="30" x14ac:dyDescent="0.6">
      <c r="A78" s="19" t="s">
        <v>43</v>
      </c>
      <c r="B78" s="20"/>
      <c r="C78" s="20"/>
      <c r="D78" s="21"/>
      <c r="E78" s="21"/>
      <c r="F78" s="21"/>
      <c r="G78" s="21"/>
      <c r="H78" s="21"/>
      <c r="I78" s="21"/>
      <c r="J78" s="21"/>
      <c r="K78" s="21"/>
      <c r="L78" s="21"/>
      <c r="M78" s="21"/>
    </row>
    <row r="79" spans="1:13" x14ac:dyDescent="0.35">
      <c r="A79" s="22">
        <v>1</v>
      </c>
      <c r="B79" s="22" t="s">
        <v>47</v>
      </c>
      <c r="C79" s="23" t="s">
        <v>45</v>
      </c>
      <c r="D79" s="24">
        <v>6.5344519999999999</v>
      </c>
      <c r="E79" s="24">
        <v>0.75064960000000003</v>
      </c>
      <c r="F79" s="21">
        <v>4.0130990000000004</v>
      </c>
      <c r="G79" s="21">
        <v>0.6753015</v>
      </c>
      <c r="H79" s="11">
        <v>9.1313420000000001</v>
      </c>
      <c r="I79" s="11">
        <v>0.45024690000000001</v>
      </c>
      <c r="J79" s="21">
        <v>9.7313410000000005</v>
      </c>
      <c r="K79" s="21">
        <v>0.35580620000000002</v>
      </c>
      <c r="L79" s="24">
        <v>4.5152340000000004</v>
      </c>
      <c r="M79" s="24">
        <v>0.33743719999999999</v>
      </c>
    </row>
    <row r="80" spans="1:13" x14ac:dyDescent="0.35">
      <c r="A80" s="22">
        <v>2</v>
      </c>
      <c r="B80" s="22" t="s">
        <v>48</v>
      </c>
      <c r="C80" s="23" t="s">
        <v>45</v>
      </c>
      <c r="D80" s="24">
        <v>6.0951810000000002</v>
      </c>
      <c r="E80" s="24">
        <v>1.4836384</v>
      </c>
      <c r="F80" s="21">
        <v>4.4330930000000004</v>
      </c>
      <c r="G80" s="21">
        <v>0.7529901</v>
      </c>
      <c r="H80" s="21">
        <v>8.9932130000000008</v>
      </c>
      <c r="I80" s="21">
        <v>0.57430250000000005</v>
      </c>
      <c r="J80" s="21">
        <v>10.505179</v>
      </c>
      <c r="K80" s="21">
        <v>0.38461450000000003</v>
      </c>
      <c r="L80" s="24">
        <v>6.5810570000000004</v>
      </c>
      <c r="M80" s="24">
        <v>1.1969808</v>
      </c>
    </row>
    <row r="81" spans="1:13" x14ac:dyDescent="0.35">
      <c r="A81" s="22">
        <v>3</v>
      </c>
      <c r="B81" s="22" t="s">
        <v>49</v>
      </c>
      <c r="C81" s="23" t="s">
        <v>45</v>
      </c>
      <c r="D81" s="24">
        <v>2.78</v>
      </c>
      <c r="E81" s="24">
        <v>1.33</v>
      </c>
      <c r="F81" s="21">
        <v>1.1299999999999999</v>
      </c>
      <c r="G81" s="21">
        <v>0.55000000000000004</v>
      </c>
      <c r="H81" s="21" t="s">
        <v>71</v>
      </c>
      <c r="I81" s="21" t="s">
        <v>71</v>
      </c>
      <c r="J81" s="21">
        <v>7.75</v>
      </c>
      <c r="K81" s="21">
        <v>0.47</v>
      </c>
      <c r="L81" s="24" t="s">
        <v>71</v>
      </c>
      <c r="M81" s="24" t="s">
        <v>71</v>
      </c>
    </row>
  </sheetData>
  <pageMargins left="0.7" right="0.7" top="0.75" bottom="0.75" header="0.3" footer="0.3"/>
  <pageSetup orientation="portrait" r:id="rId1"/>
  <legacy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FE44BF-4A7A-43C9-B057-DCBF7C700F27}">
  <dimension ref="A2:L14"/>
  <sheetViews>
    <sheetView workbookViewId="0">
      <selection activeCell="K14" sqref="K14"/>
    </sheetView>
  </sheetViews>
  <sheetFormatPr defaultRowHeight="14.5" x14ac:dyDescent="0.35"/>
  <cols>
    <col min="1" max="1" width="22.90625" bestFit="1" customWidth="1"/>
    <col min="3" max="3" width="9" bestFit="1" customWidth="1"/>
    <col min="5" max="5" width="9.36328125" bestFit="1" customWidth="1"/>
    <col min="7" max="7" width="9.36328125" bestFit="1" customWidth="1"/>
    <col min="9" max="9" width="9.36328125" bestFit="1" customWidth="1"/>
    <col min="11" max="11" width="9.36328125" bestFit="1" customWidth="1"/>
  </cols>
  <sheetData>
    <row r="2" spans="1:12" x14ac:dyDescent="0.35">
      <c r="B2" t="s">
        <v>1</v>
      </c>
      <c r="C2" t="s">
        <v>2</v>
      </c>
      <c r="D2" t="s">
        <v>3</v>
      </c>
      <c r="E2" t="s">
        <v>4</v>
      </c>
      <c r="F2" t="s">
        <v>3</v>
      </c>
      <c r="G2" t="s">
        <v>5</v>
      </c>
      <c r="H2" t="s">
        <v>3</v>
      </c>
      <c r="I2" t="s">
        <v>6</v>
      </c>
      <c r="J2" t="s">
        <v>3</v>
      </c>
      <c r="K2" t="s">
        <v>7</v>
      </c>
      <c r="L2" t="s">
        <v>3</v>
      </c>
    </row>
    <row r="3" spans="1:12" x14ac:dyDescent="0.35">
      <c r="A3" s="8" t="s">
        <v>28</v>
      </c>
      <c r="B3" s="10" t="s">
        <v>23</v>
      </c>
      <c r="C3" s="16">
        <v>9.9137789999999999</v>
      </c>
      <c r="D3" s="16">
        <v>1.634976679</v>
      </c>
      <c r="E3" s="16">
        <v>4.7993069999999998</v>
      </c>
      <c r="F3" s="16">
        <v>9.1301560000000004E-3</v>
      </c>
      <c r="G3" s="16">
        <v>13.576252999999999</v>
      </c>
      <c r="H3" s="16">
        <v>7.2571894810000002</v>
      </c>
      <c r="I3" s="16">
        <v>6.6116929999999998</v>
      </c>
      <c r="J3" s="16">
        <v>1.918613779</v>
      </c>
      <c r="K3" s="16">
        <v>1.1752714</v>
      </c>
      <c r="L3" s="13">
        <v>0.63147409600000004</v>
      </c>
    </row>
    <row r="4" spans="1:12" x14ac:dyDescent="0.35">
      <c r="A4" s="8" t="s">
        <v>29</v>
      </c>
      <c r="B4" s="10" t="s">
        <v>23</v>
      </c>
      <c r="C4" s="16">
        <v>8.4445289999999993</v>
      </c>
      <c r="D4" s="16">
        <v>0.175182439</v>
      </c>
      <c r="E4" s="16">
        <v>20.486217</v>
      </c>
      <c r="F4" s="16">
        <v>5.1290182550000001</v>
      </c>
      <c r="G4" s="16">
        <v>29.446911</v>
      </c>
      <c r="H4" s="16">
        <v>5.2590702540000001</v>
      </c>
      <c r="I4" s="16">
        <v>11.317663</v>
      </c>
      <c r="J4" s="16">
        <v>6.5195917010000004</v>
      </c>
      <c r="K4" s="16">
        <v>11.495678</v>
      </c>
      <c r="L4" s="13">
        <v>3.3280949369999999</v>
      </c>
    </row>
    <row r="5" spans="1:12" x14ac:dyDescent="0.35">
      <c r="A5" s="8" t="s">
        <v>30</v>
      </c>
      <c r="B5" s="10" t="s">
        <v>23</v>
      </c>
      <c r="C5" s="16">
        <v>0.23954410000000001</v>
      </c>
      <c r="D5" s="16">
        <v>0.33876650000000003</v>
      </c>
      <c r="E5" s="16">
        <v>0.79096049999999996</v>
      </c>
      <c r="F5" s="16">
        <v>0.74237500000000001</v>
      </c>
      <c r="G5" s="16">
        <v>0.46890340000000003</v>
      </c>
      <c r="H5" s="16">
        <v>0.39759260000000002</v>
      </c>
      <c r="I5" s="16">
        <v>0.23213890000000001</v>
      </c>
      <c r="J5" s="16">
        <v>0.13097990000000001</v>
      </c>
      <c r="K5" s="16">
        <v>1.2055297</v>
      </c>
      <c r="L5" s="13">
        <v>0.85942859999999999</v>
      </c>
    </row>
    <row r="6" spans="1:12" x14ac:dyDescent="0.35">
      <c r="A6" s="8" t="s">
        <v>31</v>
      </c>
      <c r="B6" s="10" t="s">
        <v>23</v>
      </c>
      <c r="C6" s="16">
        <v>4.1319074999999996</v>
      </c>
      <c r="D6" s="16">
        <v>2.6204844</v>
      </c>
      <c r="E6" s="16">
        <v>3.9163573999999999</v>
      </c>
      <c r="F6" s="16">
        <v>2.8763820999999998</v>
      </c>
      <c r="G6" s="16">
        <v>2.7364644999999999</v>
      </c>
      <c r="H6" s="16">
        <v>0.35706339999999998</v>
      </c>
      <c r="I6" s="16">
        <v>1.4814088999999999</v>
      </c>
      <c r="J6" s="16">
        <v>0.62639690000000003</v>
      </c>
      <c r="K6" s="16">
        <v>1.2412795999999999</v>
      </c>
      <c r="L6" s="13">
        <v>0.53054069999999998</v>
      </c>
    </row>
    <row r="8" spans="1:12" x14ac:dyDescent="0.35">
      <c r="A8" s="8" t="s">
        <v>248</v>
      </c>
      <c r="B8" s="10" t="s">
        <v>23</v>
      </c>
      <c r="C8" s="28">
        <f>C3</f>
        <v>9.9137789999999999</v>
      </c>
      <c r="D8" s="28">
        <f t="shared" ref="D8:L8" si="0">D3</f>
        <v>1.634976679</v>
      </c>
      <c r="E8" s="28">
        <f t="shared" si="0"/>
        <v>4.7993069999999998</v>
      </c>
      <c r="F8" s="28">
        <f t="shared" si="0"/>
        <v>9.1301560000000004E-3</v>
      </c>
      <c r="G8" s="28">
        <f t="shared" si="0"/>
        <v>13.576252999999999</v>
      </c>
      <c r="H8" s="28">
        <f t="shared" si="0"/>
        <v>7.2571894810000002</v>
      </c>
      <c r="I8" s="28">
        <f t="shared" si="0"/>
        <v>6.6116929999999998</v>
      </c>
      <c r="J8" s="28">
        <f t="shared" si="0"/>
        <v>1.918613779</v>
      </c>
      <c r="K8" s="28">
        <f t="shared" si="0"/>
        <v>1.1752714</v>
      </c>
      <c r="L8" s="28">
        <f t="shared" si="0"/>
        <v>0.63147409600000004</v>
      </c>
    </row>
    <row r="9" spans="1:12" x14ac:dyDescent="0.35">
      <c r="A9" s="8" t="s">
        <v>249</v>
      </c>
      <c r="B9" s="10" t="s">
        <v>23</v>
      </c>
      <c r="C9" s="28"/>
      <c r="D9" s="28"/>
      <c r="E9" s="28">
        <f t="shared" ref="C9:K11" si="1">E4-E3</f>
        <v>15.686910000000001</v>
      </c>
      <c r="F9" s="28"/>
      <c r="G9" s="28">
        <f t="shared" si="1"/>
        <v>15.870658000000001</v>
      </c>
      <c r="H9" s="28"/>
      <c r="I9" s="28">
        <f t="shared" si="1"/>
        <v>4.7059699999999998</v>
      </c>
      <c r="J9" s="28"/>
      <c r="K9" s="28">
        <f t="shared" si="1"/>
        <v>10.3204066</v>
      </c>
      <c r="L9" s="28"/>
    </row>
    <row r="10" spans="1:12" x14ac:dyDescent="0.35">
      <c r="A10" s="8" t="s">
        <v>250</v>
      </c>
      <c r="B10" s="10" t="s">
        <v>23</v>
      </c>
      <c r="C10" s="28">
        <f>C5</f>
        <v>0.23954410000000001</v>
      </c>
      <c r="E10" s="28">
        <f>E5</f>
        <v>0.79096049999999996</v>
      </c>
      <c r="G10" s="28">
        <f>G5</f>
        <v>0.46890340000000003</v>
      </c>
      <c r="I10" s="28">
        <f>I5</f>
        <v>0.23213890000000001</v>
      </c>
      <c r="K10" s="28">
        <f>K5</f>
        <v>1.2055297</v>
      </c>
    </row>
    <row r="11" spans="1:12" x14ac:dyDescent="0.35">
      <c r="A11" s="8" t="s">
        <v>251</v>
      </c>
      <c r="B11" s="10" t="s">
        <v>23</v>
      </c>
      <c r="C11" s="28">
        <f t="shared" si="1"/>
        <v>3.8923633999999998</v>
      </c>
      <c r="E11" s="28">
        <f t="shared" si="1"/>
        <v>3.1253969000000001</v>
      </c>
      <c r="G11" s="28">
        <f t="shared" si="1"/>
        <v>2.2675611</v>
      </c>
      <c r="I11" s="28">
        <f t="shared" si="1"/>
        <v>1.2492699999999999</v>
      </c>
      <c r="K11" s="28">
        <f t="shared" si="1"/>
        <v>3.574989999999989E-2</v>
      </c>
    </row>
    <row r="13" spans="1:12" x14ac:dyDescent="0.35">
      <c r="A13" s="8" t="s">
        <v>252</v>
      </c>
      <c r="B13" s="10" t="s">
        <v>23</v>
      </c>
      <c r="C13" s="28">
        <f>SUM(C8:C9)</f>
        <v>9.9137789999999999</v>
      </c>
      <c r="E13" s="28">
        <f>SUM(E8:E9)</f>
        <v>20.486217</v>
      </c>
      <c r="G13" s="28">
        <f>SUM(G8:G9)</f>
        <v>29.446911</v>
      </c>
      <c r="I13" s="28">
        <f>SUM(I8:I9)</f>
        <v>11.317663</v>
      </c>
      <c r="K13" s="28">
        <f>SUM(K8:K9)</f>
        <v>11.495678</v>
      </c>
    </row>
    <row r="14" spans="1:12" x14ac:dyDescent="0.35">
      <c r="A14" s="8" t="s">
        <v>253</v>
      </c>
      <c r="B14" s="10" t="s">
        <v>23</v>
      </c>
      <c r="C14" s="28">
        <f>SUM(C10:C11)</f>
        <v>4.1319074999999996</v>
      </c>
      <c r="E14" s="28">
        <f>SUM(E10:E11)</f>
        <v>3.9163573999999999</v>
      </c>
      <c r="G14" s="28">
        <f>SUM(G10:G11)</f>
        <v>2.7364644999999999</v>
      </c>
      <c r="I14" s="28">
        <f>SUM(I10:I11)</f>
        <v>1.4814088999999999</v>
      </c>
      <c r="K14" s="28">
        <f>SUM(K10:K11)</f>
        <v>1.2412795999999999</v>
      </c>
    </row>
  </sheetData>
  <pageMargins left="0.7" right="0.7" top="0.75" bottom="0.75" header="0.3" footer="0.3"/>
  <legacy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CEB49E-8978-4C9E-9107-7493CA81AEA5}">
  <dimension ref="A1:R76"/>
  <sheetViews>
    <sheetView workbookViewId="0">
      <pane xSplit="3" ySplit="2" topLeftCell="D17" activePane="bottomRight" state="frozen"/>
      <selection pane="topRight" activeCell="D1" sqref="D1"/>
      <selection pane="bottomLeft" activeCell="A3" sqref="A3"/>
      <selection pane="bottomRight" activeCell="D3" sqref="D3"/>
    </sheetView>
  </sheetViews>
  <sheetFormatPr defaultRowHeight="14.5" x14ac:dyDescent="0.35"/>
  <cols>
    <col min="1" max="1" width="4.26953125" customWidth="1"/>
    <col min="2" max="2" width="29.7265625" customWidth="1"/>
    <col min="3" max="3" width="13.7265625" customWidth="1"/>
    <col min="4" max="4" width="14.7265625" style="11" bestFit="1" customWidth="1"/>
    <col min="5" max="5" width="12.1796875" style="11" bestFit="1" customWidth="1"/>
    <col min="6" max="6" width="14.7265625" style="11" bestFit="1" customWidth="1"/>
    <col min="7" max="7" width="12.1796875" style="11" bestFit="1" customWidth="1"/>
    <col min="8" max="8" width="14.7265625" style="11" bestFit="1" customWidth="1"/>
    <col min="9" max="9" width="11" style="11" bestFit="1" customWidth="1"/>
    <col min="10" max="10" width="14.7265625" style="11" bestFit="1" customWidth="1"/>
    <col min="11" max="11" width="9.36328125" style="11" bestFit="1" customWidth="1"/>
    <col min="12" max="12" width="14.7265625" style="11" bestFit="1" customWidth="1"/>
    <col min="13" max="13" width="10.54296875" style="11" bestFit="1" customWidth="1"/>
    <col min="18" max="18" width="9.36328125" bestFit="1" customWidth="1"/>
  </cols>
  <sheetData>
    <row r="1" spans="1:16" ht="26" x14ac:dyDescent="0.6">
      <c r="A1" s="1" t="s">
        <v>0</v>
      </c>
      <c r="B1" s="2"/>
      <c r="C1" s="2"/>
      <c r="D1" s="12"/>
      <c r="E1" s="12"/>
      <c r="F1" s="12"/>
      <c r="G1" s="12"/>
      <c r="H1" s="12"/>
      <c r="I1" s="12"/>
      <c r="J1" s="12"/>
      <c r="K1" s="12"/>
      <c r="L1" s="12"/>
      <c r="M1" s="12"/>
    </row>
    <row r="2" spans="1:16" x14ac:dyDescent="0.35">
      <c r="A2" s="2"/>
      <c r="B2" s="2"/>
      <c r="C2" s="3" t="s">
        <v>1</v>
      </c>
      <c r="D2" s="3" t="s">
        <v>2</v>
      </c>
      <c r="E2" s="4" t="s">
        <v>3</v>
      </c>
      <c r="F2" s="3" t="s">
        <v>4</v>
      </c>
      <c r="G2" s="4" t="s">
        <v>3</v>
      </c>
      <c r="H2" s="3" t="s">
        <v>5</v>
      </c>
      <c r="I2" s="4" t="s">
        <v>3</v>
      </c>
      <c r="J2" s="3" t="s">
        <v>6</v>
      </c>
      <c r="K2" s="4" t="s">
        <v>3</v>
      </c>
      <c r="L2" s="3" t="s">
        <v>7</v>
      </c>
      <c r="M2" s="4" t="s">
        <v>3</v>
      </c>
    </row>
    <row r="3" spans="1:16" x14ac:dyDescent="0.35">
      <c r="A3" s="5">
        <v>1</v>
      </c>
      <c r="B3" s="5" t="s">
        <v>153</v>
      </c>
      <c r="C3" s="6" t="s">
        <v>236</v>
      </c>
      <c r="D3" s="37">
        <f>InputsNZ!D3*(106/16)*12</f>
        <v>554.5235963771072</v>
      </c>
      <c r="E3" s="37">
        <f>InputsNZ!E3*(106/16)*12</f>
        <v>167.38046734976552</v>
      </c>
      <c r="F3" s="37">
        <f>InputsNZ!F3*(106/16)*12</f>
        <v>321.44476727056463</v>
      </c>
      <c r="G3" s="37">
        <f>InputsNZ!G3*(106/16)*12</f>
        <v>62.230453526320538</v>
      </c>
      <c r="H3" s="37">
        <f>InputsNZ!H3*(106/16)*12</f>
        <v>780.99323730827223</v>
      </c>
      <c r="I3" s="37">
        <f>InputsNZ!I3*(106/16)*12</f>
        <v>361.7557968732599</v>
      </c>
      <c r="J3" s="37">
        <f>InputsNZ!J3*(106/16)*12</f>
        <v>452.30789270241735</v>
      </c>
      <c r="K3" s="37">
        <f>InputsNZ!K3*(106/16)*12</f>
        <v>102.13331624418592</v>
      </c>
      <c r="L3" s="37">
        <f>InputsNZ!L3*(106/16)*12</f>
        <v>251.38060926168887</v>
      </c>
      <c r="M3" s="37">
        <f>InputsNZ!M3*(106/16)*12</f>
        <v>30.4294654131469</v>
      </c>
    </row>
    <row r="4" spans="1:16" x14ac:dyDescent="0.35">
      <c r="A4" s="5">
        <v>2</v>
      </c>
      <c r="B4" s="5" t="s">
        <v>9</v>
      </c>
      <c r="C4" s="6" t="s">
        <v>236</v>
      </c>
      <c r="D4" s="37">
        <f>InputsNZ!D4*(106/16)*12</f>
        <v>77.805706377845922</v>
      </c>
      <c r="E4" s="37">
        <f>InputsNZ!E4*(106/16)*12</f>
        <v>15.918504756406685</v>
      </c>
      <c r="F4" s="37">
        <f>InputsNZ!F4*(106/16)*12</f>
        <v>129.92883558164715</v>
      </c>
      <c r="G4" s="37">
        <f>InputsNZ!G4*(106/16)*12</f>
        <v>4.5295251786546666</v>
      </c>
      <c r="H4" s="37">
        <f>InputsNZ!H4*(106/16)*12</f>
        <v>37.329353444813783</v>
      </c>
      <c r="I4" s="37">
        <f>InputsNZ!I4*(106/16)*12</f>
        <v>2.3742442211465571</v>
      </c>
      <c r="J4" s="37">
        <f>InputsNZ!J4*(106/16)*12</f>
        <v>142.22311516814651</v>
      </c>
      <c r="K4" s="37">
        <f>InputsNZ!K4*(106/16)*12</f>
        <v>47.370457027902333</v>
      </c>
      <c r="L4" s="37">
        <f>InputsNZ!L4*(106/16)*12</f>
        <v>33.357277893932185</v>
      </c>
      <c r="M4" s="37">
        <f>InputsNZ!M4*(106/16)*12</f>
        <v>14.443952005465515</v>
      </c>
    </row>
    <row r="5" spans="1:16" x14ac:dyDescent="0.35">
      <c r="A5" s="5">
        <v>3</v>
      </c>
      <c r="B5" s="5" t="s">
        <v>11</v>
      </c>
      <c r="C5" s="6" t="s">
        <v>236</v>
      </c>
      <c r="D5" s="37">
        <f>InputsNZ!D5*(106/16)*12</f>
        <v>168.99347521571227</v>
      </c>
      <c r="E5" s="37">
        <f>InputsNZ!E5*(106/16)*12</f>
        <v>121.57500828281269</v>
      </c>
      <c r="F5" s="37">
        <f>InputsNZ!F5*(106/16)*12</f>
        <v>245.39726620643694</v>
      </c>
      <c r="G5" s="37">
        <f>InputsNZ!G5*(106/16)*12</f>
        <v>73.010409069942938</v>
      </c>
      <c r="H5" s="37">
        <f>InputsNZ!H5*(106/16)*12</f>
        <v>515.89431817729212</v>
      </c>
      <c r="I5" s="37">
        <f>InputsNZ!I5*(106/16)*12</f>
        <v>378.21406408993334</v>
      </c>
      <c r="J5" s="37">
        <f>InputsNZ!J5*(106/16)*12</f>
        <v>274.83935332619183</v>
      </c>
      <c r="K5" s="37">
        <f>InputsNZ!K5*(106/16)*12</f>
        <v>177.70563674683859</v>
      </c>
      <c r="L5" s="37">
        <f>InputsNZ!L5*(106/16)*12</f>
        <v>225.41925861637759</v>
      </c>
      <c r="M5" s="37">
        <f>InputsNZ!M5*(106/16)*12</f>
        <v>302.81875888648449</v>
      </c>
    </row>
    <row r="6" spans="1:16" x14ac:dyDescent="0.35">
      <c r="A6" s="5">
        <v>4</v>
      </c>
      <c r="B6" s="5" t="s">
        <v>12</v>
      </c>
      <c r="C6" s="6" t="s">
        <v>236</v>
      </c>
      <c r="D6" s="37">
        <f>InputsNZ!D6*(106/16)*12</f>
        <v>131.24808641139566</v>
      </c>
      <c r="E6" s="37">
        <f>InputsNZ!E6*(106/16)*12</f>
        <v>66.392591438433357</v>
      </c>
      <c r="F6" s="37">
        <f>InputsNZ!F6*(106/16)*12</f>
        <v>27.481353490889603</v>
      </c>
      <c r="G6" s="37">
        <f>InputsNZ!G6*(106/16)*12</f>
        <v>39.803641547922794</v>
      </c>
      <c r="H6" s="37">
        <f>InputsNZ!H6*(106/16)*12</f>
        <v>215.99355179145743</v>
      </c>
      <c r="I6" s="37">
        <f>InputsNZ!I6*(106/16)*12</f>
        <v>265.57652101273209</v>
      </c>
      <c r="J6" s="37">
        <f>InputsNZ!J6*(106/16)*12</f>
        <v>157.80046809142351</v>
      </c>
      <c r="K6" s="37">
        <f>InputsNZ!K6*(106/16)*12</f>
        <v>157.07360311878426</v>
      </c>
      <c r="L6" s="37">
        <f>InputsNZ!L6*(106/16)*12</f>
        <v>12.910321844869333</v>
      </c>
      <c r="M6" s="37">
        <f>InputsNZ!M6*(106/16)*12</f>
        <v>271.24168743391073</v>
      </c>
    </row>
    <row r="7" spans="1:16" x14ac:dyDescent="0.35">
      <c r="A7" s="5">
        <v>5</v>
      </c>
      <c r="B7" s="5" t="s">
        <v>183</v>
      </c>
      <c r="C7" s="6" t="s">
        <v>236</v>
      </c>
      <c r="D7" s="37">
        <f>InputsNZ!D7*(106/16)*12</f>
        <v>254.28203474999924</v>
      </c>
      <c r="E7" s="37">
        <f>InputsNZ!E7*(106/16)*12</f>
        <v>162.05416337566473</v>
      </c>
      <c r="F7" s="37">
        <f>InputsNZ!F7*(106/16)*12</f>
        <v>28.716387102085775</v>
      </c>
      <c r="G7" s="37">
        <f>InputsNZ!G7*(106/16)*12</f>
        <v>18.616820508550994</v>
      </c>
      <c r="H7" s="37">
        <f>InputsNZ!H7*(106/16)*12</f>
        <v>49.105367339522644</v>
      </c>
      <c r="I7" s="37">
        <f>InputsNZ!I7*(106/16)*12</f>
        <v>44.669021533304544</v>
      </c>
      <c r="J7" s="37">
        <f>InputsNZ!J7*(106/16)*12</f>
        <v>19.668071284801961</v>
      </c>
      <c r="K7" s="37">
        <f>InputsNZ!K7*(106/16)*12</f>
        <v>12.319178337594174</v>
      </c>
      <c r="L7" s="37">
        <f>InputsNZ!L7*(106/16)*12</f>
        <v>13.051028800441959</v>
      </c>
      <c r="M7" s="37">
        <f>InputsNZ!M7*(106/16)*12</f>
        <v>17.083685113887086</v>
      </c>
    </row>
    <row r="8" spans="1:16" x14ac:dyDescent="0.35">
      <c r="A8" s="5">
        <v>6</v>
      </c>
      <c r="B8" s="5" t="s">
        <v>13</v>
      </c>
      <c r="C8" s="6" t="s">
        <v>236</v>
      </c>
      <c r="D8" s="37">
        <f>InputsNZ!D8*(106/16)*12</f>
        <v>76.959003956339416</v>
      </c>
      <c r="E8" s="37">
        <f>InputsNZ!E8*(106/16)*12</f>
        <v>61.584458993581315</v>
      </c>
      <c r="F8" s="37">
        <f>InputsNZ!F8*(106/16)*12</f>
        <v>150.24533247344019</v>
      </c>
      <c r="G8" s="37">
        <f>InputsNZ!G8*(106/16)*12</f>
        <v>58.062537555851463</v>
      </c>
      <c r="H8" s="37">
        <f>InputsNZ!H8*(106/16)*12</f>
        <v>277.9041564988396</v>
      </c>
      <c r="I8" s="37">
        <f>InputsNZ!I8*(106/16)*12</f>
        <v>199.91661426127285</v>
      </c>
      <c r="J8" s="37">
        <f>InputsNZ!J8*(106/16)*12</f>
        <v>168.50077478363727</v>
      </c>
      <c r="K8" s="37">
        <f>InputsNZ!K8*(106/16)*12</f>
        <v>102.80696243987856</v>
      </c>
      <c r="L8" s="37">
        <f>InputsNZ!L8*(106/16)*12</f>
        <v>99.349636703450045</v>
      </c>
      <c r="M8" s="37">
        <f>InputsNZ!M8*(106/16)*12</f>
        <v>74.437098657380673</v>
      </c>
    </row>
    <row r="9" spans="1:16" x14ac:dyDescent="0.35">
      <c r="A9" s="5">
        <v>7</v>
      </c>
      <c r="B9" s="5" t="s">
        <v>14</v>
      </c>
      <c r="C9" s="6" t="s">
        <v>236</v>
      </c>
      <c r="D9" s="37">
        <f>InputsNZ!D9*(106/16)*12</f>
        <v>74.020680285083927</v>
      </c>
      <c r="E9" s="37">
        <f>InputsNZ!E9*(106/16)*12</f>
        <v>83.695719206259824</v>
      </c>
      <c r="F9" s="37">
        <f>InputsNZ!F9*(106/16)*12</f>
        <v>38.506938306975755</v>
      </c>
      <c r="G9" s="37">
        <f>InputsNZ!G9*(106/16)*12</f>
        <v>42.510026882352967</v>
      </c>
      <c r="H9" s="37">
        <f>InputsNZ!H9*(106/16)*12</f>
        <v>125.08615440654143</v>
      </c>
      <c r="I9" s="37">
        <f>InputsNZ!I9*(106/16)*12</f>
        <v>141.94412686378735</v>
      </c>
      <c r="J9" s="37">
        <f>InputsNZ!J9*(106/16)*12</f>
        <v>182.50810136816409</v>
      </c>
      <c r="K9" s="37">
        <f>InputsNZ!K9*(106/16)*12</f>
        <v>114.31004578825619</v>
      </c>
      <c r="L9" s="37">
        <f>InputsNZ!L9*(106/16)*12</f>
        <v>126.58479449510457</v>
      </c>
      <c r="M9" s="37">
        <f>InputsNZ!M9*(106/16)*12</f>
        <v>188.18137824516435</v>
      </c>
    </row>
    <row r="10" spans="1:16" x14ac:dyDescent="0.35">
      <c r="A10" s="5">
        <v>8</v>
      </c>
      <c r="B10" s="5" t="s">
        <v>184</v>
      </c>
      <c r="C10" s="6" t="s">
        <v>236</v>
      </c>
      <c r="D10" s="37">
        <f>InputsNZ!D10*(106/16)*12</f>
        <v>127.99772074366955</v>
      </c>
      <c r="E10" s="37">
        <f>InputsNZ!E10*(106/16)*12</f>
        <v>90.752946538890285</v>
      </c>
      <c r="F10" s="37">
        <f>InputsNZ!F10*(106/16)*12</f>
        <v>6.6096220156898173</v>
      </c>
      <c r="G10" s="37">
        <f>InputsNZ!G10*(106/16)*12</f>
        <v>2.7730714092117563</v>
      </c>
      <c r="H10" s="37">
        <f>InputsNZ!H10*(106/16)*12</f>
        <v>24.077646619308467</v>
      </c>
      <c r="I10" s="37">
        <f>InputsNZ!I10*(106/16)*12</f>
        <v>21.224525725788183</v>
      </c>
      <c r="J10" s="37">
        <f>InputsNZ!J10*(106/16)*12</f>
        <v>14.90828428752115</v>
      </c>
      <c r="K10" s="37">
        <f>InputsNZ!K10*(106/16)*12</f>
        <v>9.6192583752555638</v>
      </c>
      <c r="L10" s="37">
        <f>InputsNZ!L10*(106/16)*12</f>
        <v>10.80565589964209</v>
      </c>
      <c r="M10" s="37">
        <f>InputsNZ!M10*(106/16)*12</f>
        <v>10.709212963306079</v>
      </c>
    </row>
    <row r="11" spans="1:16" x14ac:dyDescent="0.35">
      <c r="A11" s="5">
        <v>9</v>
      </c>
      <c r="B11" s="5" t="s">
        <v>152</v>
      </c>
      <c r="C11" s="6" t="s">
        <v>236</v>
      </c>
      <c r="D11" s="37">
        <f>InputsNZ!D11*(106/16)*12</f>
        <v>278.9774049850929</v>
      </c>
      <c r="E11" s="37">
        <f>InputsNZ!E11*(106/16)*12</f>
        <v>100.5657531606897</v>
      </c>
      <c r="F11" s="37">
        <f>InputsNZ!F11*(106/16)*12</f>
        <v>214.14622442905588</v>
      </c>
      <c r="G11" s="37">
        <f>InputsNZ!G11*(106/16)*12</f>
        <v>48.456481835550278</v>
      </c>
      <c r="H11" s="37">
        <f>InputsNZ!H11*(106/16)*12</f>
        <v>427.06795752468952</v>
      </c>
      <c r="I11" s="37">
        <f>InputsNZ!I11*(106/16)*12</f>
        <v>236.45570782722854</v>
      </c>
      <c r="J11" s="37">
        <f>InputsNZ!J11*(106/16)*12</f>
        <v>365.91716043932252</v>
      </c>
      <c r="K11" s="37">
        <f>InputsNZ!K11*(106/16)*12</f>
        <v>173.05234646129384</v>
      </c>
      <c r="L11" s="37">
        <f>InputsNZ!L11*(106/16)*12</f>
        <v>236.74008709819668</v>
      </c>
      <c r="M11" s="37">
        <f>InputsNZ!M11*(106/16)*12</f>
        <v>68.856999043520418</v>
      </c>
    </row>
    <row r="12" spans="1:16" x14ac:dyDescent="0.35">
      <c r="A12" s="5">
        <v>10</v>
      </c>
      <c r="B12" s="5" t="s">
        <v>15</v>
      </c>
      <c r="C12" s="6" t="s">
        <v>236</v>
      </c>
      <c r="D12" s="37">
        <f>InputsNZ!D12*(106/16)*12</f>
        <v>72.294686086201622</v>
      </c>
      <c r="E12" s="37">
        <f>InputsNZ!E12*(106/16)*12</f>
        <v>14.658324284722278</v>
      </c>
      <c r="F12" s="37">
        <f>InputsNZ!F12*(106/16)*12</f>
        <v>55.480565901771435</v>
      </c>
      <c r="G12" s="37">
        <f>InputsNZ!G12*(106/16)*12</f>
        <v>26.301575331616988</v>
      </c>
      <c r="H12" s="37">
        <f>InputsNZ!H12*(106/16)*12</f>
        <v>19.284162958597463</v>
      </c>
      <c r="I12" s="37">
        <f>InputsNZ!I12*(106/16)*12</f>
        <v>7.8777389431357205</v>
      </c>
      <c r="J12" s="37">
        <f>InputsNZ!J12*(106/16)*12</f>
        <v>25.946653741861965</v>
      </c>
      <c r="K12" s="37">
        <f>InputsNZ!K12*(106/16)*12</f>
        <v>9.094425995775044</v>
      </c>
      <c r="L12" s="37">
        <f>InputsNZ!L12*(106/16)*12</f>
        <v>24.06129470387582</v>
      </c>
      <c r="M12" s="37">
        <f>InputsNZ!M12*(106/16)*12</f>
        <v>12.783267342626537</v>
      </c>
    </row>
    <row r="13" spans="1:16" x14ac:dyDescent="0.35">
      <c r="A13" s="5">
        <v>11</v>
      </c>
      <c r="B13" s="5" t="s">
        <v>163</v>
      </c>
      <c r="C13" s="6" t="s">
        <v>236</v>
      </c>
      <c r="D13" s="37" t="e">
        <f>InputsNZ!D13*(106/16)*12</f>
        <v>#VALUE!</v>
      </c>
      <c r="E13" s="37" t="e">
        <f>InputsNZ!E13*(106/16)*12</f>
        <v>#VALUE!</v>
      </c>
      <c r="F13" s="37">
        <f>InputsNZ!F13*(106/16)*12</f>
        <v>30.104717279151515</v>
      </c>
      <c r="G13" s="37">
        <f>InputsNZ!G13*(106/16)*12</f>
        <v>17.562674434707937</v>
      </c>
      <c r="H13" s="37">
        <f>InputsNZ!H13*(106/16)*12</f>
        <v>10.517455559197142</v>
      </c>
      <c r="I13" s="37">
        <f>InputsNZ!I13*(106/16)*12</f>
        <v>3.0720482356356125</v>
      </c>
      <c r="J13" s="37">
        <f>InputsNZ!J13*(106/16)*12</f>
        <v>5.8410603006530044</v>
      </c>
      <c r="K13" s="37">
        <f>InputsNZ!K13*(106/16)*12</f>
        <v>8.5067207442579917</v>
      </c>
      <c r="L13" s="37">
        <f>InputsNZ!L13*(106/16)*12</f>
        <v>16.663319325029487</v>
      </c>
      <c r="M13" s="37">
        <f>InputsNZ!M13*(106/16)*12</f>
        <v>10.297005344054693</v>
      </c>
      <c r="P13">
        <f>H11/SUM(H12:H15)</f>
        <v>13.907990367593889</v>
      </c>
    </row>
    <row r="14" spans="1:16" x14ac:dyDescent="0.35">
      <c r="A14" s="5">
        <v>12</v>
      </c>
      <c r="B14" s="5" t="s">
        <v>16</v>
      </c>
      <c r="C14" s="6" t="s">
        <v>236</v>
      </c>
      <c r="D14" s="37">
        <f>InputsNZ!D14*(106/16)*12</f>
        <v>2.2081613404968223</v>
      </c>
      <c r="E14" s="37">
        <f>InputsNZ!E14*(106/16)*12</f>
        <v>2.209165641646436</v>
      </c>
      <c r="F14" s="37">
        <f>InputsNZ!F14*(106/16)*12</f>
        <v>2.6374247895431591</v>
      </c>
      <c r="G14" s="37">
        <f>InputsNZ!G14*(106/16)*12</f>
        <v>6.0002053677407741</v>
      </c>
      <c r="H14" s="37">
        <f>InputsNZ!H14*(106/16)*12</f>
        <v>0.62347372074829333</v>
      </c>
      <c r="I14" s="37">
        <f>InputsNZ!I14*(106/16)*12</f>
        <v>0.88400354546187598</v>
      </c>
      <c r="J14" s="37">
        <f>InputsNZ!J14*(106/16)*12</f>
        <v>0.88758287420842974</v>
      </c>
      <c r="K14" s="37">
        <f>InputsNZ!K14*(106/16)*12</f>
        <v>1.1219612589745396</v>
      </c>
      <c r="L14" s="37">
        <f>InputsNZ!L14*(106/16)*12</f>
        <v>1.9789932443746032</v>
      </c>
      <c r="M14" s="37">
        <f>InputsNZ!M14*(106/16)*12</f>
        <v>2.0469689262121138</v>
      </c>
      <c r="O14" s="32"/>
    </row>
    <row r="15" spans="1:16" x14ac:dyDescent="0.35">
      <c r="A15" s="5">
        <v>13</v>
      </c>
      <c r="B15" s="5" t="s">
        <v>164</v>
      </c>
      <c r="C15" s="6" t="s">
        <v>236</v>
      </c>
      <c r="D15" s="37">
        <f>InputsNZ!D15*(106/16)*12</f>
        <v>0.69964258662092149</v>
      </c>
      <c r="E15" s="37">
        <f>InputsNZ!E15*(106/16)*12</f>
        <v>1.0072890009188014</v>
      </c>
      <c r="F15" s="37">
        <f>InputsNZ!F15*(106/16)*12</f>
        <v>1.6533816496014364</v>
      </c>
      <c r="G15" s="37">
        <f>InputsNZ!G15*(106/16)*12</f>
        <v>3.7388264755307281</v>
      </c>
      <c r="H15" s="37">
        <f>InputsNZ!H15*(106/16)*12</f>
        <v>0.28156963259076273</v>
      </c>
      <c r="I15" s="37">
        <f>InputsNZ!I15*(106/16)*12</f>
        <v>0.53358678185902364</v>
      </c>
      <c r="J15" s="37">
        <f>InputsNZ!J15*(106/16)*12</f>
        <v>0.25435066178382598</v>
      </c>
      <c r="K15" s="37">
        <f>InputsNZ!K15*(106/16)*12</f>
        <v>0.75693646341672105</v>
      </c>
      <c r="L15" s="37">
        <f>InputsNZ!L15*(106/16)*12</f>
        <v>7.0597593254208817E-3</v>
      </c>
      <c r="M15" s="37">
        <f>InputsNZ!M15*(106/16)*12</f>
        <v>1.0133884505711763</v>
      </c>
    </row>
    <row r="16" spans="1:16" x14ac:dyDescent="0.35">
      <c r="A16" s="5">
        <v>14</v>
      </c>
      <c r="B16" s="5" t="s">
        <v>170</v>
      </c>
      <c r="C16" s="6" t="s">
        <v>236</v>
      </c>
      <c r="D16" s="37">
        <f>InputsNZ!D16*(106/16)*12</f>
        <v>211.40708848471488</v>
      </c>
      <c r="E16" s="37">
        <f>InputsNZ!E16*(106/16)*12</f>
        <v>151.64420800098952</v>
      </c>
      <c r="F16" s="37">
        <f>InputsNZ!F16*(106/16)*12</f>
        <v>139.74228765432102</v>
      </c>
      <c r="G16" s="37">
        <f>InputsNZ!G16*(106/16)*12</f>
        <v>73.120527926488776</v>
      </c>
      <c r="H16" s="37">
        <f>InputsNZ!H16*(106/16)*12</f>
        <v>1.9667716466811487</v>
      </c>
      <c r="I16" s="37">
        <f>InputsNZ!I16*(106/16)*12</f>
        <v>2.2337472106933101</v>
      </c>
      <c r="J16" s="37">
        <f>InputsNZ!J16*(106/16)*12</f>
        <v>126.94793796296295</v>
      </c>
      <c r="K16" s="37">
        <f>InputsNZ!K16*(106/16)*12</f>
        <v>77.522077314732471</v>
      </c>
      <c r="L16" s="37">
        <f>InputsNZ!L16*(106/16)*12</f>
        <v>0.57354462044188037</v>
      </c>
      <c r="M16" s="37">
        <f>InputsNZ!M16*(106/16)*12</f>
        <v>1.2893560075853072</v>
      </c>
    </row>
    <row r="17" spans="1:13" x14ac:dyDescent="0.35">
      <c r="A17" s="5">
        <v>15</v>
      </c>
      <c r="B17" s="5" t="s">
        <v>171</v>
      </c>
      <c r="C17" s="6" t="s">
        <v>236</v>
      </c>
      <c r="D17" s="37">
        <f>InputsNZ!D17*(106/16)*12</f>
        <v>149.97872748601088</v>
      </c>
      <c r="E17" s="37">
        <f>InputsNZ!E17*(106/16)*12</f>
        <v>133.50762698404057</v>
      </c>
      <c r="F17" s="37">
        <f>InputsNZ!F17*(106/16)*12</f>
        <v>59.318509228629296</v>
      </c>
      <c r="G17" s="37">
        <f>InputsNZ!G17*(106/16)*12</f>
        <v>449.68627938285334</v>
      </c>
      <c r="H17" s="37">
        <f>InputsNZ!H17*(106/16)*12</f>
        <v>0.59082363243795755</v>
      </c>
      <c r="I17" s="37">
        <f>InputsNZ!I17*(106/16)*12</f>
        <v>1.018727847502404</v>
      </c>
      <c r="J17" s="37">
        <f>InputsNZ!J17*(106/16)*12</f>
        <v>29.193825518043845</v>
      </c>
      <c r="K17" s="37">
        <f>InputsNZ!K17*(106/16)*12</f>
        <v>39.592687952218981</v>
      </c>
      <c r="L17" s="37">
        <f>InputsNZ!L17*(106/16)*12</f>
        <v>3.1154076886350447E-2</v>
      </c>
      <c r="M17" s="37">
        <f>InputsNZ!M17*(106/16)*12</f>
        <v>7.0035869507838883E-2</v>
      </c>
    </row>
    <row r="18" spans="1:13" x14ac:dyDescent="0.35">
      <c r="A18" s="5">
        <v>16</v>
      </c>
      <c r="B18" s="5" t="s">
        <v>17</v>
      </c>
      <c r="C18" s="6" t="s">
        <v>236</v>
      </c>
      <c r="D18" s="37">
        <f>InputsNZ!D18*(106/16)*12</f>
        <v>5.2183389054540861</v>
      </c>
      <c r="E18" s="37">
        <f>InputsNZ!E18*(106/16)*12</f>
        <v>2.9174205900975654</v>
      </c>
      <c r="F18" s="37">
        <f>InputsNZ!F18*(106/16)*12</f>
        <v>5.5472590764646776</v>
      </c>
      <c r="G18" s="37">
        <f>InputsNZ!G18*(106/16)*12</f>
        <v>12.696064058670366</v>
      </c>
      <c r="H18" s="37">
        <f>InputsNZ!H18*(106/16)*12</f>
        <v>0.22965123723932374</v>
      </c>
      <c r="I18" s="37">
        <f>InputsNZ!I18*(106/16)*12</f>
        <v>0.2204464780154784</v>
      </c>
      <c r="J18" s="37">
        <f>InputsNZ!J18*(106/16)*12</f>
        <v>5.7288725304708361</v>
      </c>
      <c r="K18" s="37">
        <f>InputsNZ!K18*(106/16)*12</f>
        <v>3.1937872665267451</v>
      </c>
      <c r="L18" s="37">
        <f>InputsNZ!L18*(106/16)*12</f>
        <v>1.6985732434497122E-2</v>
      </c>
      <c r="M18" s="37">
        <f>InputsNZ!M18*(106/16)*12</f>
        <v>3.6270859158801586E-2</v>
      </c>
    </row>
    <row r="19" spans="1:13" x14ac:dyDescent="0.35">
      <c r="A19" s="5">
        <v>17</v>
      </c>
      <c r="B19" s="5" t="s">
        <v>18</v>
      </c>
      <c r="C19" s="6" t="s">
        <v>236</v>
      </c>
      <c r="D19" s="37">
        <f>InputsNZ!D19*(106/16)*12</f>
        <v>66.356651648259955</v>
      </c>
      <c r="E19" s="37">
        <f>InputsNZ!E19*(106/16)*12</f>
        <v>37.10335161606406</v>
      </c>
      <c r="F19" s="37">
        <f>InputsNZ!F19*(106/16)*12</f>
        <v>18.549900375819149</v>
      </c>
      <c r="G19" s="37">
        <f>InputsNZ!G19*(106/16)*12</f>
        <v>42.45553058698296</v>
      </c>
      <c r="H19" s="37">
        <f>InputsNZ!H19*(106/16)*12</f>
        <v>1.226815282790041E-3</v>
      </c>
      <c r="I19" s="37">
        <f>InputsNZ!I19*(106/16)*12</f>
        <v>1.177928889922358E-3</v>
      </c>
      <c r="J19" s="37">
        <f>InputsNZ!J19*(106/16)*12</f>
        <v>7.2822613558027108E-4</v>
      </c>
      <c r="K19" s="37">
        <f>InputsNZ!K19*(106/16)*12</f>
        <v>4.0597854928657291E-4</v>
      </c>
      <c r="L19" s="37">
        <f>InputsNZ!L19*(106/16)*12</f>
        <v>5.7375541840776881E-2</v>
      </c>
      <c r="M19" s="37">
        <f>InputsNZ!M19*(106/16)*12</f>
        <v>0.12251868558628723</v>
      </c>
    </row>
    <row r="20" spans="1:13" x14ac:dyDescent="0.35">
      <c r="A20" s="5">
        <v>18</v>
      </c>
      <c r="B20" s="5" t="s">
        <v>161</v>
      </c>
      <c r="C20" s="6" t="s">
        <v>236</v>
      </c>
      <c r="D20" s="37">
        <f>InputsNZ!D20*(106/16)*12</f>
        <v>289.80623581714889</v>
      </c>
      <c r="E20" s="37">
        <f>InputsNZ!E20*(106/16)*12</f>
        <v>162.02338913810993</v>
      </c>
      <c r="F20" s="37">
        <f>InputsNZ!F20*(106/16)*12</f>
        <v>174.95580836952507</v>
      </c>
      <c r="G20" s="37">
        <f>InputsNZ!G20*(106/16)*12</f>
        <v>400.42302638559318</v>
      </c>
      <c r="H20" s="37">
        <f>InputsNZ!H20*(106/16)*12</f>
        <v>2.3267173168801061</v>
      </c>
      <c r="I20" s="37">
        <f>InputsNZ!I20*(106/16)*12</f>
        <v>2.2334590662099476</v>
      </c>
      <c r="J20" s="37">
        <f>InputsNZ!J20*(106/16)*12</f>
        <v>150.41215708424761</v>
      </c>
      <c r="K20" s="37">
        <f>InputsNZ!K20*(106/16)*12</f>
        <v>83.853224080552081</v>
      </c>
      <c r="L20" s="37">
        <f>InputsNZ!L20*(106/16)*12</f>
        <v>0.53031507338910344</v>
      </c>
      <c r="M20" s="37">
        <f>InputsNZ!M20*(106/16)*12</f>
        <v>1.1324200725082549</v>
      </c>
    </row>
    <row r="21" spans="1:13" x14ac:dyDescent="0.35">
      <c r="A21" s="5">
        <v>19</v>
      </c>
      <c r="B21" s="5" t="s">
        <v>162</v>
      </c>
      <c r="C21" s="6" t="s">
        <v>236</v>
      </c>
      <c r="D21" s="37">
        <f>InputsNZ!D21*(106/16)*12</f>
        <v>76.10655185449734</v>
      </c>
      <c r="E21" s="37">
        <f>InputsNZ!E21*(106/16)*12</f>
        <v>54.591914880356242</v>
      </c>
      <c r="F21" s="37">
        <f>InputsNZ!F21*(106/16)*12</f>
        <v>50.307223555555545</v>
      </c>
      <c r="G21" s="37">
        <f>InputsNZ!G21*(106/16)*12</f>
        <v>26.32339005353597</v>
      </c>
      <c r="H21" s="37">
        <f>InputsNZ!H21*(106/16)*12</f>
        <v>0.70803779280521351</v>
      </c>
      <c r="I21" s="37">
        <f>InputsNZ!I21*(106/16)*12</f>
        <v>0.80414899584959176</v>
      </c>
      <c r="J21" s="37">
        <f>InputsNZ!J21*(106/16)*12</f>
        <v>45.70125766666667</v>
      </c>
      <c r="K21" s="37">
        <f>InputsNZ!K21*(106/16)*12</f>
        <v>27.907947833303687</v>
      </c>
      <c r="L21" s="37">
        <f>InputsNZ!L21*(106/16)*12</f>
        <v>0.20647606335907695</v>
      </c>
      <c r="M21" s="37">
        <f>InputsNZ!M21*(106/16)*12</f>
        <v>0.4641681627307106</v>
      </c>
    </row>
    <row r="22" spans="1:13" x14ac:dyDescent="0.35">
      <c r="A22" s="5">
        <v>20</v>
      </c>
      <c r="B22" s="5" t="s">
        <v>179</v>
      </c>
      <c r="C22" s="6" t="s">
        <v>236</v>
      </c>
      <c r="D22" s="37">
        <f>InputsNZ!D22*(106/16)*12</f>
        <v>61.096860242666665</v>
      </c>
      <c r="E22" s="37">
        <f>InputsNZ!E22*(106/16)*12</f>
        <v>12.320791201440382</v>
      </c>
      <c r="F22" s="37">
        <f>InputsNZ!F22*(106/16)*12</f>
        <v>40.700713550875001</v>
      </c>
      <c r="G22" s="37">
        <f>InputsNZ!G22*(106/16)*12</f>
        <v>14.092662295799126</v>
      </c>
      <c r="H22" s="37">
        <f>InputsNZ!H22*(106/16)*12</f>
        <v>65.26406143216667</v>
      </c>
      <c r="I22" s="37">
        <f>InputsNZ!I22*(106/16)*12</f>
        <v>14.823935899265564</v>
      </c>
      <c r="J22" s="37">
        <f>InputsNZ!J22*(106/16)*12</f>
        <v>58.093109636499989</v>
      </c>
      <c r="K22" s="37">
        <f>InputsNZ!K22*(106/16)*12</f>
        <v>15.888828196715963</v>
      </c>
      <c r="L22" s="37">
        <f>InputsNZ!L22*(106/16)*12</f>
        <v>35.042381216333325</v>
      </c>
      <c r="M22" s="37">
        <f>InputsNZ!M22*(106/16)*12</f>
        <v>8.3937093580185831</v>
      </c>
    </row>
    <row r="23" spans="1:13" x14ac:dyDescent="0.35">
      <c r="A23" s="5">
        <v>21</v>
      </c>
      <c r="B23" s="5" t="s">
        <v>223</v>
      </c>
      <c r="C23" s="6" t="s">
        <v>236</v>
      </c>
      <c r="D23" s="37" t="e">
        <f>InputsNZ!#REF!*(106/16)*12</f>
        <v>#REF!</v>
      </c>
      <c r="E23" s="37" t="e">
        <f>InputsNZ!#REF!*(106/16)*12</f>
        <v>#REF!</v>
      </c>
      <c r="F23" s="37" t="e">
        <f>InputsNZ!#REF!*(106/16)*12</f>
        <v>#REF!</v>
      </c>
      <c r="G23" s="37" t="e">
        <f>InputsNZ!#REF!*(106/16)*12</f>
        <v>#REF!</v>
      </c>
      <c r="H23" s="37" t="e">
        <f>InputsNZ!#REF!*(106/16)*12</f>
        <v>#REF!</v>
      </c>
      <c r="I23" s="37" t="e">
        <f>InputsNZ!#REF!*(106/16)*12</f>
        <v>#REF!</v>
      </c>
      <c r="J23" s="37" t="e">
        <f>InputsNZ!#REF!*(106/16)*12</f>
        <v>#REF!</v>
      </c>
      <c r="K23" s="37" t="e">
        <f>InputsNZ!#REF!*(106/16)*12</f>
        <v>#REF!</v>
      </c>
      <c r="L23" s="37" t="e">
        <f>InputsNZ!#REF!*(106/16)*12</f>
        <v>#REF!</v>
      </c>
      <c r="M23" s="37" t="e">
        <f>InputsNZ!#REF!*(106/16)*12</f>
        <v>#REF!</v>
      </c>
    </row>
    <row r="24" spans="1:13" x14ac:dyDescent="0.35">
      <c r="A24" s="5">
        <v>22</v>
      </c>
      <c r="B24" s="5" t="s">
        <v>224</v>
      </c>
      <c r="C24" s="6" t="s">
        <v>236</v>
      </c>
      <c r="D24" s="37" t="e">
        <f>InputsNZ!#REF!*(106/16)*12</f>
        <v>#REF!</v>
      </c>
      <c r="E24" s="37" t="e">
        <f>InputsNZ!#REF!*(106/16)*12</f>
        <v>#REF!</v>
      </c>
      <c r="F24" s="37" t="e">
        <f>InputsNZ!#REF!*(106/16)*12</f>
        <v>#REF!</v>
      </c>
      <c r="G24" s="37" t="e">
        <f>InputsNZ!#REF!*(106/16)*12</f>
        <v>#REF!</v>
      </c>
      <c r="H24" s="37" t="e">
        <f>InputsNZ!#REF!*(106/16)*12</f>
        <v>#REF!</v>
      </c>
      <c r="I24" s="37" t="e">
        <f>InputsNZ!#REF!*(106/16)*12</f>
        <v>#REF!</v>
      </c>
      <c r="J24" s="37" t="e">
        <f>InputsNZ!#REF!*(106/16)*12</f>
        <v>#REF!</v>
      </c>
      <c r="K24" s="37" t="e">
        <f>InputsNZ!#REF!*(106/16)*12</f>
        <v>#REF!</v>
      </c>
      <c r="L24" s="37" t="e">
        <f>InputsNZ!#REF!*(106/16)*12</f>
        <v>#REF!</v>
      </c>
      <c r="M24" s="37" t="e">
        <f>InputsNZ!#REF!*(106/16)*12</f>
        <v>#REF!</v>
      </c>
    </row>
    <row r="25" spans="1:13" x14ac:dyDescent="0.35">
      <c r="A25" s="5">
        <v>23</v>
      </c>
      <c r="B25" s="5" t="s">
        <v>225</v>
      </c>
      <c r="C25" s="6" t="s">
        <v>236</v>
      </c>
      <c r="D25" s="37" t="e">
        <f>InputsNZ!#REF!*(106/16)*12</f>
        <v>#REF!</v>
      </c>
      <c r="E25" s="37" t="e">
        <f>InputsNZ!#REF!*(106/16)*12</f>
        <v>#REF!</v>
      </c>
      <c r="F25" s="37" t="e">
        <f>InputsNZ!#REF!*(106/16)*12</f>
        <v>#REF!</v>
      </c>
      <c r="G25" s="37" t="e">
        <f>InputsNZ!#REF!*(106/16)*12</f>
        <v>#REF!</v>
      </c>
      <c r="H25" s="37" t="e">
        <f>InputsNZ!#REF!*(106/16)*12</f>
        <v>#REF!</v>
      </c>
      <c r="I25" s="37" t="e">
        <f>InputsNZ!#REF!*(106/16)*12</f>
        <v>#REF!</v>
      </c>
      <c r="J25" s="37" t="e">
        <f>InputsNZ!#REF!*(106/16)*12</f>
        <v>#REF!</v>
      </c>
      <c r="K25" s="37" t="e">
        <f>InputsNZ!#REF!*(106/16)*12</f>
        <v>#REF!</v>
      </c>
      <c r="L25" s="37" t="e">
        <f>InputsNZ!#REF!*(106/16)*12</f>
        <v>#REF!</v>
      </c>
      <c r="M25" s="37" t="e">
        <f>InputsNZ!#REF!*(106/16)*12</f>
        <v>#REF!</v>
      </c>
    </row>
    <row r="26" spans="1:13" x14ac:dyDescent="0.35">
      <c r="A26" s="5">
        <v>24</v>
      </c>
      <c r="B26" s="5" t="s">
        <v>226</v>
      </c>
      <c r="C26" s="6" t="s">
        <v>236</v>
      </c>
      <c r="D26" s="37" t="e">
        <f>InputsNZ!#REF!*(106/16)*12</f>
        <v>#REF!</v>
      </c>
      <c r="E26" s="37" t="e">
        <f>InputsNZ!#REF!*(106/16)*12</f>
        <v>#REF!</v>
      </c>
      <c r="F26" s="37" t="e">
        <f>InputsNZ!#REF!*(106/16)*12</f>
        <v>#REF!</v>
      </c>
      <c r="G26" s="37" t="e">
        <f>InputsNZ!#REF!*(106/16)*12</f>
        <v>#REF!</v>
      </c>
      <c r="H26" s="37" t="e">
        <f>InputsNZ!#REF!*(106/16)*12</f>
        <v>#REF!</v>
      </c>
      <c r="I26" s="37" t="e">
        <f>InputsNZ!#REF!*(106/16)*12</f>
        <v>#REF!</v>
      </c>
      <c r="J26" s="37" t="e">
        <f>InputsNZ!#REF!*(106/16)*12</f>
        <v>#REF!</v>
      </c>
      <c r="K26" s="37" t="e">
        <f>InputsNZ!#REF!*(106/16)*12</f>
        <v>#REF!</v>
      </c>
      <c r="L26" s="37" t="e">
        <f>InputsNZ!#REF!*(106/16)*12</f>
        <v>#REF!</v>
      </c>
      <c r="M26" s="37" t="e">
        <f>InputsNZ!#REF!*(106/16)*12</f>
        <v>#REF!</v>
      </c>
    </row>
    <row r="27" spans="1:13" x14ac:dyDescent="0.35">
      <c r="A27" s="5">
        <v>25</v>
      </c>
      <c r="B27" s="5" t="s">
        <v>227</v>
      </c>
      <c r="C27" s="6" t="s">
        <v>236</v>
      </c>
      <c r="D27" s="37" t="e">
        <f>InputsNZ!#REF!*(106/16)*12</f>
        <v>#REF!</v>
      </c>
      <c r="E27" s="37" t="e">
        <f>InputsNZ!#REF!*(106/16)*12</f>
        <v>#REF!</v>
      </c>
      <c r="F27" s="37" t="e">
        <f>InputsNZ!#REF!*(106/16)*12</f>
        <v>#REF!</v>
      </c>
      <c r="G27" s="37" t="e">
        <f>InputsNZ!#REF!*(106/16)*12</f>
        <v>#REF!</v>
      </c>
      <c r="H27" s="37" t="e">
        <f>InputsNZ!#REF!*(106/16)*12</f>
        <v>#REF!</v>
      </c>
      <c r="I27" s="37" t="e">
        <f>InputsNZ!#REF!*(106/16)*12</f>
        <v>#REF!</v>
      </c>
      <c r="J27" s="37" t="e">
        <f>InputsNZ!#REF!*(106/16)*12</f>
        <v>#REF!</v>
      </c>
      <c r="K27" s="37" t="e">
        <f>InputsNZ!#REF!*(106/16)*12</f>
        <v>#REF!</v>
      </c>
      <c r="L27" s="37" t="e">
        <f>InputsNZ!#REF!*(106/16)*12</f>
        <v>#REF!</v>
      </c>
      <c r="M27" s="37" t="e">
        <f>InputsNZ!#REF!*(106/16)*12</f>
        <v>#REF!</v>
      </c>
    </row>
    <row r="28" spans="1:13" x14ac:dyDescent="0.35">
      <c r="A28" s="5">
        <v>26</v>
      </c>
      <c r="B28" s="5" t="s">
        <v>228</v>
      </c>
      <c r="C28" s="6" t="s">
        <v>236</v>
      </c>
      <c r="D28" s="37" t="e">
        <f>InputsNZ!#REF!*(106/16)*12</f>
        <v>#REF!</v>
      </c>
      <c r="E28" s="37" t="e">
        <f>InputsNZ!#REF!*(106/16)*12</f>
        <v>#REF!</v>
      </c>
      <c r="F28" s="37" t="e">
        <f>InputsNZ!#REF!*(106/16)*12</f>
        <v>#REF!</v>
      </c>
      <c r="G28" s="37" t="e">
        <f>InputsNZ!#REF!*(106/16)*12</f>
        <v>#REF!</v>
      </c>
      <c r="H28" s="37" t="e">
        <f>InputsNZ!#REF!*(106/16)*12</f>
        <v>#REF!</v>
      </c>
      <c r="I28" s="37" t="e">
        <f>InputsNZ!#REF!*(106/16)*12</f>
        <v>#REF!</v>
      </c>
      <c r="J28" s="37" t="e">
        <f>InputsNZ!#REF!*(106/16)*12</f>
        <v>#REF!</v>
      </c>
      <c r="K28" s="37" t="e">
        <f>InputsNZ!#REF!*(106/16)*12</f>
        <v>#REF!</v>
      </c>
      <c r="L28" s="37" t="e">
        <f>InputsNZ!#REF!*(106/16)*12</f>
        <v>#REF!</v>
      </c>
      <c r="M28" s="37" t="e">
        <f>InputsNZ!#REF!*(106/16)*12</f>
        <v>#REF!</v>
      </c>
    </row>
    <row r="29" spans="1:13" x14ac:dyDescent="0.35">
      <c r="A29" s="5">
        <v>27</v>
      </c>
      <c r="B29" s="5" t="s">
        <v>229</v>
      </c>
      <c r="C29" s="6" t="s">
        <v>236</v>
      </c>
      <c r="D29" s="37" t="e">
        <f>InputsNZ!#REF!*(106/16)*12</f>
        <v>#REF!</v>
      </c>
      <c r="E29" s="37" t="e">
        <f>InputsNZ!#REF!*(106/16)*12</f>
        <v>#REF!</v>
      </c>
      <c r="F29" s="37" t="e">
        <f>InputsNZ!#REF!*(106/16)*12</f>
        <v>#REF!</v>
      </c>
      <c r="G29" s="37" t="e">
        <f>InputsNZ!#REF!*(106/16)*12</f>
        <v>#REF!</v>
      </c>
      <c r="H29" s="37" t="e">
        <f>InputsNZ!#REF!*(106/16)*12</f>
        <v>#REF!</v>
      </c>
      <c r="I29" s="37" t="e">
        <f>InputsNZ!#REF!*(106/16)*12</f>
        <v>#REF!</v>
      </c>
      <c r="J29" s="37" t="e">
        <f>InputsNZ!#REF!*(106/16)*12</f>
        <v>#REF!</v>
      </c>
      <c r="K29" s="37" t="e">
        <f>InputsNZ!#REF!*(106/16)*12</f>
        <v>#REF!</v>
      </c>
      <c r="L29" s="37" t="e">
        <f>InputsNZ!#REF!*(106/16)*12</f>
        <v>#REF!</v>
      </c>
      <c r="M29" s="37" t="e">
        <f>InputsNZ!#REF!*(106/16)*12</f>
        <v>#REF!</v>
      </c>
    </row>
    <row r="30" spans="1:13" x14ac:dyDescent="0.35">
      <c r="A30" s="5">
        <v>28</v>
      </c>
      <c r="B30" s="5" t="s">
        <v>230</v>
      </c>
      <c r="C30" s="6" t="s">
        <v>236</v>
      </c>
      <c r="D30" s="37" t="e">
        <f>InputsNZ!#REF!*(106/16)*12</f>
        <v>#REF!</v>
      </c>
      <c r="E30" s="37" t="e">
        <f>InputsNZ!#REF!*(106/16)*12</f>
        <v>#REF!</v>
      </c>
      <c r="F30" s="37" t="e">
        <f>InputsNZ!#REF!*(106/16)*12</f>
        <v>#REF!</v>
      </c>
      <c r="G30" s="37" t="e">
        <f>InputsNZ!#REF!*(106/16)*12</f>
        <v>#REF!</v>
      </c>
      <c r="H30" s="37" t="e">
        <f>InputsNZ!#REF!*(106/16)*12</f>
        <v>#REF!</v>
      </c>
      <c r="I30" s="37" t="e">
        <f>InputsNZ!#REF!*(106/16)*12</f>
        <v>#REF!</v>
      </c>
      <c r="J30" s="37" t="e">
        <f>InputsNZ!#REF!*(106/16)*12</f>
        <v>#REF!</v>
      </c>
      <c r="K30" s="37" t="e">
        <f>InputsNZ!#REF!*(106/16)*12</f>
        <v>#REF!</v>
      </c>
      <c r="L30" s="37" t="e">
        <f>InputsNZ!#REF!*(106/16)*12</f>
        <v>#REF!</v>
      </c>
      <c r="M30" s="37" t="e">
        <f>InputsNZ!#REF!*(106/16)*12</f>
        <v>#REF!</v>
      </c>
    </row>
    <row r="31" spans="1:13" x14ac:dyDescent="0.35">
      <c r="A31" s="5">
        <v>29</v>
      </c>
      <c r="B31" s="5" t="s">
        <v>231</v>
      </c>
      <c r="C31" s="6" t="s">
        <v>236</v>
      </c>
      <c r="D31" s="37" t="e">
        <f>InputsNZ!#REF!*(106/16)*12</f>
        <v>#REF!</v>
      </c>
      <c r="E31" s="37" t="e">
        <f>InputsNZ!#REF!*(106/16)*12</f>
        <v>#REF!</v>
      </c>
      <c r="F31" s="37" t="e">
        <f>InputsNZ!#REF!*(106/16)*12</f>
        <v>#REF!</v>
      </c>
      <c r="G31" s="37" t="e">
        <f>InputsNZ!#REF!*(106/16)*12</f>
        <v>#REF!</v>
      </c>
      <c r="H31" s="37" t="e">
        <f>InputsNZ!#REF!*(106/16)*12</f>
        <v>#REF!</v>
      </c>
      <c r="I31" s="37" t="e">
        <f>InputsNZ!#REF!*(106/16)*12</f>
        <v>#REF!</v>
      </c>
      <c r="J31" s="37" t="e">
        <f>InputsNZ!#REF!*(106/16)*12</f>
        <v>#REF!</v>
      </c>
      <c r="K31" s="37" t="e">
        <f>InputsNZ!#REF!*(106/16)*12</f>
        <v>#REF!</v>
      </c>
      <c r="L31" s="37" t="e">
        <f>InputsNZ!#REF!*(106/16)*12</f>
        <v>#REF!</v>
      </c>
      <c r="M31" s="37" t="e">
        <f>InputsNZ!#REF!*(106/16)*12</f>
        <v>#REF!</v>
      </c>
    </row>
    <row r="32" spans="1:13" x14ac:dyDescent="0.35">
      <c r="A32" s="5">
        <v>30</v>
      </c>
      <c r="B32" s="5" t="s">
        <v>232</v>
      </c>
      <c r="C32" s="6" t="s">
        <v>236</v>
      </c>
      <c r="D32" s="37" t="e">
        <f>InputsNZ!#REF!*(106/16)*12</f>
        <v>#REF!</v>
      </c>
      <c r="E32" s="37" t="e">
        <f>InputsNZ!#REF!*(106/16)*12</f>
        <v>#REF!</v>
      </c>
      <c r="F32" s="37" t="e">
        <f>InputsNZ!#REF!*(106/16)*12</f>
        <v>#REF!</v>
      </c>
      <c r="G32" s="37" t="e">
        <f>InputsNZ!#REF!*(106/16)*12</f>
        <v>#REF!</v>
      </c>
      <c r="H32" s="37" t="e">
        <f>InputsNZ!#REF!*(106/16)*12</f>
        <v>#REF!</v>
      </c>
      <c r="I32" s="37" t="e">
        <f>InputsNZ!#REF!*(106/16)*12</f>
        <v>#REF!</v>
      </c>
      <c r="J32" s="37" t="e">
        <f>InputsNZ!#REF!*(106/16)*12</f>
        <v>#REF!</v>
      </c>
      <c r="K32" s="37" t="e">
        <f>InputsNZ!#REF!*(106/16)*12</f>
        <v>#REF!</v>
      </c>
      <c r="L32" s="37" t="e">
        <f>InputsNZ!#REF!*(106/16)*12</f>
        <v>#REF!</v>
      </c>
      <c r="M32" s="37" t="e">
        <f>InputsNZ!#REF!*(106/16)*12</f>
        <v>#REF!</v>
      </c>
    </row>
    <row r="33" spans="1:18" x14ac:dyDescent="0.35">
      <c r="A33" s="5">
        <v>31</v>
      </c>
      <c r="B33" s="5" t="s">
        <v>233</v>
      </c>
      <c r="C33" s="6" t="s">
        <v>236</v>
      </c>
      <c r="D33" s="37" t="e">
        <f>InputsNZ!#REF!*(106/16)*12</f>
        <v>#REF!</v>
      </c>
      <c r="E33" s="37" t="e">
        <f>InputsNZ!#REF!*(106/16)*12</f>
        <v>#REF!</v>
      </c>
      <c r="F33" s="37" t="e">
        <f>InputsNZ!#REF!*(106/16)*12</f>
        <v>#REF!</v>
      </c>
      <c r="G33" s="37" t="e">
        <f>InputsNZ!#REF!*(106/16)*12</f>
        <v>#REF!</v>
      </c>
      <c r="H33" s="37" t="e">
        <f>InputsNZ!#REF!*(106/16)*12</f>
        <v>#REF!</v>
      </c>
      <c r="I33" s="37" t="e">
        <f>InputsNZ!#REF!*(106/16)*12</f>
        <v>#REF!</v>
      </c>
      <c r="J33" s="37" t="e">
        <f>InputsNZ!#REF!*(106/16)*12</f>
        <v>#REF!</v>
      </c>
      <c r="K33" s="37" t="e">
        <f>InputsNZ!#REF!*(106/16)*12</f>
        <v>#REF!</v>
      </c>
      <c r="L33" s="37" t="e">
        <f>InputsNZ!#REF!*(106/16)*12</f>
        <v>#REF!</v>
      </c>
      <c r="M33" s="37" t="e">
        <f>InputsNZ!#REF!*(106/16)*12</f>
        <v>#REF!</v>
      </c>
    </row>
    <row r="34" spans="1:18" x14ac:dyDescent="0.35">
      <c r="A34" s="5">
        <v>32</v>
      </c>
      <c r="B34" s="5" t="s">
        <v>234</v>
      </c>
      <c r="C34" s="6" t="s">
        <v>236</v>
      </c>
      <c r="D34" s="37" t="e">
        <f>InputsNZ!#REF!*(106/16)*12</f>
        <v>#REF!</v>
      </c>
      <c r="E34" s="37" t="e">
        <f>InputsNZ!#REF!*(106/16)*12</f>
        <v>#REF!</v>
      </c>
      <c r="F34" s="37" t="e">
        <f>InputsNZ!#REF!*(106/16)*12</f>
        <v>#REF!</v>
      </c>
      <c r="G34" s="37" t="e">
        <f>InputsNZ!#REF!*(106/16)*12</f>
        <v>#REF!</v>
      </c>
      <c r="H34" s="37" t="e">
        <f>InputsNZ!#REF!*(106/16)*12</f>
        <v>#REF!</v>
      </c>
      <c r="I34" s="37" t="e">
        <f>InputsNZ!#REF!*(106/16)*12</f>
        <v>#REF!</v>
      </c>
      <c r="J34" s="37" t="e">
        <f>InputsNZ!#REF!*(106/16)*12</f>
        <v>#REF!</v>
      </c>
      <c r="K34" s="37" t="e">
        <f>InputsNZ!#REF!*(106/16)*12</f>
        <v>#REF!</v>
      </c>
      <c r="L34" s="37" t="e">
        <f>InputsNZ!#REF!*(106/16)*12</f>
        <v>#REF!</v>
      </c>
      <c r="M34" s="37" t="e">
        <f>InputsNZ!#REF!*(106/16)*12</f>
        <v>#REF!</v>
      </c>
    </row>
    <row r="35" spans="1:18" x14ac:dyDescent="0.35">
      <c r="A35" s="5">
        <v>33</v>
      </c>
      <c r="B35" s="5" t="s">
        <v>235</v>
      </c>
      <c r="C35" s="6" t="s">
        <v>236</v>
      </c>
      <c r="D35" s="37" t="e">
        <f>InputsNZ!#REF!*(106/16)*12</f>
        <v>#REF!</v>
      </c>
      <c r="E35" s="37" t="e">
        <f>InputsNZ!#REF!*(106/16)*12</f>
        <v>#REF!</v>
      </c>
      <c r="F35" s="37" t="e">
        <f>InputsNZ!#REF!*(106/16)*12</f>
        <v>#REF!</v>
      </c>
      <c r="G35" s="37" t="e">
        <f>InputsNZ!#REF!*(106/16)*12</f>
        <v>#REF!</v>
      </c>
      <c r="H35" s="37" t="e">
        <f>InputsNZ!#REF!*(106/16)*12</f>
        <v>#REF!</v>
      </c>
      <c r="I35" s="37" t="e">
        <f>InputsNZ!#REF!*(106/16)*12</f>
        <v>#REF!</v>
      </c>
      <c r="J35" s="37" t="e">
        <f>InputsNZ!#REF!*(106/16)*12</f>
        <v>#REF!</v>
      </c>
      <c r="K35" s="37" t="e">
        <f>InputsNZ!#REF!*(106/16)*12</f>
        <v>#REF!</v>
      </c>
      <c r="L35" s="37" t="e">
        <f>InputsNZ!#REF!*(106/16)*12</f>
        <v>#REF!</v>
      </c>
      <c r="M35" s="37" t="e">
        <f>InputsNZ!#REF!*(106/16)*12</f>
        <v>#REF!</v>
      </c>
    </row>
    <row r="36" spans="1:18" x14ac:dyDescent="0.35">
      <c r="D36" s="38"/>
      <c r="E36" s="38"/>
      <c r="F36" s="38"/>
      <c r="G36" s="38"/>
      <c r="H36" s="38"/>
      <c r="I36" s="38"/>
      <c r="J36" s="38"/>
      <c r="K36" s="38"/>
      <c r="L36" s="38"/>
      <c r="M36" s="38"/>
    </row>
    <row r="37" spans="1:18" ht="26" x14ac:dyDescent="0.6">
      <c r="A37" s="7" t="s">
        <v>19</v>
      </c>
      <c r="B37" s="8"/>
      <c r="C37" s="8"/>
      <c r="D37" s="39"/>
      <c r="E37" s="38"/>
      <c r="F37" s="38"/>
      <c r="G37" s="38"/>
      <c r="H37" s="38"/>
      <c r="I37" s="38"/>
      <c r="J37" s="38"/>
      <c r="K37" s="38"/>
      <c r="L37" s="38"/>
      <c r="M37" s="38"/>
    </row>
    <row r="38" spans="1:18" x14ac:dyDescent="0.35">
      <c r="A38" s="9">
        <v>1</v>
      </c>
      <c r="B38" s="9" t="s">
        <v>20</v>
      </c>
      <c r="C38" s="10" t="s">
        <v>21</v>
      </c>
      <c r="D38" s="39">
        <v>10.240493000000001</v>
      </c>
      <c r="E38" s="39">
        <v>0.58962110000000001</v>
      </c>
      <c r="F38" s="39">
        <v>9.8974919999999997</v>
      </c>
      <c r="G38" s="39">
        <v>0.41121180000000002</v>
      </c>
      <c r="H38" s="39">
        <v>13.090223999999999</v>
      </c>
      <c r="I38" s="39">
        <v>0.32739249999999998</v>
      </c>
      <c r="J38" s="39">
        <v>12.122057</v>
      </c>
      <c r="K38" s="39">
        <v>0.59165129999999999</v>
      </c>
      <c r="L38" s="39">
        <v>10.688394000000001</v>
      </c>
      <c r="M38" s="39">
        <v>0.57504809999999995</v>
      </c>
    </row>
    <row r="39" spans="1:18" x14ac:dyDescent="0.35">
      <c r="A39" s="9">
        <v>2</v>
      </c>
      <c r="B39" s="9" t="s">
        <v>181</v>
      </c>
      <c r="C39" s="10" t="s">
        <v>21</v>
      </c>
      <c r="D39" s="39">
        <v>9.3974150000000005</v>
      </c>
      <c r="E39" s="38"/>
      <c r="F39" s="39">
        <v>7.9157019999999996</v>
      </c>
      <c r="G39" s="39"/>
      <c r="H39" s="39">
        <v>11.465439</v>
      </c>
      <c r="I39" s="39"/>
      <c r="J39" s="39">
        <v>9.6527419999999999</v>
      </c>
      <c r="K39" s="39"/>
      <c r="L39" s="39">
        <v>7.9416000000000002</v>
      </c>
      <c r="M39" s="39"/>
    </row>
    <row r="40" spans="1:18" x14ac:dyDescent="0.35">
      <c r="A40" s="9">
        <v>3</v>
      </c>
      <c r="B40" s="9" t="s">
        <v>168</v>
      </c>
      <c r="C40" s="10" t="s">
        <v>21</v>
      </c>
      <c r="D40" s="39">
        <v>5.7369500000000002</v>
      </c>
      <c r="E40" s="39"/>
      <c r="F40" s="39">
        <v>2.8820000000000001</v>
      </c>
      <c r="G40" s="39"/>
      <c r="H40" s="39">
        <v>4.9303999999999997</v>
      </c>
      <c r="I40" s="39"/>
      <c r="J40" s="39">
        <v>8.3413350000000008</v>
      </c>
      <c r="K40" s="39"/>
      <c r="L40" s="39">
        <v>1.8084</v>
      </c>
      <c r="M40" s="39"/>
    </row>
    <row r="41" spans="1:18" x14ac:dyDescent="0.35">
      <c r="A41" s="9">
        <v>4</v>
      </c>
      <c r="B41" s="9" t="s">
        <v>190</v>
      </c>
      <c r="C41" s="10" t="s">
        <v>191</v>
      </c>
      <c r="D41" s="39">
        <v>884.26319999999998</v>
      </c>
      <c r="E41" s="39"/>
      <c r="F41" s="39">
        <v>1501.6922999999999</v>
      </c>
      <c r="G41" s="39"/>
      <c r="H41" s="39">
        <v>1046.5</v>
      </c>
      <c r="I41" s="39"/>
      <c r="J41" s="39">
        <v>449.5</v>
      </c>
      <c r="K41" s="39"/>
      <c r="L41" s="39">
        <v>2635.1</v>
      </c>
      <c r="M41" s="39"/>
    </row>
    <row r="42" spans="1:18" x14ac:dyDescent="0.35">
      <c r="A42" s="9">
        <v>5</v>
      </c>
      <c r="B42" s="8" t="s">
        <v>160</v>
      </c>
      <c r="C42" s="10" t="s">
        <v>237</v>
      </c>
      <c r="D42" s="39">
        <f>InputsNZ!D48*(106/16)*12</f>
        <v>25.962123782202831</v>
      </c>
      <c r="E42" s="39">
        <f>InputsNZ!E48*(106/16)*12</f>
        <v>13.068094919802807</v>
      </c>
      <c r="F42" s="39">
        <f>InputsNZ!F48*(106/16)*12</f>
        <v>24.681550695020007</v>
      </c>
      <c r="G42" s="39">
        <f>InputsNZ!G48*(106/16)*12</f>
        <v>6.2454245547297171</v>
      </c>
      <c r="H42" s="39">
        <f>InputsNZ!H48*(106/16)*12</f>
        <v>0.58164248243608585</v>
      </c>
      <c r="I42" s="39">
        <f>InputsNZ!I48*(106/16)*12</f>
        <v>0.56070477072068303</v>
      </c>
      <c r="J42" s="39">
        <f>InputsNZ!J48*(106/16)*12</f>
        <v>37.675504330357036</v>
      </c>
      <c r="K42" s="39">
        <f>InputsNZ!K48*(106/16)*12</f>
        <v>12.836174165324138</v>
      </c>
      <c r="L42" s="39">
        <f>InputsNZ!L48*(106/16)*12</f>
        <v>1.5373586731267935E-2</v>
      </c>
      <c r="M42" s="39">
        <f>InputsNZ!M48*(106/16)*12</f>
        <v>4.8615549876949611E-2</v>
      </c>
    </row>
    <row r="43" spans="1:18" x14ac:dyDescent="0.35">
      <c r="A43" s="9">
        <v>6</v>
      </c>
      <c r="B43" s="8" t="s">
        <v>22</v>
      </c>
      <c r="C43" s="10" t="s">
        <v>238</v>
      </c>
      <c r="D43" s="39">
        <f>InputsNZ!D49*(106/16)*12</f>
        <v>193.37183916231453</v>
      </c>
      <c r="E43" s="39"/>
      <c r="F43" s="39">
        <f>InputsNZ!F49*(106/16)*12</f>
        <v>296.16168113919974</v>
      </c>
      <c r="G43" s="39"/>
      <c r="H43" s="39">
        <f>InputsNZ!H49*(106/16)*12</f>
        <v>384.66617089901268</v>
      </c>
      <c r="I43" s="39"/>
      <c r="J43" s="39">
        <f>InputsNZ!J49*(106/16)*12</f>
        <v>110.81726519093968</v>
      </c>
      <c r="K43" s="39"/>
      <c r="L43" s="39">
        <f>InputsNZ!L49*(106/16)*12</f>
        <v>685.09780520624236</v>
      </c>
      <c r="M43" s="39"/>
    </row>
    <row r="44" spans="1:18" s="8" customFormat="1" x14ac:dyDescent="0.35">
      <c r="A44" s="9">
        <v>7</v>
      </c>
      <c r="B44" s="8" t="s">
        <v>24</v>
      </c>
      <c r="C44" s="10" t="s">
        <v>238</v>
      </c>
      <c r="D44" s="39">
        <f>InputsNZ!D50*(106/16)*12</f>
        <v>673.49471314294703</v>
      </c>
      <c r="E44" s="39"/>
      <c r="F44" s="39">
        <f>InputsNZ!F50*(106/16)*12</f>
        <v>89.29817168566592</v>
      </c>
      <c r="G44" s="39"/>
      <c r="H44" s="39">
        <f>InputsNZ!H50*(106/16)*12</f>
        <v>40.736162041336186</v>
      </c>
      <c r="I44" s="39"/>
      <c r="J44" s="39">
        <f>InputsNZ!J50*(106/16)*12</f>
        <v>28.042283062121996</v>
      </c>
      <c r="K44" s="39"/>
      <c r="L44" s="39">
        <f>InputsNZ!L50*(106/16)*12</f>
        <v>37.345668242130799</v>
      </c>
      <c r="M44" s="39"/>
    </row>
    <row r="45" spans="1:18" s="8" customFormat="1" x14ac:dyDescent="0.35">
      <c r="A45" s="9">
        <v>8</v>
      </c>
      <c r="B45" s="8" t="s">
        <v>25</v>
      </c>
      <c r="C45" s="10" t="s">
        <v>238</v>
      </c>
      <c r="D45" s="39">
        <f>InputsNZ!D51*(106/16)*12</f>
        <v>425.94499579412752</v>
      </c>
      <c r="E45" s="39"/>
      <c r="F45" s="39">
        <f>InputsNZ!F51*(106/16)*12</f>
        <v>274.89126361761106</v>
      </c>
      <c r="G45" s="39"/>
      <c r="H45" s="39">
        <f>InputsNZ!H51*(106/16)*12</f>
        <v>341.44417306840728</v>
      </c>
      <c r="I45" s="39"/>
      <c r="J45" s="39">
        <f>InputsNZ!J51*(106/16)*12</f>
        <v>313.27653942288089</v>
      </c>
      <c r="K45" s="39"/>
      <c r="L45" s="39">
        <f>InputsNZ!L51*(106/16)*12</f>
        <v>241.74715488240264</v>
      </c>
      <c r="M45" s="39"/>
    </row>
    <row r="46" spans="1:18" s="8" customFormat="1" x14ac:dyDescent="0.35">
      <c r="A46" s="9">
        <v>9</v>
      </c>
      <c r="B46" s="8" t="s">
        <v>26</v>
      </c>
      <c r="C46" s="10" t="s">
        <v>238</v>
      </c>
      <c r="D46" s="39">
        <f>InputsNZ!D52*(106/16)*12</f>
        <v>72.186731084907663</v>
      </c>
      <c r="E46" s="39"/>
      <c r="F46" s="39">
        <f>InputsNZ!F52*(106/16)*12</f>
        <v>88.788444038681959</v>
      </c>
      <c r="G46" s="39"/>
      <c r="H46" s="39">
        <f>InputsNZ!H52*(106/16)*12</f>
        <v>160.76737577047558</v>
      </c>
      <c r="I46" s="39"/>
      <c r="J46" s="39">
        <f>InputsNZ!J52*(106/16)*12</f>
        <v>139.80213503702868</v>
      </c>
      <c r="K46" s="39"/>
      <c r="L46" s="39">
        <f>InputsNZ!L52*(106/16)*12</f>
        <v>65.149318905399397</v>
      </c>
      <c r="M46" s="39"/>
    </row>
    <row r="47" spans="1:18" x14ac:dyDescent="0.35">
      <c r="A47" s="9">
        <v>10</v>
      </c>
      <c r="B47" s="8" t="s">
        <v>27</v>
      </c>
      <c r="C47" s="10" t="s">
        <v>238</v>
      </c>
      <c r="D47" s="39">
        <f>InputsNZ!D53*(106/16)*12</f>
        <v>83.644271333430652</v>
      </c>
      <c r="E47" s="39"/>
      <c r="F47" s="39">
        <f>InputsNZ!F53*(106/16)*12</f>
        <v>16.612850986200122</v>
      </c>
      <c r="G47" s="39"/>
      <c r="H47" s="39">
        <f>InputsNZ!H53*(106/16)*12</f>
        <v>21.220128984539716</v>
      </c>
      <c r="I47" s="39"/>
      <c r="J47" s="39">
        <f>InputsNZ!J53*(106/16)*12</f>
        <v>184.98603985840194</v>
      </c>
      <c r="K47" s="39"/>
      <c r="L47" s="39">
        <f>InputsNZ!L53*(106/16)*12</f>
        <v>44.026255125438041</v>
      </c>
      <c r="M47" s="39"/>
    </row>
    <row r="48" spans="1:18" x14ac:dyDescent="0.35">
      <c r="A48" s="9">
        <v>11</v>
      </c>
      <c r="B48" s="8" t="s">
        <v>28</v>
      </c>
      <c r="C48" s="10" t="s">
        <v>238</v>
      </c>
      <c r="D48" s="39">
        <f>InputsNZ!D54*(106/16)*12</f>
        <v>788.14543049999997</v>
      </c>
      <c r="E48" s="39">
        <f>InputsNZ!E54*(106/16)*12</f>
        <v>129.98064598050001</v>
      </c>
      <c r="F48" s="39">
        <f>InputsNZ!F54*(106/16)*12</f>
        <v>381.54490650000002</v>
      </c>
      <c r="G48" s="39">
        <f>InputsNZ!G54*(106/16)*12</f>
        <v>0.72584740200000009</v>
      </c>
      <c r="H48" s="39">
        <f>InputsNZ!H54*(106/16)*12</f>
        <v>1079.3121134999999</v>
      </c>
      <c r="I48" s="39">
        <f>InputsNZ!I54*(106/16)*12</f>
        <v>576.94656373949999</v>
      </c>
      <c r="J48" s="39">
        <f>InputsNZ!J54*(106/16)*12</f>
        <v>525.62959350000006</v>
      </c>
      <c r="K48" s="39">
        <f>InputsNZ!K54*(106/16)*12</f>
        <v>152.5297954305</v>
      </c>
      <c r="L48" s="39">
        <f>InputsNZ!L54*(106/16)*12</f>
        <v>93.434076300000001</v>
      </c>
      <c r="M48" s="39">
        <f>InputsNZ!M54*(106/16)*12</f>
        <v>50.202190632000004</v>
      </c>
      <c r="Q48" s="28"/>
      <c r="R48" s="28"/>
    </row>
    <row r="49" spans="1:18" x14ac:dyDescent="0.35">
      <c r="A49" s="9">
        <v>12</v>
      </c>
      <c r="B49" s="8" t="s">
        <v>29</v>
      </c>
      <c r="C49" s="10" t="s">
        <v>238</v>
      </c>
      <c r="D49" s="39">
        <f>InputsNZ!D55*(106/16)*12</f>
        <v>671.34005549999995</v>
      </c>
      <c r="E49" s="39">
        <f>InputsNZ!E55*(106/16)*12</f>
        <v>13.927003900500001</v>
      </c>
      <c r="F49" s="39">
        <f>InputsNZ!F55*(106/16)*12</f>
        <v>1628.6542515000001</v>
      </c>
      <c r="G49" s="39">
        <f>InputsNZ!G55*(106/16)*12</f>
        <v>407.75695127250003</v>
      </c>
      <c r="H49" s="39">
        <f>InputsNZ!H55*(106/16)*12</f>
        <v>2341.0294245</v>
      </c>
      <c r="I49" s="39">
        <f>InputsNZ!I55*(106/16)*12</f>
        <v>418.09608519300002</v>
      </c>
      <c r="J49" s="39">
        <f>InputsNZ!J55*(106/16)*12</f>
        <v>899.7542085</v>
      </c>
      <c r="K49" s="39">
        <f>InputsNZ!K55*(106/16)*12</f>
        <v>518.30754022950009</v>
      </c>
      <c r="L49" s="39">
        <f>InputsNZ!L55*(106/16)*12</f>
        <v>913.90640099999996</v>
      </c>
      <c r="M49" s="39">
        <f>InputsNZ!M55*(106/16)*12</f>
        <v>264.58354749149998</v>
      </c>
      <c r="Q49" s="28"/>
      <c r="R49" s="28"/>
    </row>
    <row r="50" spans="1:18" x14ac:dyDescent="0.35">
      <c r="A50" s="9">
        <v>13</v>
      </c>
      <c r="B50" s="8" t="s">
        <v>30</v>
      </c>
      <c r="C50" s="10" t="s">
        <v>238</v>
      </c>
      <c r="D50" s="39">
        <f>InputsNZ!D56*(106/16)*12</f>
        <v>19.043755950000001</v>
      </c>
      <c r="E50" s="39">
        <f>InputsNZ!E56*(106/16)*12</f>
        <v>26.931936750000002</v>
      </c>
      <c r="F50" s="39">
        <f>InputsNZ!F56*(106/16)*12</f>
        <v>62.881359750000001</v>
      </c>
      <c r="G50" s="39">
        <f>InputsNZ!G56*(106/16)*12</f>
        <v>59.018812499999996</v>
      </c>
      <c r="H50" s="39">
        <f>InputsNZ!H56*(106/16)*12</f>
        <v>37.277820300000002</v>
      </c>
      <c r="I50" s="39">
        <f>InputsNZ!I56*(106/16)*12</f>
        <v>31.608611700000001</v>
      </c>
      <c r="J50" s="39">
        <f>InputsNZ!J56*(106/16)*12</f>
        <v>18.455042550000002</v>
      </c>
      <c r="K50" s="39">
        <f>InputsNZ!K56*(106/16)*12</f>
        <v>10.412902050000001</v>
      </c>
      <c r="L50" s="39">
        <f>InputsNZ!L56*(106/16)*12</f>
        <v>95.839611149999996</v>
      </c>
      <c r="M50" s="39">
        <f>InputsNZ!M56*(106/16)*12</f>
        <v>68.324573700000002</v>
      </c>
    </row>
    <row r="51" spans="1:18" x14ac:dyDescent="0.35">
      <c r="A51" s="9">
        <v>14</v>
      </c>
      <c r="B51" s="8" t="s">
        <v>31</v>
      </c>
      <c r="C51" s="10" t="s">
        <v>238</v>
      </c>
      <c r="D51" s="39">
        <f>InputsNZ!D57*(106/16)*12</f>
        <v>328.48664624999992</v>
      </c>
      <c r="E51" s="39">
        <f>InputsNZ!E57*(106/16)*12</f>
        <v>208.32850980000001</v>
      </c>
      <c r="F51" s="39">
        <f>InputsNZ!F57*(106/16)*12</f>
        <v>311.35041330000001</v>
      </c>
      <c r="G51" s="39">
        <f>InputsNZ!G57*(106/16)*12</f>
        <v>228.67237694999997</v>
      </c>
      <c r="H51" s="39">
        <f>InputsNZ!H57*(106/16)*12</f>
        <v>217.54892774999996</v>
      </c>
      <c r="I51" s="39">
        <f>InputsNZ!I57*(106/16)*12</f>
        <v>28.3865403</v>
      </c>
      <c r="J51" s="39">
        <f>InputsNZ!J57*(106/16)*12</f>
        <v>117.77200754999998</v>
      </c>
      <c r="K51" s="39">
        <f>InputsNZ!K57*(106/16)*12</f>
        <v>49.798553550000008</v>
      </c>
      <c r="L51" s="39">
        <f>InputsNZ!L57*(106/16)*12</f>
        <v>98.681728199999995</v>
      </c>
      <c r="M51" s="39">
        <f>InputsNZ!M57*(106/16)*12</f>
        <v>42.177985649999997</v>
      </c>
    </row>
    <row r="52" spans="1:18" x14ac:dyDescent="0.35">
      <c r="A52" s="9">
        <v>15</v>
      </c>
      <c r="B52" s="8" t="s">
        <v>158</v>
      </c>
      <c r="C52" s="10" t="s">
        <v>238</v>
      </c>
      <c r="D52" s="39">
        <f>InputsNZ!D58*(106/16)*12</f>
        <v>25.614372000749995</v>
      </c>
      <c r="E52" s="39"/>
      <c r="F52" s="39">
        <f>InputsNZ!F58*(106/16)*12</f>
        <v>1.05702054405</v>
      </c>
      <c r="G52" s="39"/>
      <c r="H52" s="39">
        <f>InputsNZ!H58*(106/16)*12</f>
        <v>2.8335330374999999E-2</v>
      </c>
      <c r="I52" s="39"/>
      <c r="J52" s="39">
        <f>InputsNZ!J58*(106/16)*12</f>
        <v>2.6748558075000002</v>
      </c>
      <c r="K52" s="39"/>
      <c r="L52" s="39">
        <f>InputsNZ!L58*(106/16)*12</f>
        <v>25.705293487500001</v>
      </c>
      <c r="M52" s="40"/>
    </row>
    <row r="53" spans="1:18" x14ac:dyDescent="0.35">
      <c r="A53" s="9">
        <v>16</v>
      </c>
      <c r="B53" s="8" t="s">
        <v>159</v>
      </c>
      <c r="C53" s="10" t="s">
        <v>238</v>
      </c>
      <c r="D53" s="39">
        <f>InputsNZ!D59*(106/16)*12</f>
        <v>2.8863993450000001</v>
      </c>
      <c r="E53" s="39"/>
      <c r="F53" s="39">
        <f>InputsNZ!F59*(106/16)*12</f>
        <v>123.72830694749999</v>
      </c>
      <c r="G53" s="39"/>
      <c r="H53" s="39">
        <f>InputsNZ!H59*(106/16)*12</f>
        <v>3.1916423774999991</v>
      </c>
      <c r="I53" s="39"/>
      <c r="J53" s="39">
        <f>InputsNZ!J59*(106/16)*12</f>
        <v>8.5635452249999986</v>
      </c>
      <c r="K53" s="39"/>
      <c r="L53" s="39">
        <f>InputsNZ!L59*(106/16)*12</f>
        <v>6.2192543924999999</v>
      </c>
      <c r="M53" s="40"/>
    </row>
    <row r="54" spans="1:18" x14ac:dyDescent="0.35">
      <c r="A54" s="9">
        <v>17</v>
      </c>
      <c r="B54" s="8" t="s">
        <v>166</v>
      </c>
      <c r="C54" s="10" t="s">
        <v>238</v>
      </c>
      <c r="D54" s="39">
        <f>InputsNZ!D60*(106/16)*12</f>
        <v>817.28421310619115</v>
      </c>
      <c r="E54" s="39">
        <f>InputsNZ!E60*(106/16)*12</f>
        <v>674.25893464949991</v>
      </c>
      <c r="F54" s="39">
        <f>InputsNZ!F60*(106/16)*12</f>
        <v>279.15600744</v>
      </c>
      <c r="G54" s="39">
        <f>InputsNZ!G60*(106/16)*12</f>
        <v>260.64469017900001</v>
      </c>
      <c r="H54" s="39">
        <f>InputsNZ!H60*(106/16)*12</f>
        <v>5.9702605515000009</v>
      </c>
      <c r="I54" s="39">
        <f>InputsNZ!I60*(106/16)*12</f>
        <v>7.4495547344999995</v>
      </c>
      <c r="J54" s="39">
        <f>InputsNZ!J60*(106/16)*12</f>
        <v>606.75572497799999</v>
      </c>
      <c r="K54" s="39">
        <f>InputsNZ!K60*(106/16)*12</f>
        <v>688.074321027</v>
      </c>
      <c r="L54" s="39">
        <f>InputsNZ!L60*(106/16)*12</f>
        <v>0.14076325649999999</v>
      </c>
      <c r="M54" s="39">
        <f>InputsNZ!M60*(106/16)*12</f>
        <v>0.34479809850000004</v>
      </c>
    </row>
    <row r="55" spans="1:18" x14ac:dyDescent="0.35">
      <c r="A55" s="9">
        <v>18</v>
      </c>
      <c r="B55" s="8" t="s">
        <v>167</v>
      </c>
      <c r="C55" s="10" t="s">
        <v>238</v>
      </c>
      <c r="D55" s="39">
        <f>InputsNZ!D61*(106/16)*12</f>
        <v>2006.8058944712614</v>
      </c>
      <c r="E55" s="39">
        <f>InputsNZ!E61*(106/16)*12</f>
        <v>1439.0118170534997</v>
      </c>
      <c r="F55" s="39">
        <f>InputsNZ!F61*(106/16)*12</f>
        <v>1021.857183501</v>
      </c>
      <c r="G55" s="39">
        <f>InputsNZ!G61*(106/16)*12</f>
        <v>1236.0623682015</v>
      </c>
      <c r="H55" s="39">
        <f>InputsNZ!H61*(106/16)*12</f>
        <v>9.5990045819999992</v>
      </c>
      <c r="I55" s="39">
        <f>InputsNZ!I61*(106/16)*12</f>
        <v>14.308130637000001</v>
      </c>
      <c r="J55" s="39">
        <f>InputsNZ!J61*(106/16)*12</f>
        <v>1349.3599945935002</v>
      </c>
      <c r="K55" s="39">
        <f>InputsNZ!K61*(106/16)*12</f>
        <v>937.06984877850005</v>
      </c>
      <c r="L55" s="39">
        <f>InputsNZ!L61*(106/16)*12</f>
        <v>5.7706025820000004</v>
      </c>
      <c r="M55" s="39">
        <f>InputsNZ!M61*(106/16)*12</f>
        <v>12.488348845500001</v>
      </c>
    </row>
    <row r="56" spans="1:18" x14ac:dyDescent="0.35">
      <c r="A56" s="9">
        <v>19</v>
      </c>
      <c r="B56" s="8" t="s">
        <v>32</v>
      </c>
      <c r="C56" s="10" t="s">
        <v>238</v>
      </c>
      <c r="D56" s="39">
        <f>InputsNZ!D62*(106/16)*12</f>
        <v>425.71597088078136</v>
      </c>
      <c r="E56" s="39"/>
      <c r="F56" s="39">
        <f>InputsNZ!F62*(106/16)*12</f>
        <v>424.76795997145183</v>
      </c>
      <c r="G56" s="39"/>
      <c r="H56" s="39">
        <f>InputsNZ!H62*(106/16)*12</f>
        <v>353.8620185146616</v>
      </c>
      <c r="I56" s="39"/>
      <c r="J56" s="39">
        <f>InputsNZ!J62*(106/16)*12</f>
        <v>327.26485481779815</v>
      </c>
      <c r="K56" s="39"/>
      <c r="L56" s="39">
        <f>InputsNZ!L62*(106/16)*12</f>
        <v>144.53439628376145</v>
      </c>
      <c r="M56" s="38"/>
    </row>
    <row r="57" spans="1:18" x14ac:dyDescent="0.35">
      <c r="A57" s="9">
        <v>20</v>
      </c>
      <c r="B57" s="8" t="s">
        <v>33</v>
      </c>
      <c r="C57" s="10" t="s">
        <v>238</v>
      </c>
      <c r="D57" s="39">
        <f>InputsNZ!D63*(106/16)*12</f>
        <v>123.84680540164463</v>
      </c>
      <c r="E57" s="39"/>
      <c r="F57" s="39">
        <f>InputsNZ!F63*(106/16)*12</f>
        <v>109.7687962432212</v>
      </c>
      <c r="G57" s="39"/>
      <c r="H57" s="39">
        <f>InputsNZ!H63*(106/16)*12</f>
        <v>86.956516955005966</v>
      </c>
      <c r="I57" s="39"/>
      <c r="J57" s="39">
        <f>InputsNZ!J63*(106/16)*12</f>
        <v>69.878993706443865</v>
      </c>
      <c r="K57" s="39"/>
      <c r="L57" s="39">
        <f>InputsNZ!L63*(106/16)*12</f>
        <v>28.176108087182094</v>
      </c>
      <c r="M57" s="38"/>
    </row>
    <row r="58" spans="1:18" x14ac:dyDescent="0.35">
      <c r="A58" s="9">
        <v>21</v>
      </c>
      <c r="B58" s="8" t="s">
        <v>34</v>
      </c>
      <c r="C58" s="10" t="s">
        <v>238</v>
      </c>
      <c r="D58" s="39">
        <f>InputsNZ!D64*(106/16)*12</f>
        <v>1463.055989194846</v>
      </c>
      <c r="E58" s="39"/>
      <c r="F58" s="39">
        <f>InputsNZ!F64*(106/16)*12</f>
        <v>833.98623664555316</v>
      </c>
      <c r="G58" s="39"/>
      <c r="H58" s="39">
        <f>InputsNZ!H64*(106/16)*12</f>
        <v>9.3115909820392737</v>
      </c>
      <c r="I58" s="39"/>
      <c r="J58" s="39">
        <f>InputsNZ!J64*(106/16)*12</f>
        <v>988.5683365125949</v>
      </c>
      <c r="K58" s="39"/>
      <c r="L58" s="39">
        <f>InputsNZ!L64*(106/16)*12</f>
        <v>8.7286158732395531</v>
      </c>
      <c r="M58" s="38"/>
    </row>
    <row r="59" spans="1:18" x14ac:dyDescent="0.35">
      <c r="A59" s="9">
        <v>22</v>
      </c>
      <c r="B59" s="8" t="s">
        <v>154</v>
      </c>
      <c r="C59" s="10" t="s">
        <v>155</v>
      </c>
      <c r="D59" s="39">
        <v>555.38994216228696</v>
      </c>
      <c r="E59" s="39"/>
      <c r="F59" s="39">
        <v>384.66280015304699</v>
      </c>
      <c r="G59" s="39"/>
      <c r="H59" s="39">
        <v>317.083903009398</v>
      </c>
      <c r="I59" s="39"/>
      <c r="J59" s="39">
        <v>235.54478217396701</v>
      </c>
      <c r="K59" s="39"/>
      <c r="L59" s="39">
        <v>354.50234195540702</v>
      </c>
      <c r="M59" s="38"/>
    </row>
    <row r="60" spans="1:18" x14ac:dyDescent="0.35">
      <c r="A60" s="9">
        <v>23</v>
      </c>
      <c r="B60" s="8" t="s">
        <v>156</v>
      </c>
      <c r="C60" s="10" t="s">
        <v>155</v>
      </c>
      <c r="D60" s="39">
        <v>1679.9187908255799</v>
      </c>
      <c r="E60" s="39"/>
      <c r="F60" s="39">
        <v>524.29391895270601</v>
      </c>
      <c r="G60" s="39"/>
      <c r="H60" s="39">
        <v>436.082019537897</v>
      </c>
      <c r="I60" s="39"/>
      <c r="J60" s="39">
        <v>308.87667068271998</v>
      </c>
      <c r="K60" s="39"/>
      <c r="L60" s="39">
        <v>627.79010109917101</v>
      </c>
      <c r="M60" s="38"/>
    </row>
    <row r="61" spans="1:18" x14ac:dyDescent="0.35">
      <c r="A61" s="9">
        <v>24</v>
      </c>
      <c r="B61" s="8" t="s">
        <v>157</v>
      </c>
      <c r="C61" s="10" t="s">
        <v>155</v>
      </c>
      <c r="D61" s="39">
        <v>11749.864845948199</v>
      </c>
      <c r="E61" s="39"/>
      <c r="F61" s="39">
        <v>8239.8320490517999</v>
      </c>
      <c r="G61" s="39"/>
      <c r="H61" s="39">
        <v>10570.128463663599</v>
      </c>
      <c r="I61" s="39"/>
      <c r="J61" s="39">
        <v>23363.7795992069</v>
      </c>
      <c r="K61" s="39"/>
      <c r="L61" s="39">
        <v>11056.7363182476</v>
      </c>
      <c r="M61" s="38"/>
    </row>
    <row r="62" spans="1:18" x14ac:dyDescent="0.35">
      <c r="A62" s="9">
        <v>25</v>
      </c>
      <c r="B62" s="8" t="s">
        <v>36</v>
      </c>
      <c r="C62" s="10" t="s">
        <v>37</v>
      </c>
      <c r="D62" s="39">
        <v>7.5640000000000004E-3</v>
      </c>
      <c r="E62" s="39"/>
      <c r="F62" s="39">
        <v>7.5640000000000004E-3</v>
      </c>
      <c r="G62" s="39"/>
      <c r="H62" s="39">
        <v>7.5640000000000004E-3</v>
      </c>
      <c r="I62" s="39"/>
      <c r="J62" s="39">
        <v>7.5640000000000004E-3</v>
      </c>
      <c r="K62" s="39"/>
      <c r="L62" s="39">
        <v>7.5640000000000004E-3</v>
      </c>
      <c r="M62" s="38"/>
    </row>
    <row r="63" spans="1:18" x14ac:dyDescent="0.35">
      <c r="A63" s="9">
        <v>26</v>
      </c>
      <c r="B63" s="8" t="s">
        <v>38</v>
      </c>
      <c r="C63" s="10" t="s">
        <v>37</v>
      </c>
      <c r="D63" s="39">
        <v>0.46887499999999999</v>
      </c>
      <c r="E63" s="39"/>
      <c r="F63" s="39">
        <v>0.46887499999999999</v>
      </c>
      <c r="G63" s="39"/>
      <c r="H63" s="39">
        <v>0.46887499999999999</v>
      </c>
      <c r="I63" s="39"/>
      <c r="J63" s="39">
        <v>0.46887499999999999</v>
      </c>
      <c r="K63" s="39"/>
      <c r="L63" s="39">
        <v>0.46887499999999999</v>
      </c>
      <c r="M63" s="38"/>
    </row>
    <row r="64" spans="1:18" x14ac:dyDescent="0.35">
      <c r="A64" s="9">
        <v>27</v>
      </c>
      <c r="B64" s="8" t="s">
        <v>150</v>
      </c>
      <c r="C64" s="10" t="s">
        <v>37</v>
      </c>
      <c r="D64" s="39">
        <v>0.96186859999999996</v>
      </c>
      <c r="E64" s="38"/>
      <c r="F64" s="39">
        <v>0.54815100000000005</v>
      </c>
      <c r="G64" s="39"/>
      <c r="H64" s="39">
        <v>2.8122100000000001E-2</v>
      </c>
      <c r="I64" s="39"/>
      <c r="J64" s="39">
        <v>0.75654580000000005</v>
      </c>
      <c r="K64" s="39"/>
      <c r="L64" s="39">
        <v>1.7015480000000001</v>
      </c>
      <c r="M64" s="38"/>
    </row>
    <row r="65" spans="1:13" x14ac:dyDescent="0.35">
      <c r="A65" s="9">
        <v>28</v>
      </c>
      <c r="B65" s="8" t="s">
        <v>151</v>
      </c>
      <c r="C65" s="10" t="s">
        <v>37</v>
      </c>
      <c r="D65" s="39">
        <v>1.21023E-2</v>
      </c>
      <c r="E65" s="38"/>
      <c r="F65" s="39">
        <v>0.51877689999999999</v>
      </c>
      <c r="G65" s="39"/>
      <c r="H65" s="39">
        <v>1.3382150000000001E-2</v>
      </c>
      <c r="I65" s="39"/>
      <c r="J65" s="39">
        <v>3.5905859999999998E-2</v>
      </c>
      <c r="K65" s="39"/>
      <c r="L65" s="39">
        <v>2.6076539999999999E-2</v>
      </c>
      <c r="M65" s="38"/>
    </row>
    <row r="66" spans="1:13" x14ac:dyDescent="0.35">
      <c r="A66" s="9">
        <v>29</v>
      </c>
      <c r="B66" s="8" t="s">
        <v>39</v>
      </c>
      <c r="C66" s="10" t="s">
        <v>40</v>
      </c>
      <c r="D66" s="39">
        <v>1300</v>
      </c>
      <c r="E66" s="38"/>
      <c r="F66" s="39">
        <v>1300</v>
      </c>
      <c r="G66" s="39"/>
      <c r="H66" s="39">
        <v>1300</v>
      </c>
      <c r="I66" s="39"/>
      <c r="J66" s="39">
        <v>1300</v>
      </c>
      <c r="K66" s="39"/>
      <c r="L66" s="39">
        <v>1300</v>
      </c>
      <c r="M66" s="38"/>
    </row>
    <row r="67" spans="1:13" x14ac:dyDescent="0.35">
      <c r="A67" s="9">
        <v>30</v>
      </c>
      <c r="B67" s="8" t="s">
        <v>41</v>
      </c>
      <c r="C67" s="10" t="s">
        <v>40</v>
      </c>
      <c r="D67" s="39">
        <v>892000</v>
      </c>
      <c r="E67" s="38"/>
      <c r="F67" s="39">
        <v>892000</v>
      </c>
      <c r="G67" s="39"/>
      <c r="H67" s="39">
        <v>892000</v>
      </c>
      <c r="I67" s="39"/>
      <c r="J67" s="39">
        <v>892000</v>
      </c>
      <c r="K67" s="39"/>
      <c r="L67" s="39">
        <v>892000</v>
      </c>
      <c r="M67" s="38"/>
    </row>
    <row r="68" spans="1:13" x14ac:dyDescent="0.35">
      <c r="A68" s="9">
        <v>31</v>
      </c>
      <c r="B68" s="8" t="s">
        <v>42</v>
      </c>
      <c r="C68" s="10" t="s">
        <v>40</v>
      </c>
      <c r="D68" s="39">
        <v>1257660</v>
      </c>
      <c r="E68" s="38"/>
      <c r="F68" s="39">
        <v>1257660</v>
      </c>
      <c r="G68" s="39"/>
      <c r="H68" s="39">
        <v>1257660</v>
      </c>
      <c r="I68" s="39"/>
      <c r="J68" s="39">
        <v>1257660</v>
      </c>
      <c r="K68" s="39"/>
      <c r="L68" s="39">
        <v>1257660</v>
      </c>
      <c r="M68" s="38"/>
    </row>
    <row r="69" spans="1:13" x14ac:dyDescent="0.35">
      <c r="A69" s="9">
        <v>32</v>
      </c>
      <c r="B69" s="8" t="s">
        <v>182</v>
      </c>
      <c r="C69" s="10" t="s">
        <v>237</v>
      </c>
      <c r="D69" s="39">
        <f>InputsNZ!D76*(106/16)*12</f>
        <v>83.501993249388732</v>
      </c>
      <c r="E69" s="39"/>
      <c r="F69" s="39">
        <f>InputsNZ!F76*(106/16)*12</f>
        <v>38.628642905107142</v>
      </c>
      <c r="G69" s="39"/>
      <c r="H69" s="39">
        <f>InputsNZ!H76*(106/16)*12</f>
        <v>0.51524731351030861</v>
      </c>
      <c r="I69" s="39"/>
      <c r="J69" s="39">
        <f>InputsNZ!J76*(106/16)*12</f>
        <v>63.00335754232087</v>
      </c>
      <c r="K69" s="39"/>
      <c r="L69" s="39">
        <f>InputsNZ!L76*(106/16)*12</f>
        <v>0.2275775902370632</v>
      </c>
      <c r="M69" s="37"/>
    </row>
    <row r="70" spans="1:13" x14ac:dyDescent="0.35">
      <c r="D70" s="38"/>
      <c r="E70" s="38"/>
      <c r="F70" s="38"/>
      <c r="G70" s="38"/>
      <c r="H70" s="38"/>
      <c r="I70" s="38"/>
      <c r="J70" s="38"/>
      <c r="K70" s="38"/>
      <c r="L70" s="38"/>
      <c r="M70" s="38"/>
    </row>
    <row r="71" spans="1:13" ht="30" x14ac:dyDescent="0.6">
      <c r="A71" s="19" t="s">
        <v>43</v>
      </c>
      <c r="B71" s="20"/>
      <c r="C71" s="20"/>
      <c r="D71" s="41"/>
      <c r="E71" s="41"/>
      <c r="F71" s="41"/>
      <c r="G71" s="41"/>
      <c r="H71" s="41"/>
      <c r="I71" s="41"/>
      <c r="J71" s="41"/>
      <c r="K71" s="41"/>
      <c r="L71" s="41"/>
      <c r="M71" s="41"/>
    </row>
    <row r="72" spans="1:13" x14ac:dyDescent="0.35">
      <c r="A72" s="22">
        <v>1</v>
      </c>
      <c r="B72" s="22" t="s">
        <v>44</v>
      </c>
      <c r="C72" s="23" t="s">
        <v>45</v>
      </c>
      <c r="D72" s="41">
        <v>3.5960812008899148</v>
      </c>
      <c r="E72" s="41">
        <v>0.3805068304740048</v>
      </c>
      <c r="F72" s="41">
        <v>0.57160202258733517</v>
      </c>
      <c r="G72" s="41">
        <v>0.23901983245509709</v>
      </c>
      <c r="H72" s="41">
        <v>6.9638937860270778</v>
      </c>
      <c r="I72" s="41">
        <v>0.14862612609552778</v>
      </c>
      <c r="J72" s="41">
        <v>6.9932793679930461</v>
      </c>
      <c r="K72" s="41">
        <v>0.36404256906910959</v>
      </c>
      <c r="L72" s="41">
        <v>3.9811394148482839</v>
      </c>
      <c r="M72" s="41">
        <v>2.1858299757541513</v>
      </c>
    </row>
    <row r="73" spans="1:13" x14ac:dyDescent="0.35">
      <c r="A73" s="22">
        <v>2</v>
      </c>
      <c r="B73" s="22" t="s">
        <v>46</v>
      </c>
      <c r="C73" s="23" t="s">
        <v>45</v>
      </c>
      <c r="D73" s="41"/>
      <c r="E73" s="41"/>
      <c r="F73" s="41"/>
      <c r="G73" s="41"/>
      <c r="H73" s="41"/>
      <c r="I73" s="41"/>
      <c r="J73" s="41"/>
      <c r="K73" s="41"/>
      <c r="L73" s="41"/>
      <c r="M73" s="41"/>
    </row>
    <row r="74" spans="1:13" x14ac:dyDescent="0.35">
      <c r="A74" s="22">
        <v>3</v>
      </c>
      <c r="B74" s="22" t="s">
        <v>47</v>
      </c>
      <c r="C74" s="23" t="s">
        <v>45</v>
      </c>
      <c r="D74" s="41">
        <v>6.5344519999999999</v>
      </c>
      <c r="E74" s="41">
        <v>0.75064960000000003</v>
      </c>
      <c r="F74" s="41">
        <v>4.0130990000000004</v>
      </c>
      <c r="G74" s="41">
        <v>0.6753015</v>
      </c>
      <c r="H74" s="38">
        <v>9.1313420000000001</v>
      </c>
      <c r="I74" s="38">
        <v>0.45024690000000001</v>
      </c>
      <c r="J74" s="41">
        <v>9.7313410000000005</v>
      </c>
      <c r="K74" s="41">
        <v>0.35580620000000002</v>
      </c>
      <c r="L74" s="41">
        <v>4.5152340000000004</v>
      </c>
      <c r="M74" s="41">
        <v>0.33743719999999999</v>
      </c>
    </row>
    <row r="75" spans="1:13" x14ac:dyDescent="0.35">
      <c r="A75" s="22">
        <v>4</v>
      </c>
      <c r="B75" s="22" t="s">
        <v>48</v>
      </c>
      <c r="C75" s="23" t="s">
        <v>45</v>
      </c>
      <c r="D75" s="41">
        <v>6.0951810000000002</v>
      </c>
      <c r="E75" s="41">
        <v>1.4836384</v>
      </c>
      <c r="F75" s="41">
        <v>4.4330930000000004</v>
      </c>
      <c r="G75" s="41">
        <v>0.7529901</v>
      </c>
      <c r="H75" s="41">
        <v>8.9932130000000008</v>
      </c>
      <c r="I75" s="41">
        <v>0.57430250000000005</v>
      </c>
      <c r="J75" s="41">
        <v>10.505179</v>
      </c>
      <c r="K75" s="41">
        <v>0.38461450000000003</v>
      </c>
      <c r="L75" s="41">
        <v>6.5810570000000004</v>
      </c>
      <c r="M75" s="41">
        <v>1.1969808</v>
      </c>
    </row>
    <row r="76" spans="1:13" x14ac:dyDescent="0.35">
      <c r="A76" s="22">
        <v>5</v>
      </c>
      <c r="B76" s="22" t="s">
        <v>49</v>
      </c>
      <c r="C76" s="23" t="s">
        <v>45</v>
      </c>
      <c r="D76" s="41">
        <v>2.78</v>
      </c>
      <c r="E76" s="41">
        <v>1.33</v>
      </c>
      <c r="F76" s="41">
        <v>1.1299999999999999</v>
      </c>
      <c r="G76" s="41">
        <v>0.55000000000000004</v>
      </c>
      <c r="H76" s="41" t="s">
        <v>71</v>
      </c>
      <c r="I76" s="41" t="s">
        <v>71</v>
      </c>
      <c r="J76" s="41">
        <v>7.75</v>
      </c>
      <c r="K76" s="41">
        <v>0.47</v>
      </c>
      <c r="L76" s="41" t="s">
        <v>71</v>
      </c>
      <c r="M76" s="41" t="s">
        <v>71</v>
      </c>
    </row>
  </sheetData>
  <pageMargins left="0.7" right="0.7" top="0.75" bottom="0.75" header="0.3" footer="0.3"/>
  <pageSetup orientation="portrait" r:id="rId1"/>
  <legacy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3D7048-A2E6-4E7E-BA17-051C51F75F2F}">
  <dimension ref="A1:M75"/>
  <sheetViews>
    <sheetView workbookViewId="0">
      <selection activeCell="I68" sqref="I68"/>
    </sheetView>
  </sheetViews>
  <sheetFormatPr defaultRowHeight="14.5" x14ac:dyDescent="0.35"/>
  <cols>
    <col min="1" max="1" width="19.6328125" customWidth="1"/>
    <col min="2" max="2" width="13.54296875" bestFit="1" customWidth="1"/>
    <col min="3" max="3" width="9.36328125" bestFit="1" customWidth="1"/>
    <col min="5" max="5" width="9.36328125" bestFit="1" customWidth="1"/>
    <col min="7" max="7" width="9.36328125" bestFit="1" customWidth="1"/>
    <col min="9" max="9" width="9.36328125" bestFit="1" customWidth="1"/>
    <col min="11" max="11" width="9.36328125" bestFit="1" customWidth="1"/>
  </cols>
  <sheetData>
    <row r="1" spans="1:13" x14ac:dyDescent="0.35">
      <c r="B1" t="s">
        <v>1</v>
      </c>
      <c r="C1" t="s">
        <v>2</v>
      </c>
      <c r="D1" t="s">
        <v>3</v>
      </c>
      <c r="E1" t="s">
        <v>4</v>
      </c>
      <c r="F1" t="s">
        <v>3</v>
      </c>
      <c r="G1" t="s">
        <v>5</v>
      </c>
      <c r="H1" t="s">
        <v>3</v>
      </c>
      <c r="I1" t="s">
        <v>6</v>
      </c>
      <c r="J1" t="s">
        <v>3</v>
      </c>
      <c r="K1" t="s">
        <v>7</v>
      </c>
      <c r="L1" t="s">
        <v>3</v>
      </c>
    </row>
    <row r="2" spans="1:13" x14ac:dyDescent="0.35">
      <c r="A2" t="s">
        <v>153</v>
      </c>
      <c r="B2" t="s">
        <v>239</v>
      </c>
      <c r="C2" s="42">
        <f>ROUND(InputsNZ_C!D3,1)</f>
        <v>554.5</v>
      </c>
      <c r="D2" s="42">
        <f>ROUND(InputsNZ_C!E3,1)</f>
        <v>167.4</v>
      </c>
      <c r="E2" s="42">
        <f>ROUND(InputsNZ_C!F3,1)</f>
        <v>321.39999999999998</v>
      </c>
      <c r="F2" s="42">
        <f>ROUND(InputsNZ_C!G3,1)</f>
        <v>62.2</v>
      </c>
      <c r="G2" s="42">
        <f>ROUND(InputsNZ_C!H3,1)</f>
        <v>781</v>
      </c>
      <c r="H2" s="42">
        <f>ROUND(InputsNZ_C!I3,1)</f>
        <v>361.8</v>
      </c>
      <c r="I2" s="42">
        <f>ROUND(InputsNZ_C!J3,1)</f>
        <v>452.3</v>
      </c>
      <c r="J2" s="42">
        <f>ROUND(InputsNZ_C!K3,1)</f>
        <v>102.1</v>
      </c>
      <c r="K2" s="42">
        <f>ROUND(InputsNZ_C!L3,1)</f>
        <v>251.4</v>
      </c>
      <c r="L2" s="42">
        <f>ROUND(InputsNZ_C!M3,1)</f>
        <v>30.4</v>
      </c>
      <c r="M2" s="42"/>
    </row>
    <row r="3" spans="1:13" x14ac:dyDescent="0.35">
      <c r="A3" t="s">
        <v>9</v>
      </c>
      <c r="B3" t="s">
        <v>239</v>
      </c>
      <c r="C3" s="42">
        <f>ROUND(InputsNZ_C!D4,1)</f>
        <v>77.8</v>
      </c>
      <c r="D3" s="42">
        <f>ROUND(InputsNZ_C!E4,1)</f>
        <v>15.9</v>
      </c>
      <c r="E3" s="42">
        <f>ROUND(InputsNZ_C!F4,1)</f>
        <v>129.9</v>
      </c>
      <c r="F3" s="42">
        <f>ROUND(InputsNZ_C!G4,1)</f>
        <v>4.5</v>
      </c>
      <c r="G3" s="42">
        <f>ROUND(InputsNZ_C!H4,1)</f>
        <v>37.299999999999997</v>
      </c>
      <c r="H3" s="42">
        <f>ROUND(InputsNZ_C!I4,1)</f>
        <v>2.4</v>
      </c>
      <c r="I3" s="42">
        <f>ROUND(InputsNZ_C!J4,1)</f>
        <v>142.19999999999999</v>
      </c>
      <c r="J3" s="42">
        <f>ROUND(InputsNZ_C!K4,1)</f>
        <v>47.4</v>
      </c>
      <c r="K3" s="42">
        <f>ROUND(InputsNZ_C!L4,1)</f>
        <v>33.4</v>
      </c>
      <c r="L3" s="42">
        <f>ROUND(InputsNZ_C!M4,1)</f>
        <v>14.4</v>
      </c>
      <c r="M3" s="42"/>
    </row>
    <row r="4" spans="1:13" x14ac:dyDescent="0.35">
      <c r="A4" t="s">
        <v>11</v>
      </c>
      <c r="B4" t="s">
        <v>239</v>
      </c>
      <c r="C4" s="42">
        <f>ROUND(InputsNZ_C!D5,1)</f>
        <v>169</v>
      </c>
      <c r="D4" s="42">
        <f>ROUND(InputsNZ_C!E5,1)</f>
        <v>121.6</v>
      </c>
      <c r="E4" s="42">
        <f>ROUND(InputsNZ_C!F5,1)</f>
        <v>245.4</v>
      </c>
      <c r="F4" s="42">
        <f>ROUND(InputsNZ_C!G5,1)</f>
        <v>73</v>
      </c>
      <c r="G4" s="42">
        <f>ROUND(InputsNZ_C!H5,1)</f>
        <v>515.9</v>
      </c>
      <c r="H4" s="42">
        <f>ROUND(InputsNZ_C!I5,1)</f>
        <v>378.2</v>
      </c>
      <c r="I4" s="42">
        <f>ROUND(InputsNZ_C!J5,1)</f>
        <v>274.8</v>
      </c>
      <c r="J4" s="42">
        <f>ROUND(InputsNZ_C!K5,1)</f>
        <v>177.7</v>
      </c>
      <c r="K4" s="42">
        <f>ROUND(InputsNZ_C!L5,1)</f>
        <v>225.4</v>
      </c>
      <c r="L4" s="42">
        <f>ROUND(InputsNZ_C!M5,1)</f>
        <v>302.8</v>
      </c>
      <c r="M4" s="42"/>
    </row>
    <row r="5" spans="1:13" x14ac:dyDescent="0.35">
      <c r="A5" t="s">
        <v>12</v>
      </c>
      <c r="B5" t="s">
        <v>239</v>
      </c>
      <c r="C5" s="42">
        <f>ROUND(InputsNZ_C!D6,1)</f>
        <v>131.19999999999999</v>
      </c>
      <c r="D5" s="42">
        <f>ROUND(InputsNZ_C!E6,1)</f>
        <v>66.400000000000006</v>
      </c>
      <c r="E5" s="42">
        <f>ROUND(InputsNZ_C!F6,1)</f>
        <v>27.5</v>
      </c>
      <c r="F5" s="42">
        <f>ROUND(InputsNZ_C!G6,1)</f>
        <v>39.799999999999997</v>
      </c>
      <c r="G5" s="42">
        <f>ROUND(InputsNZ_C!H6,1)</f>
        <v>216</v>
      </c>
      <c r="H5" s="42">
        <f>ROUND(InputsNZ_C!I6,1)</f>
        <v>265.60000000000002</v>
      </c>
      <c r="I5" s="42">
        <f>ROUND(InputsNZ_C!J6,1)</f>
        <v>157.80000000000001</v>
      </c>
      <c r="J5" s="42">
        <f>ROUND(InputsNZ_C!K6,1)</f>
        <v>157.1</v>
      </c>
      <c r="K5" s="42">
        <f>ROUND(InputsNZ_C!L6,1)</f>
        <v>12.9</v>
      </c>
      <c r="L5" s="42">
        <f>ROUND(InputsNZ_C!M6,1)</f>
        <v>271.2</v>
      </c>
      <c r="M5" s="42"/>
    </row>
    <row r="6" spans="1:13" x14ac:dyDescent="0.35">
      <c r="A6" t="s">
        <v>183</v>
      </c>
      <c r="B6" t="s">
        <v>239</v>
      </c>
      <c r="C6" s="42">
        <f>ROUND(InputsNZ_C!D7,1)</f>
        <v>254.3</v>
      </c>
      <c r="D6" s="42">
        <f>ROUND(InputsNZ_C!E7,1)</f>
        <v>162.1</v>
      </c>
      <c r="E6" s="42">
        <f>ROUND(InputsNZ_C!F7,1)</f>
        <v>28.7</v>
      </c>
      <c r="F6" s="42">
        <f>ROUND(InputsNZ_C!G7,1)</f>
        <v>18.600000000000001</v>
      </c>
      <c r="G6" s="42">
        <f>ROUND(InputsNZ_C!H7,1)</f>
        <v>49.1</v>
      </c>
      <c r="H6" s="42">
        <f>ROUND(InputsNZ_C!I7,1)</f>
        <v>44.7</v>
      </c>
      <c r="I6" s="42">
        <f>ROUND(InputsNZ_C!J7,1)</f>
        <v>19.7</v>
      </c>
      <c r="J6" s="42">
        <f>ROUND(InputsNZ_C!K7,1)</f>
        <v>12.3</v>
      </c>
      <c r="K6" s="42">
        <f>ROUND(InputsNZ_C!L7,1)</f>
        <v>13.1</v>
      </c>
      <c r="L6" s="42">
        <f>ROUND(InputsNZ_C!M7,1)</f>
        <v>17.100000000000001</v>
      </c>
      <c r="M6" s="42"/>
    </row>
    <row r="7" spans="1:13" x14ac:dyDescent="0.35">
      <c r="A7" t="s">
        <v>13</v>
      </c>
      <c r="B7" t="s">
        <v>239</v>
      </c>
      <c r="C7" s="42">
        <f>ROUND(InputsNZ_C!D8,1)</f>
        <v>77</v>
      </c>
      <c r="D7" s="42">
        <f>ROUND(InputsNZ_C!E8,1)</f>
        <v>61.6</v>
      </c>
      <c r="E7" s="42">
        <f>ROUND(InputsNZ_C!F8,1)</f>
        <v>150.19999999999999</v>
      </c>
      <c r="F7" s="42">
        <f>ROUND(InputsNZ_C!G8,1)</f>
        <v>58.1</v>
      </c>
      <c r="G7" s="42">
        <f>ROUND(InputsNZ_C!H8,1)</f>
        <v>277.89999999999998</v>
      </c>
      <c r="H7" s="42">
        <f>ROUND(InputsNZ_C!I8,1)</f>
        <v>199.9</v>
      </c>
      <c r="I7" s="42">
        <f>ROUND(InputsNZ_C!J8,1)</f>
        <v>168.5</v>
      </c>
      <c r="J7" s="42">
        <f>ROUND(InputsNZ_C!K8,1)</f>
        <v>102.8</v>
      </c>
      <c r="K7" s="42">
        <f>ROUND(InputsNZ_C!L8,1)</f>
        <v>99.3</v>
      </c>
      <c r="L7" s="42">
        <f>ROUND(InputsNZ_C!M8,1)</f>
        <v>74.400000000000006</v>
      </c>
      <c r="M7" s="42"/>
    </row>
    <row r="8" spans="1:13" x14ac:dyDescent="0.35">
      <c r="A8" t="s">
        <v>14</v>
      </c>
      <c r="B8" t="s">
        <v>239</v>
      </c>
      <c r="C8" s="42">
        <f>ROUND(InputsNZ_C!D9,1)</f>
        <v>74</v>
      </c>
      <c r="D8" s="42">
        <f>ROUND(InputsNZ_C!E9,1)</f>
        <v>83.7</v>
      </c>
      <c r="E8" s="42">
        <f>ROUND(InputsNZ_C!F9,1)</f>
        <v>38.5</v>
      </c>
      <c r="F8" s="42">
        <f>ROUND(InputsNZ_C!G9,1)</f>
        <v>42.5</v>
      </c>
      <c r="G8" s="42">
        <f>ROUND(InputsNZ_C!H9,1)</f>
        <v>125.1</v>
      </c>
      <c r="H8" s="42">
        <f>ROUND(InputsNZ_C!I9,1)</f>
        <v>141.9</v>
      </c>
      <c r="I8" s="42">
        <f>ROUND(InputsNZ_C!J9,1)</f>
        <v>182.5</v>
      </c>
      <c r="J8" s="42">
        <f>ROUND(InputsNZ_C!K9,1)</f>
        <v>114.3</v>
      </c>
      <c r="K8" s="42">
        <f>ROUND(InputsNZ_C!L9,1)</f>
        <v>126.6</v>
      </c>
      <c r="L8" s="42">
        <f>ROUND(InputsNZ_C!M9,1)</f>
        <v>188.2</v>
      </c>
      <c r="M8" s="42"/>
    </row>
    <row r="9" spans="1:13" x14ac:dyDescent="0.35">
      <c r="A9" t="s">
        <v>184</v>
      </c>
      <c r="B9" t="s">
        <v>239</v>
      </c>
      <c r="C9" s="42">
        <f>ROUND(InputsNZ_C!D10,1)</f>
        <v>128</v>
      </c>
      <c r="D9" s="42">
        <f>ROUND(InputsNZ_C!E10,1)</f>
        <v>90.8</v>
      </c>
      <c r="E9" s="42">
        <f>ROUND(InputsNZ_C!F10,1)</f>
        <v>6.6</v>
      </c>
      <c r="F9" s="42">
        <f>ROUND(InputsNZ_C!G10,1)</f>
        <v>2.8</v>
      </c>
      <c r="G9" s="42">
        <f>ROUND(InputsNZ_C!H10,1)</f>
        <v>24.1</v>
      </c>
      <c r="H9" s="42">
        <f>ROUND(InputsNZ_C!I10,1)</f>
        <v>21.2</v>
      </c>
      <c r="I9" s="42">
        <f>ROUND(InputsNZ_C!J10,1)</f>
        <v>14.9</v>
      </c>
      <c r="J9" s="42">
        <f>ROUND(InputsNZ_C!K10,1)</f>
        <v>9.6</v>
      </c>
      <c r="K9" s="42">
        <f>ROUND(InputsNZ_C!L10,1)</f>
        <v>10.8</v>
      </c>
      <c r="L9" s="42">
        <f>ROUND(InputsNZ_C!M10,1)</f>
        <v>10.7</v>
      </c>
      <c r="M9" s="42"/>
    </row>
    <row r="10" spans="1:13" x14ac:dyDescent="0.35">
      <c r="A10" t="s">
        <v>152</v>
      </c>
      <c r="B10" t="s">
        <v>239</v>
      </c>
      <c r="C10" s="42">
        <f>ROUND(InputsNZ_C!D11,1)</f>
        <v>279</v>
      </c>
      <c r="D10" s="42">
        <f>ROUND(InputsNZ_C!E11,1)</f>
        <v>100.6</v>
      </c>
      <c r="E10" s="42">
        <f>ROUND(InputsNZ_C!F11,1)</f>
        <v>214.1</v>
      </c>
      <c r="F10" s="42">
        <f>ROUND(InputsNZ_C!G11,1)</f>
        <v>48.5</v>
      </c>
      <c r="G10" s="42">
        <f>ROUND(InputsNZ_C!H11,1)</f>
        <v>427.1</v>
      </c>
      <c r="H10" s="42">
        <f>ROUND(InputsNZ_C!I11,1)</f>
        <v>236.5</v>
      </c>
      <c r="I10" s="42">
        <f>ROUND(InputsNZ_C!J11,1)</f>
        <v>365.9</v>
      </c>
      <c r="J10" s="42">
        <f>ROUND(InputsNZ_C!K11,1)</f>
        <v>173.1</v>
      </c>
      <c r="K10" s="42">
        <f>ROUND(InputsNZ_C!L11,1)</f>
        <v>236.7</v>
      </c>
      <c r="L10" s="42">
        <f>ROUND(InputsNZ_C!M11,1)</f>
        <v>68.900000000000006</v>
      </c>
      <c r="M10" s="42"/>
    </row>
    <row r="11" spans="1:13" x14ac:dyDescent="0.35">
      <c r="A11" t="s">
        <v>15</v>
      </c>
      <c r="B11" t="s">
        <v>239</v>
      </c>
      <c r="C11" s="42">
        <f>ROUND(InputsNZ_C!D12,1)</f>
        <v>72.3</v>
      </c>
      <c r="D11" s="42">
        <f>ROUND(InputsNZ_C!E12,1)</f>
        <v>14.7</v>
      </c>
      <c r="E11" s="42">
        <f>ROUND(InputsNZ_C!F12,1)</f>
        <v>55.5</v>
      </c>
      <c r="F11" s="42">
        <f>ROUND(InputsNZ_C!G12,1)</f>
        <v>26.3</v>
      </c>
      <c r="G11" s="42">
        <f>ROUND(InputsNZ_C!H12,1)</f>
        <v>19.3</v>
      </c>
      <c r="H11" s="42">
        <f>ROUND(InputsNZ_C!I12,1)</f>
        <v>7.9</v>
      </c>
      <c r="I11" s="42">
        <f>ROUND(InputsNZ_C!J12,1)</f>
        <v>25.9</v>
      </c>
      <c r="J11" s="42">
        <f>ROUND(InputsNZ_C!K12,1)</f>
        <v>9.1</v>
      </c>
      <c r="K11" s="42">
        <f>ROUND(InputsNZ_C!L12,1)</f>
        <v>24.1</v>
      </c>
      <c r="L11" s="42">
        <f>ROUND(InputsNZ_C!M12,1)</f>
        <v>12.8</v>
      </c>
      <c r="M11" s="42"/>
    </row>
    <row r="12" spans="1:13" x14ac:dyDescent="0.35">
      <c r="A12" t="s">
        <v>163</v>
      </c>
      <c r="B12" t="s">
        <v>239</v>
      </c>
      <c r="C12" s="42" t="s">
        <v>218</v>
      </c>
      <c r="D12" s="42" t="s">
        <v>218</v>
      </c>
      <c r="E12" s="42">
        <f>ROUND(InputsNZ_C!F13,1)</f>
        <v>30.1</v>
      </c>
      <c r="F12" s="42">
        <f>ROUND(InputsNZ_C!G13,1)</f>
        <v>17.600000000000001</v>
      </c>
      <c r="G12" s="42">
        <f>ROUND(InputsNZ_C!H13,1)</f>
        <v>10.5</v>
      </c>
      <c r="H12" s="42">
        <f>ROUND(InputsNZ_C!I13,1)</f>
        <v>3.1</v>
      </c>
      <c r="I12" s="42">
        <f>ROUND(InputsNZ_C!J13,1)</f>
        <v>5.8</v>
      </c>
      <c r="J12" s="42">
        <f>ROUND(InputsNZ_C!K13,1)</f>
        <v>8.5</v>
      </c>
      <c r="K12" s="42">
        <f>ROUND(InputsNZ_C!L13,1)</f>
        <v>16.7</v>
      </c>
      <c r="L12" s="42">
        <f>ROUND(InputsNZ_C!M13,1)</f>
        <v>10.3</v>
      </c>
      <c r="M12" s="42"/>
    </row>
    <row r="13" spans="1:13" x14ac:dyDescent="0.35">
      <c r="A13" t="s">
        <v>16</v>
      </c>
      <c r="B13" t="s">
        <v>239</v>
      </c>
      <c r="C13" s="42">
        <f>ROUND(InputsNZ_C!D14,1)</f>
        <v>2.2000000000000002</v>
      </c>
      <c r="D13" s="42">
        <f>ROUND(InputsNZ_C!E14,1)</f>
        <v>2.2000000000000002</v>
      </c>
      <c r="E13" s="42">
        <f>ROUND(InputsNZ_C!F14,1)</f>
        <v>2.6</v>
      </c>
      <c r="F13" s="42">
        <f>ROUND(InputsNZ_C!G14,1)</f>
        <v>6</v>
      </c>
      <c r="G13" s="42">
        <f>ROUND(InputsNZ_C!H14,1)</f>
        <v>0.6</v>
      </c>
      <c r="H13" s="42">
        <f>ROUND(InputsNZ_C!I14,1)</f>
        <v>0.9</v>
      </c>
      <c r="I13" s="42">
        <f>ROUND(InputsNZ_C!J14,1)</f>
        <v>0.9</v>
      </c>
      <c r="J13" s="42">
        <f>ROUND(InputsNZ_C!K14,1)</f>
        <v>1.1000000000000001</v>
      </c>
      <c r="K13" s="42">
        <f>ROUND(InputsNZ_C!L14,1)</f>
        <v>2</v>
      </c>
      <c r="L13" s="42">
        <f>ROUND(InputsNZ_C!M14,1)</f>
        <v>2</v>
      </c>
      <c r="M13" s="42"/>
    </row>
    <row r="14" spans="1:13" x14ac:dyDescent="0.35">
      <c r="A14" t="s">
        <v>164</v>
      </c>
      <c r="B14" t="s">
        <v>239</v>
      </c>
      <c r="C14" s="42">
        <f>ROUND(InputsNZ_C!D15,1)</f>
        <v>0.7</v>
      </c>
      <c r="D14" s="42">
        <f>ROUND(InputsNZ_C!E15,1)</f>
        <v>1</v>
      </c>
      <c r="E14" s="42">
        <f>ROUND(InputsNZ_C!F15,1)</f>
        <v>1.7</v>
      </c>
      <c r="F14" s="42">
        <f>ROUND(InputsNZ_C!G15,1)</f>
        <v>3.7</v>
      </c>
      <c r="G14" s="42">
        <f>ROUND(InputsNZ_C!H15,1)</f>
        <v>0.3</v>
      </c>
      <c r="H14" s="42">
        <f>ROUND(InputsNZ_C!I15,1)</f>
        <v>0.5</v>
      </c>
      <c r="I14" s="42">
        <f>ROUND(InputsNZ_C!J15,1)</f>
        <v>0.3</v>
      </c>
      <c r="J14" s="42">
        <f>ROUND(InputsNZ_C!K15,1)</f>
        <v>0.8</v>
      </c>
      <c r="K14" s="42">
        <f>ROUND(InputsNZ_C!L15,1)</f>
        <v>0</v>
      </c>
      <c r="L14" s="42">
        <f>ROUND(InputsNZ_C!M15,1)</f>
        <v>1</v>
      </c>
      <c r="M14" s="42"/>
    </row>
    <row r="15" spans="1:13" x14ac:dyDescent="0.35">
      <c r="A15" t="s">
        <v>170</v>
      </c>
      <c r="B15" t="s">
        <v>239</v>
      </c>
      <c r="C15" s="42">
        <f>ROUND(InputsNZ_C!D16,1)</f>
        <v>211.4</v>
      </c>
      <c r="D15" s="42">
        <f>ROUND(InputsNZ_C!E16,1)</f>
        <v>151.6</v>
      </c>
      <c r="E15" s="42">
        <f>ROUND(InputsNZ_C!F16,1)</f>
        <v>139.69999999999999</v>
      </c>
      <c r="F15" s="42">
        <f>ROUND(InputsNZ_C!G16,1)</f>
        <v>73.099999999999994</v>
      </c>
      <c r="G15" s="42">
        <f>ROUND(InputsNZ_C!H16,1)</f>
        <v>2</v>
      </c>
      <c r="H15" s="42">
        <f>ROUND(InputsNZ_C!I16,1)</f>
        <v>2.2000000000000002</v>
      </c>
      <c r="I15" s="42">
        <f>ROUND(InputsNZ_C!J16,1)</f>
        <v>126.9</v>
      </c>
      <c r="J15" s="42">
        <f>ROUND(InputsNZ_C!K16,1)</f>
        <v>77.5</v>
      </c>
      <c r="K15" s="42">
        <f>ROUND(InputsNZ_C!L16,1)</f>
        <v>0.6</v>
      </c>
      <c r="L15" s="42">
        <f>ROUND(InputsNZ_C!M16,1)</f>
        <v>1.3</v>
      </c>
      <c r="M15" s="42"/>
    </row>
    <row r="16" spans="1:13" x14ac:dyDescent="0.35">
      <c r="A16" t="s">
        <v>171</v>
      </c>
      <c r="B16" t="s">
        <v>239</v>
      </c>
      <c r="C16" s="42">
        <f>ROUND(InputsNZ_C!D17,1)</f>
        <v>150</v>
      </c>
      <c r="D16" s="42">
        <f>ROUND(InputsNZ_C!E17,1)</f>
        <v>133.5</v>
      </c>
      <c r="E16" s="42">
        <f>ROUND(InputsNZ_C!F17,1)</f>
        <v>59.3</v>
      </c>
      <c r="F16" s="42">
        <f>ROUND(InputsNZ_C!G17,1)</f>
        <v>449.7</v>
      </c>
      <c r="G16" s="42">
        <f>ROUND(InputsNZ_C!H17,1)</f>
        <v>0.6</v>
      </c>
      <c r="H16" s="42">
        <f>ROUND(InputsNZ_C!I17,1)</f>
        <v>1</v>
      </c>
      <c r="I16" s="42">
        <f>ROUND(InputsNZ_C!J17,1)</f>
        <v>29.2</v>
      </c>
      <c r="J16" s="42">
        <f>ROUND(InputsNZ_C!K17,1)</f>
        <v>39.6</v>
      </c>
      <c r="K16" s="42">
        <f>ROUND(InputsNZ_C!L17,1)</f>
        <v>0</v>
      </c>
      <c r="L16" s="42">
        <f>ROUND(InputsNZ_C!M17,1)</f>
        <v>0.1</v>
      </c>
      <c r="M16" s="42"/>
    </row>
    <row r="17" spans="1:13" x14ac:dyDescent="0.35">
      <c r="A17" t="s">
        <v>17</v>
      </c>
      <c r="B17" t="s">
        <v>239</v>
      </c>
      <c r="C17" s="42">
        <f>ROUND(InputsNZ_C!D18,1)</f>
        <v>5.2</v>
      </c>
      <c r="D17" s="42">
        <f>ROUND(InputsNZ_C!E18,1)</f>
        <v>2.9</v>
      </c>
      <c r="E17" s="42">
        <f>ROUND(InputsNZ_C!F18,1)</f>
        <v>5.5</v>
      </c>
      <c r="F17" s="42">
        <f>ROUND(InputsNZ_C!G18,1)</f>
        <v>12.7</v>
      </c>
      <c r="G17" s="42">
        <f>ROUND(InputsNZ_C!H18,1)</f>
        <v>0.2</v>
      </c>
      <c r="H17" s="42">
        <f>ROUND(InputsNZ_C!I18,1)</f>
        <v>0.2</v>
      </c>
      <c r="I17" s="42">
        <f>ROUND(InputsNZ_C!J18,1)</f>
        <v>5.7</v>
      </c>
      <c r="J17" s="42">
        <f>ROUND(InputsNZ_C!K18,1)</f>
        <v>3.2</v>
      </c>
      <c r="K17" s="42">
        <f>ROUND(InputsNZ_C!L18,1)</f>
        <v>0</v>
      </c>
      <c r="L17" s="42">
        <f>ROUND(InputsNZ_C!M18,1)</f>
        <v>0</v>
      </c>
      <c r="M17" s="42"/>
    </row>
    <row r="18" spans="1:13" x14ac:dyDescent="0.35">
      <c r="A18" t="s">
        <v>18</v>
      </c>
      <c r="B18" t="s">
        <v>239</v>
      </c>
      <c r="C18" s="42">
        <f>ROUND(InputsNZ_C!D19,1)</f>
        <v>66.400000000000006</v>
      </c>
      <c r="D18" s="42">
        <f>ROUND(InputsNZ_C!E19,1)</f>
        <v>37.1</v>
      </c>
      <c r="E18" s="42">
        <f>ROUND(InputsNZ_C!F19,1)</f>
        <v>18.5</v>
      </c>
      <c r="F18" s="42">
        <f>ROUND(InputsNZ_C!G19,1)</f>
        <v>42.5</v>
      </c>
      <c r="G18" s="42">
        <f>ROUND(InputsNZ_C!H19,1)</f>
        <v>0</v>
      </c>
      <c r="H18" s="42">
        <f>ROUND(InputsNZ_C!I19,1)</f>
        <v>0</v>
      </c>
      <c r="I18" s="42">
        <f>ROUND(InputsNZ_C!J19,1)</f>
        <v>0</v>
      </c>
      <c r="J18" s="42">
        <f>ROUND(InputsNZ_C!K19,1)</f>
        <v>0</v>
      </c>
      <c r="K18" s="42">
        <f>ROUND(InputsNZ_C!L19,1)</f>
        <v>0.1</v>
      </c>
      <c r="L18" s="42">
        <f>ROUND(InputsNZ_C!M19,1)</f>
        <v>0.1</v>
      </c>
      <c r="M18" s="42"/>
    </row>
    <row r="19" spans="1:13" x14ac:dyDescent="0.35">
      <c r="A19" t="s">
        <v>161</v>
      </c>
      <c r="B19" t="s">
        <v>239</v>
      </c>
      <c r="C19" s="42">
        <f>ROUND(InputsNZ_C!D20,1)</f>
        <v>289.8</v>
      </c>
      <c r="D19" s="42">
        <f>ROUND(InputsNZ_C!E20,1)</f>
        <v>162</v>
      </c>
      <c r="E19" s="42">
        <f>ROUND(InputsNZ_C!F20,1)</f>
        <v>175</v>
      </c>
      <c r="F19" s="42">
        <f>ROUND(InputsNZ_C!G20,1)</f>
        <v>400.4</v>
      </c>
      <c r="G19" s="42">
        <f>ROUND(InputsNZ_C!H20,1)</f>
        <v>2.2999999999999998</v>
      </c>
      <c r="H19" s="42">
        <f>ROUND(InputsNZ_C!I20,1)</f>
        <v>2.2000000000000002</v>
      </c>
      <c r="I19" s="42">
        <f>ROUND(InputsNZ_C!J20,1)</f>
        <v>150.4</v>
      </c>
      <c r="J19" s="42">
        <f>ROUND(InputsNZ_C!K20,1)</f>
        <v>83.9</v>
      </c>
      <c r="K19" s="42">
        <f>ROUND(InputsNZ_C!L20,1)</f>
        <v>0.5</v>
      </c>
      <c r="L19" s="42">
        <f>ROUND(InputsNZ_C!M20,1)</f>
        <v>1.1000000000000001</v>
      </c>
      <c r="M19" s="42"/>
    </row>
    <row r="20" spans="1:13" x14ac:dyDescent="0.35">
      <c r="A20" t="s">
        <v>162</v>
      </c>
      <c r="B20" t="s">
        <v>239</v>
      </c>
      <c r="C20" s="42">
        <f>ROUND(InputsNZ_C!D21,1)</f>
        <v>76.099999999999994</v>
      </c>
      <c r="D20" s="42">
        <f>ROUND(InputsNZ_C!E21,1)</f>
        <v>54.6</v>
      </c>
      <c r="E20" s="42">
        <f>ROUND(InputsNZ_C!F21,1)</f>
        <v>50.3</v>
      </c>
      <c r="F20" s="42">
        <f>ROUND(InputsNZ_C!G21,1)</f>
        <v>26.3</v>
      </c>
      <c r="G20" s="42">
        <f>ROUND(InputsNZ_C!H21,1)</f>
        <v>0.7</v>
      </c>
      <c r="H20" s="42">
        <f>ROUND(InputsNZ_C!I21,1)</f>
        <v>0.8</v>
      </c>
      <c r="I20" s="42">
        <f>ROUND(InputsNZ_C!J21,1)</f>
        <v>45.7</v>
      </c>
      <c r="J20" s="42">
        <f>ROUND(InputsNZ_C!K21,1)</f>
        <v>27.9</v>
      </c>
      <c r="K20" s="42">
        <f>ROUND(InputsNZ_C!L21,1)</f>
        <v>0.2</v>
      </c>
      <c r="L20" s="42">
        <f>ROUND(InputsNZ_C!M21,1)</f>
        <v>0.5</v>
      </c>
      <c r="M20" s="42"/>
    </row>
    <row r="21" spans="1:13" x14ac:dyDescent="0.35">
      <c r="A21" t="s">
        <v>179</v>
      </c>
      <c r="B21" t="s">
        <v>239</v>
      </c>
      <c r="C21" s="42">
        <f>ROUND(InputsNZ_C!D22,1)</f>
        <v>61.1</v>
      </c>
      <c r="D21" s="42">
        <f>ROUND(InputsNZ_C!E22,1)</f>
        <v>12.3</v>
      </c>
      <c r="E21" s="42">
        <f>ROUND(InputsNZ_C!F22,1)</f>
        <v>40.700000000000003</v>
      </c>
      <c r="F21" s="42">
        <f>ROUND(InputsNZ_C!G22,1)</f>
        <v>14.1</v>
      </c>
      <c r="G21" s="42">
        <f>ROUND(InputsNZ_C!H22,1)</f>
        <v>65.3</v>
      </c>
      <c r="H21" s="42">
        <f>ROUND(InputsNZ_C!I22,1)</f>
        <v>14.8</v>
      </c>
      <c r="I21" s="42">
        <f>ROUND(InputsNZ_C!J22,1)</f>
        <v>58.1</v>
      </c>
      <c r="J21" s="42">
        <f>ROUND(InputsNZ_C!K22,1)</f>
        <v>15.9</v>
      </c>
      <c r="K21" s="42">
        <f>ROUND(InputsNZ_C!L22,1)</f>
        <v>35</v>
      </c>
      <c r="L21" s="42">
        <f>ROUND(InputsNZ_C!M22,1)</f>
        <v>8.4</v>
      </c>
      <c r="M21" s="42"/>
    </row>
    <row r="22" spans="1:13" x14ac:dyDescent="0.35">
      <c r="A22" t="s">
        <v>223</v>
      </c>
      <c r="B22" t="s">
        <v>244</v>
      </c>
      <c r="C22" s="42" t="e">
        <f>ROUND(InputsNZ_C!D23*1000,1)</f>
        <v>#REF!</v>
      </c>
      <c r="D22" s="42" t="e">
        <f>ROUND(InputsNZ_C!E23*1000,1)</f>
        <v>#REF!</v>
      </c>
      <c r="E22" s="42" t="e">
        <f>ROUND(InputsNZ_C!F23*1000,1)</f>
        <v>#REF!</v>
      </c>
      <c r="F22" s="42" t="e">
        <f>ROUND(InputsNZ_C!G23*1000,1)</f>
        <v>#REF!</v>
      </c>
      <c r="G22" s="42" t="e">
        <f>ROUND(InputsNZ_C!H23*1000,1)</f>
        <v>#REF!</v>
      </c>
      <c r="H22" s="42" t="e">
        <f>ROUND(InputsNZ_C!I23*1000,1)</f>
        <v>#REF!</v>
      </c>
      <c r="I22" s="42" t="e">
        <f>ROUND(InputsNZ_C!J23*1000,1)</f>
        <v>#REF!</v>
      </c>
      <c r="J22" s="42" t="e">
        <f>ROUND(InputsNZ_C!K23*1000,1)</f>
        <v>#REF!</v>
      </c>
      <c r="K22" s="42" t="e">
        <f>ROUND(InputsNZ_C!L23*1000,1)</f>
        <v>#REF!</v>
      </c>
      <c r="L22" s="42" t="e">
        <f>ROUND(InputsNZ_C!M23*1000,1)</f>
        <v>#REF!</v>
      </c>
      <c r="M22" s="42"/>
    </row>
    <row r="23" spans="1:13" x14ac:dyDescent="0.35">
      <c r="A23" t="s">
        <v>224</v>
      </c>
      <c r="B23" t="s">
        <v>244</v>
      </c>
      <c r="C23" s="42" t="e">
        <f>ROUND(InputsNZ_C!D24*1000,1)</f>
        <v>#REF!</v>
      </c>
      <c r="D23" s="42" t="e">
        <f>ROUND(InputsNZ_C!E24*1000,1)</f>
        <v>#REF!</v>
      </c>
      <c r="E23" s="42" t="e">
        <f>ROUND(InputsNZ_C!F24*1000,1)</f>
        <v>#REF!</v>
      </c>
      <c r="F23" s="42" t="e">
        <f>ROUND(InputsNZ_C!G24*1000,1)</f>
        <v>#REF!</v>
      </c>
      <c r="G23" s="42" t="e">
        <f>ROUND(InputsNZ_C!H24*1000,1)</f>
        <v>#REF!</v>
      </c>
      <c r="H23" s="42" t="e">
        <f>ROUND(InputsNZ_C!I24*1000,1)</f>
        <v>#REF!</v>
      </c>
      <c r="I23" s="42" t="e">
        <f>ROUND(InputsNZ_C!J24*1000,1)</f>
        <v>#REF!</v>
      </c>
      <c r="J23" s="42" t="e">
        <f>ROUND(InputsNZ_C!K24*1000,1)</f>
        <v>#REF!</v>
      </c>
      <c r="K23" s="42" t="e">
        <f>ROUND(InputsNZ_C!L24*1000,1)</f>
        <v>#REF!</v>
      </c>
      <c r="L23" s="42" t="e">
        <f>ROUND(InputsNZ_C!M24*1000,1)</f>
        <v>#REF!</v>
      </c>
    </row>
    <row r="24" spans="1:13" x14ac:dyDescent="0.35">
      <c r="A24" t="s">
        <v>225</v>
      </c>
      <c r="B24" t="s">
        <v>244</v>
      </c>
      <c r="C24" s="42" t="e">
        <f>ROUND(InputsNZ_C!D25*1000,1)</f>
        <v>#REF!</v>
      </c>
      <c r="D24" s="42" t="e">
        <f>ROUND(InputsNZ_C!E25*1000,1)</f>
        <v>#REF!</v>
      </c>
      <c r="E24" s="42" t="e">
        <f>ROUND(InputsNZ_C!F25*1000,1)</f>
        <v>#REF!</v>
      </c>
      <c r="F24" s="42" t="e">
        <f>ROUND(InputsNZ_C!G25*1000,1)</f>
        <v>#REF!</v>
      </c>
      <c r="G24" s="42" t="e">
        <f>ROUND(InputsNZ_C!H25*1000,1)</f>
        <v>#REF!</v>
      </c>
      <c r="H24" s="42" t="e">
        <f>ROUND(InputsNZ_C!I25*1000,1)</f>
        <v>#REF!</v>
      </c>
      <c r="I24" s="42" t="e">
        <f>ROUND(InputsNZ_C!J25*1000,1)</f>
        <v>#REF!</v>
      </c>
      <c r="J24" s="42" t="e">
        <f>ROUND(InputsNZ_C!K25*1000,1)</f>
        <v>#REF!</v>
      </c>
      <c r="K24" s="42" t="e">
        <f>ROUND(InputsNZ_C!L25*1000,1)</f>
        <v>#REF!</v>
      </c>
      <c r="L24" s="42" t="e">
        <f>ROUND(InputsNZ_C!M25*1000,1)</f>
        <v>#REF!</v>
      </c>
    </row>
    <row r="25" spans="1:13" x14ac:dyDescent="0.35">
      <c r="A25" t="s">
        <v>226</v>
      </c>
      <c r="B25" t="s">
        <v>244</v>
      </c>
      <c r="C25" s="42" t="e">
        <f>ROUND(InputsNZ_C!D26*1000,1)</f>
        <v>#REF!</v>
      </c>
      <c r="D25" s="42" t="e">
        <f>ROUND(InputsNZ_C!E26*1000,1)</f>
        <v>#REF!</v>
      </c>
      <c r="E25" s="42" t="e">
        <f>ROUND(InputsNZ_C!F26*1000,1)</f>
        <v>#REF!</v>
      </c>
      <c r="F25" s="42" t="e">
        <f>ROUND(InputsNZ_C!G26*1000,1)</f>
        <v>#REF!</v>
      </c>
      <c r="G25" s="42" t="e">
        <f>ROUND(InputsNZ_C!H26*1000,1)</f>
        <v>#REF!</v>
      </c>
      <c r="H25" s="42" t="e">
        <f>ROUND(InputsNZ_C!I26*1000,1)</f>
        <v>#REF!</v>
      </c>
      <c r="I25" s="42" t="e">
        <f>ROUND(InputsNZ_C!J26*1000,1)</f>
        <v>#REF!</v>
      </c>
      <c r="J25" s="42" t="e">
        <f>ROUND(InputsNZ_C!K26*1000,1)</f>
        <v>#REF!</v>
      </c>
      <c r="K25" s="42" t="e">
        <f>ROUND(InputsNZ_C!L26*1000,1)</f>
        <v>#REF!</v>
      </c>
      <c r="L25" s="42" t="e">
        <f>ROUND(InputsNZ_C!M26*1000,1)</f>
        <v>#REF!</v>
      </c>
    </row>
    <row r="26" spans="1:13" x14ac:dyDescent="0.35">
      <c r="A26" t="s">
        <v>227</v>
      </c>
      <c r="B26" t="s">
        <v>244</v>
      </c>
      <c r="C26" s="42" t="e">
        <f>ROUND(InputsNZ_C!D27*1000,1)</f>
        <v>#REF!</v>
      </c>
      <c r="D26" s="42" t="e">
        <f>ROUND(InputsNZ_C!E27*1000,1)</f>
        <v>#REF!</v>
      </c>
      <c r="E26" s="42" t="e">
        <f>ROUND(InputsNZ_C!F27*1000,1)</f>
        <v>#REF!</v>
      </c>
      <c r="F26" s="42" t="e">
        <f>ROUND(InputsNZ_C!G27*1000,1)</f>
        <v>#REF!</v>
      </c>
      <c r="G26" s="42" t="e">
        <f>ROUND(InputsNZ_C!H27*1000,1)</f>
        <v>#REF!</v>
      </c>
      <c r="H26" s="42" t="e">
        <f>ROUND(InputsNZ_C!I27*1000,1)</f>
        <v>#REF!</v>
      </c>
      <c r="I26" s="42" t="e">
        <f>ROUND(InputsNZ_C!J27*1000,1)</f>
        <v>#REF!</v>
      </c>
      <c r="J26" s="42" t="e">
        <f>ROUND(InputsNZ_C!K27*1000,1)</f>
        <v>#REF!</v>
      </c>
      <c r="K26" s="42" t="e">
        <f>ROUND(InputsNZ_C!L27*1000,1)</f>
        <v>#REF!</v>
      </c>
      <c r="L26" s="42" t="e">
        <f>ROUND(InputsNZ_C!M27*1000,1)</f>
        <v>#REF!</v>
      </c>
    </row>
    <row r="27" spans="1:13" x14ac:dyDescent="0.35">
      <c r="A27" t="s">
        <v>228</v>
      </c>
      <c r="B27" t="s">
        <v>244</v>
      </c>
      <c r="C27" s="42" t="e">
        <f>ROUND(InputsNZ_C!D28*1000,1)</f>
        <v>#REF!</v>
      </c>
      <c r="D27" s="42" t="e">
        <f>ROUND(InputsNZ_C!E28*1000,1)</f>
        <v>#REF!</v>
      </c>
      <c r="E27" s="42" t="e">
        <f>ROUND(InputsNZ_C!F28*1000,1)</f>
        <v>#REF!</v>
      </c>
      <c r="F27" s="42" t="e">
        <f>ROUND(InputsNZ_C!G28*1000,1)</f>
        <v>#REF!</v>
      </c>
      <c r="G27" s="42" t="e">
        <f>ROUND(InputsNZ_C!H28*1000,1)</f>
        <v>#REF!</v>
      </c>
      <c r="H27" s="42" t="e">
        <f>ROUND(InputsNZ_C!I28*1000,1)</f>
        <v>#REF!</v>
      </c>
      <c r="I27" s="42" t="e">
        <f>ROUND(InputsNZ_C!J28*1000,1)</f>
        <v>#REF!</v>
      </c>
      <c r="J27" s="42" t="e">
        <f>ROUND(InputsNZ_C!K28*1000,1)</f>
        <v>#REF!</v>
      </c>
      <c r="K27" s="42" t="e">
        <f>ROUND(InputsNZ_C!L28*1000,1)</f>
        <v>#REF!</v>
      </c>
      <c r="L27" s="42" t="e">
        <f>ROUND(InputsNZ_C!M28*1000,1)</f>
        <v>#REF!</v>
      </c>
    </row>
    <row r="28" spans="1:13" x14ac:dyDescent="0.35">
      <c r="A28" t="s">
        <v>229</v>
      </c>
      <c r="B28" t="s">
        <v>244</v>
      </c>
      <c r="C28" s="42" t="e">
        <f>ROUND(InputsNZ_C!D29*1000,1)</f>
        <v>#REF!</v>
      </c>
      <c r="D28" s="42" t="e">
        <f>ROUND(InputsNZ_C!E29*1000,1)</f>
        <v>#REF!</v>
      </c>
      <c r="E28" s="42" t="e">
        <f>ROUND(InputsNZ_C!F29*1000,1)</f>
        <v>#REF!</v>
      </c>
      <c r="F28" s="42" t="e">
        <f>ROUND(InputsNZ_C!G29*1000,1)</f>
        <v>#REF!</v>
      </c>
      <c r="G28" s="42" t="e">
        <f>ROUND(InputsNZ_C!H29*1000,1)</f>
        <v>#REF!</v>
      </c>
      <c r="H28" s="42" t="e">
        <f>ROUND(InputsNZ_C!I29*1000,1)</f>
        <v>#REF!</v>
      </c>
      <c r="I28" s="42" t="e">
        <f>ROUND(InputsNZ_C!J29*1000,1)</f>
        <v>#REF!</v>
      </c>
      <c r="J28" s="42" t="e">
        <f>ROUND(InputsNZ_C!K29*1000,1)</f>
        <v>#REF!</v>
      </c>
      <c r="K28" s="42" t="e">
        <f>ROUND(InputsNZ_C!L29*1000,1)</f>
        <v>#REF!</v>
      </c>
      <c r="L28" s="42" t="e">
        <f>ROUND(InputsNZ_C!M29*1000,1)</f>
        <v>#REF!</v>
      </c>
    </row>
    <row r="29" spans="1:13" x14ac:dyDescent="0.35">
      <c r="A29" t="s">
        <v>230</v>
      </c>
      <c r="B29" t="s">
        <v>244</v>
      </c>
      <c r="C29" s="42" t="e">
        <f>ROUND(InputsNZ_C!D30*1000,1)</f>
        <v>#REF!</v>
      </c>
      <c r="D29" s="42" t="e">
        <f>ROUND(InputsNZ_C!E30*1000,1)</f>
        <v>#REF!</v>
      </c>
      <c r="E29" s="42" t="e">
        <f>ROUND(InputsNZ_C!F30*1000,1)</f>
        <v>#REF!</v>
      </c>
      <c r="F29" s="42" t="e">
        <f>ROUND(InputsNZ_C!G30*1000,1)</f>
        <v>#REF!</v>
      </c>
      <c r="G29" s="42" t="e">
        <f>ROUND(InputsNZ_C!H30*1000,1)</f>
        <v>#REF!</v>
      </c>
      <c r="H29" s="42" t="e">
        <f>ROUND(InputsNZ_C!I30*1000,1)</f>
        <v>#REF!</v>
      </c>
      <c r="I29" s="42" t="e">
        <f>ROUND(InputsNZ_C!J30*1000,1)</f>
        <v>#REF!</v>
      </c>
      <c r="J29" s="42" t="e">
        <f>ROUND(InputsNZ_C!K30*1000,1)</f>
        <v>#REF!</v>
      </c>
      <c r="K29" s="42" t="e">
        <f>ROUND(InputsNZ_C!L30*1000,1)</f>
        <v>#REF!</v>
      </c>
      <c r="L29" s="42" t="e">
        <f>ROUND(InputsNZ_C!M30*1000,1)</f>
        <v>#REF!</v>
      </c>
    </row>
    <row r="30" spans="1:13" x14ac:dyDescent="0.35">
      <c r="A30" t="s">
        <v>231</v>
      </c>
      <c r="B30" t="s">
        <v>244</v>
      </c>
      <c r="C30" s="42" t="e">
        <f>ROUND(InputsNZ_C!D31*1000,1)</f>
        <v>#REF!</v>
      </c>
      <c r="D30" s="42" t="e">
        <f>ROUND(InputsNZ_C!E31*1000,1)</f>
        <v>#REF!</v>
      </c>
      <c r="E30" s="42" t="e">
        <f>ROUND(InputsNZ_C!F31*1000,1)</f>
        <v>#REF!</v>
      </c>
      <c r="F30" s="42" t="e">
        <f>ROUND(InputsNZ_C!G31*1000,1)</f>
        <v>#REF!</v>
      </c>
      <c r="G30" s="42" t="e">
        <f>ROUND(InputsNZ_C!H31*1000,1)</f>
        <v>#REF!</v>
      </c>
      <c r="H30" s="42" t="e">
        <f>ROUND(InputsNZ_C!I31*1000,1)</f>
        <v>#REF!</v>
      </c>
      <c r="I30" s="42" t="e">
        <f>ROUND(InputsNZ_C!J31*1000,1)</f>
        <v>#REF!</v>
      </c>
      <c r="J30" s="42" t="e">
        <f>ROUND(InputsNZ_C!K31*1000,1)</f>
        <v>#REF!</v>
      </c>
      <c r="K30" s="42" t="e">
        <f>ROUND(InputsNZ_C!L31*1000,1)</f>
        <v>#REF!</v>
      </c>
      <c r="L30" s="42" t="e">
        <f>ROUND(InputsNZ_C!M31*1000,1)</f>
        <v>#REF!</v>
      </c>
    </row>
    <row r="31" spans="1:13" x14ac:dyDescent="0.35">
      <c r="A31" t="s">
        <v>232</v>
      </c>
      <c r="B31" t="s">
        <v>244</v>
      </c>
      <c r="C31" s="42" t="e">
        <f>ROUND(InputsNZ_C!D32*1000,1)</f>
        <v>#REF!</v>
      </c>
      <c r="D31" s="42" t="e">
        <f>ROUND(InputsNZ_C!E32*1000,1)</f>
        <v>#REF!</v>
      </c>
      <c r="E31" s="42" t="e">
        <f>ROUND(InputsNZ_C!F32*1000,1)</f>
        <v>#REF!</v>
      </c>
      <c r="F31" s="42" t="e">
        <f>ROUND(InputsNZ_C!G32*1000,1)</f>
        <v>#REF!</v>
      </c>
      <c r="G31" s="42" t="e">
        <f>ROUND(InputsNZ_C!H32*1000,1)</f>
        <v>#REF!</v>
      </c>
      <c r="H31" s="42" t="e">
        <f>ROUND(InputsNZ_C!I32*1000,1)</f>
        <v>#REF!</v>
      </c>
      <c r="I31" s="42" t="e">
        <f>ROUND(InputsNZ_C!J32*1000,1)</f>
        <v>#REF!</v>
      </c>
      <c r="J31" s="42" t="e">
        <f>ROUND(InputsNZ_C!K32*1000,1)</f>
        <v>#REF!</v>
      </c>
      <c r="K31" s="42" t="e">
        <f>ROUND(InputsNZ_C!L32*1000,1)</f>
        <v>#REF!</v>
      </c>
      <c r="L31" s="42" t="e">
        <f>ROUND(InputsNZ_C!M32*1000,1)</f>
        <v>#REF!</v>
      </c>
    </row>
    <row r="32" spans="1:13" x14ac:dyDescent="0.35">
      <c r="A32" t="s">
        <v>233</v>
      </c>
      <c r="B32" t="s">
        <v>244</v>
      </c>
      <c r="C32" s="42" t="e">
        <f>ROUND(InputsNZ_C!D33*1000,1)</f>
        <v>#REF!</v>
      </c>
      <c r="D32" s="42" t="e">
        <f>ROUND(InputsNZ_C!E33*1000,1)</f>
        <v>#REF!</v>
      </c>
      <c r="E32" s="42" t="e">
        <f>ROUND(InputsNZ_C!F33*1000,1)</f>
        <v>#REF!</v>
      </c>
      <c r="F32" s="42" t="e">
        <f>ROUND(InputsNZ_C!G33*1000,1)</f>
        <v>#REF!</v>
      </c>
      <c r="G32" s="42" t="e">
        <f>ROUND(InputsNZ_C!H33*1000,1)</f>
        <v>#REF!</v>
      </c>
      <c r="H32" s="42" t="e">
        <f>ROUND(InputsNZ_C!I33*1000,1)</f>
        <v>#REF!</v>
      </c>
      <c r="I32" s="42" t="e">
        <f>ROUND(InputsNZ_C!J33*1000,1)</f>
        <v>#REF!</v>
      </c>
      <c r="J32" s="42" t="e">
        <f>ROUND(InputsNZ_C!K33*1000,1)</f>
        <v>#REF!</v>
      </c>
      <c r="K32" s="42" t="e">
        <f>ROUND(InputsNZ_C!L33*1000,1)</f>
        <v>#REF!</v>
      </c>
      <c r="L32" s="42" t="e">
        <f>ROUND(InputsNZ_C!M33*1000,1)</f>
        <v>#REF!</v>
      </c>
    </row>
    <row r="33" spans="1:12" x14ac:dyDescent="0.35">
      <c r="A33" t="s">
        <v>234</v>
      </c>
      <c r="B33" t="s">
        <v>244</v>
      </c>
      <c r="C33" s="42" t="e">
        <f>ROUND(InputsNZ_C!D34*1000,1)</f>
        <v>#REF!</v>
      </c>
      <c r="D33" s="42" t="e">
        <f>ROUND(InputsNZ_C!E34*1000,1)</f>
        <v>#REF!</v>
      </c>
      <c r="E33" s="42" t="e">
        <f>ROUND(InputsNZ_C!F34*1000,1)</f>
        <v>#REF!</v>
      </c>
      <c r="F33" s="42" t="e">
        <f>ROUND(InputsNZ_C!G34*1000,1)</f>
        <v>#REF!</v>
      </c>
      <c r="G33" s="42" t="e">
        <f>ROUND(InputsNZ_C!H34*1000,1)</f>
        <v>#REF!</v>
      </c>
      <c r="H33" s="42" t="e">
        <f>ROUND(InputsNZ_C!I34*1000,1)</f>
        <v>#REF!</v>
      </c>
      <c r="I33" s="42" t="e">
        <f>ROUND(InputsNZ_C!J34*1000,1)</f>
        <v>#REF!</v>
      </c>
      <c r="J33" s="42" t="e">
        <f>ROUND(InputsNZ_C!K34*1000,1)</f>
        <v>#REF!</v>
      </c>
      <c r="K33" s="42" t="e">
        <f>ROUND(InputsNZ_C!L34*1000,1)</f>
        <v>#REF!</v>
      </c>
      <c r="L33" s="42" t="e">
        <f>ROUND(InputsNZ_C!M34*1000,1)</f>
        <v>#REF!</v>
      </c>
    </row>
    <row r="34" spans="1:12" x14ac:dyDescent="0.35">
      <c r="A34" t="s">
        <v>235</v>
      </c>
      <c r="B34" t="s">
        <v>244</v>
      </c>
      <c r="C34" s="42" t="e">
        <f>ROUND(InputsNZ_C!D35*1000,1)</f>
        <v>#REF!</v>
      </c>
      <c r="D34" s="42" t="e">
        <f>ROUND(InputsNZ_C!E35*1000,1)</f>
        <v>#REF!</v>
      </c>
      <c r="E34" s="42" t="e">
        <f>ROUND(InputsNZ_C!F35*1000,1)</f>
        <v>#REF!</v>
      </c>
      <c r="F34" s="42" t="e">
        <f>ROUND(InputsNZ_C!G35*1000,1)</f>
        <v>#REF!</v>
      </c>
      <c r="G34" s="42" t="e">
        <f>ROUND(InputsNZ_C!H35*1000,1)</f>
        <v>#REF!</v>
      </c>
      <c r="H34" s="42" t="e">
        <f>ROUND(InputsNZ_C!I35*1000,1)</f>
        <v>#REF!</v>
      </c>
      <c r="I34" s="42" t="e">
        <f>ROUND(InputsNZ_C!J35*1000,1)</f>
        <v>#REF!</v>
      </c>
      <c r="J34" s="42" t="e">
        <f>ROUND(InputsNZ_C!K35*1000,1)</f>
        <v>#REF!</v>
      </c>
      <c r="K34" s="42" t="e">
        <f>ROUND(InputsNZ_C!L35*1000,1)</f>
        <v>#REF!</v>
      </c>
      <c r="L34" s="42" t="e">
        <f>ROUND(InputsNZ_C!M35*1000,1)</f>
        <v>#REF!</v>
      </c>
    </row>
    <row r="37" spans="1:12" x14ac:dyDescent="0.35">
      <c r="A37" t="s">
        <v>20</v>
      </c>
      <c r="B37" t="s">
        <v>21</v>
      </c>
      <c r="C37" s="42">
        <f>ROUND(InputsNZ_C!D38,1)</f>
        <v>10.199999999999999</v>
      </c>
      <c r="D37" s="42"/>
      <c r="E37" s="42">
        <f>ROUND(InputsNZ_C!F38,1)</f>
        <v>9.9</v>
      </c>
      <c r="F37" s="42"/>
      <c r="G37" s="42">
        <f>ROUND(InputsNZ_C!H38,1)</f>
        <v>13.1</v>
      </c>
      <c r="H37" s="42"/>
      <c r="I37" s="42">
        <f>ROUND(InputsNZ_C!J38,1)</f>
        <v>12.1</v>
      </c>
      <c r="J37" s="42"/>
      <c r="K37" s="42">
        <f>ROUND(InputsNZ_C!L38,1)</f>
        <v>10.7</v>
      </c>
    </row>
    <row r="38" spans="1:12" x14ac:dyDescent="0.35">
      <c r="A38" t="s">
        <v>181</v>
      </c>
      <c r="B38" t="s">
        <v>21</v>
      </c>
      <c r="C38" s="42">
        <f>ROUND(InputsNZ_C!D39,1)</f>
        <v>9.4</v>
      </c>
      <c r="D38" s="42"/>
      <c r="E38" s="42">
        <f>ROUND(InputsNZ_C!F39,1)</f>
        <v>7.9</v>
      </c>
      <c r="F38" s="42"/>
      <c r="G38" s="42">
        <f>ROUND(InputsNZ_C!H39,1)</f>
        <v>11.5</v>
      </c>
      <c r="H38" s="42"/>
      <c r="I38" s="42">
        <f>ROUND(InputsNZ_C!J39,1)</f>
        <v>9.6999999999999993</v>
      </c>
      <c r="J38" s="42"/>
      <c r="K38" s="42">
        <f>ROUND(InputsNZ_C!L39,1)</f>
        <v>7.9</v>
      </c>
    </row>
    <row r="39" spans="1:12" x14ac:dyDescent="0.35">
      <c r="A39" t="s">
        <v>168</v>
      </c>
      <c r="B39" t="s">
        <v>21</v>
      </c>
      <c r="C39" s="42">
        <f>ROUND(InputsNZ_C!D40,1)</f>
        <v>5.7</v>
      </c>
      <c r="D39" s="42"/>
      <c r="E39" s="42">
        <f>ROUND(InputsNZ_C!F40,1)</f>
        <v>2.9</v>
      </c>
      <c r="F39" s="42"/>
      <c r="G39" s="42">
        <f>ROUND(InputsNZ_C!H40,1)</f>
        <v>4.9000000000000004</v>
      </c>
      <c r="H39" s="42"/>
      <c r="I39" s="42">
        <f>ROUND(InputsNZ_C!J40,1)</f>
        <v>8.3000000000000007</v>
      </c>
      <c r="J39" s="42"/>
      <c r="K39" s="42">
        <f>ROUND(InputsNZ_C!L40,1)</f>
        <v>1.8</v>
      </c>
    </row>
    <row r="40" spans="1:12" x14ac:dyDescent="0.35">
      <c r="A40" t="s">
        <v>190</v>
      </c>
      <c r="B40" t="s">
        <v>191</v>
      </c>
      <c r="C40" s="42">
        <f>ROUND(InputsNZ_C!D41,1)</f>
        <v>884.3</v>
      </c>
      <c r="D40" s="42"/>
      <c r="E40" s="42">
        <f>ROUND(InputsNZ_C!F41,1)</f>
        <v>1501.7</v>
      </c>
      <c r="F40" s="42"/>
      <c r="G40" s="42">
        <f>ROUND(InputsNZ_C!H41,1)</f>
        <v>1046.5</v>
      </c>
      <c r="H40" s="42"/>
      <c r="I40" s="42">
        <f>ROUND(InputsNZ_C!J41,1)</f>
        <v>449.5</v>
      </c>
      <c r="J40" s="42"/>
      <c r="K40" s="42">
        <f>ROUND(InputsNZ_C!L41,1)</f>
        <v>2635.1</v>
      </c>
    </row>
    <row r="41" spans="1:12" x14ac:dyDescent="0.35">
      <c r="A41" t="s">
        <v>160</v>
      </c>
      <c r="B41" t="s">
        <v>239</v>
      </c>
      <c r="C41" s="42">
        <f>ROUND(InputsNZ_C!D42,1)</f>
        <v>26</v>
      </c>
      <c r="D41" s="42"/>
      <c r="E41" s="42">
        <f>ROUND(InputsNZ_C!F42,1)</f>
        <v>24.7</v>
      </c>
      <c r="F41" s="42"/>
      <c r="G41" s="42">
        <f>ROUND(InputsNZ_C!H42,1)</f>
        <v>0.6</v>
      </c>
      <c r="H41" s="42"/>
      <c r="I41" s="42">
        <f>ROUND(InputsNZ_C!J42,1)</f>
        <v>37.700000000000003</v>
      </c>
      <c r="J41" s="42"/>
      <c r="K41" s="42">
        <f>ROUND(InputsNZ_C!L42,1)</f>
        <v>0</v>
      </c>
    </row>
    <row r="42" spans="1:12" x14ac:dyDescent="0.35">
      <c r="A42" t="s">
        <v>22</v>
      </c>
      <c r="B42" t="s">
        <v>240</v>
      </c>
      <c r="C42" s="42">
        <f>ROUND(InputsNZ_C!D43,1)</f>
        <v>193.4</v>
      </c>
      <c r="D42" s="42"/>
      <c r="E42" s="42">
        <f>ROUND(InputsNZ_C!F43,1)</f>
        <v>296.2</v>
      </c>
      <c r="F42" s="42"/>
      <c r="G42" s="42">
        <f>ROUND(InputsNZ_C!H43,1)</f>
        <v>384.7</v>
      </c>
      <c r="H42" s="42"/>
      <c r="I42" s="42">
        <f>ROUND(InputsNZ_C!J43,1)</f>
        <v>110.8</v>
      </c>
      <c r="J42" s="42"/>
      <c r="K42" s="42">
        <f>ROUND(InputsNZ_C!L43,1)</f>
        <v>685.1</v>
      </c>
    </row>
    <row r="43" spans="1:12" x14ac:dyDescent="0.35">
      <c r="A43" t="s">
        <v>24</v>
      </c>
      <c r="B43" t="s">
        <v>240</v>
      </c>
      <c r="C43" s="42">
        <f>ROUND(InputsNZ_C!D44,1)</f>
        <v>673.5</v>
      </c>
      <c r="D43" s="42"/>
      <c r="E43" s="42">
        <f>ROUND(InputsNZ_C!F44,1)</f>
        <v>89.3</v>
      </c>
      <c r="F43" s="42"/>
      <c r="G43" s="42">
        <f>ROUND(InputsNZ_C!H44,1)</f>
        <v>40.700000000000003</v>
      </c>
      <c r="H43" s="42"/>
      <c r="I43" s="42">
        <f>ROUND(InputsNZ_C!J44,1)</f>
        <v>28</v>
      </c>
      <c r="J43" s="42"/>
      <c r="K43" s="42">
        <f>ROUND(InputsNZ_C!L44,1)</f>
        <v>37.299999999999997</v>
      </c>
    </row>
    <row r="44" spans="1:12" x14ac:dyDescent="0.35">
      <c r="A44" t="s">
        <v>25</v>
      </c>
      <c r="B44" t="s">
        <v>240</v>
      </c>
      <c r="C44" s="42">
        <f>ROUND(InputsNZ_C!D45,1)</f>
        <v>425.9</v>
      </c>
      <c r="D44" s="42"/>
      <c r="E44" s="42">
        <f>ROUND(InputsNZ_C!F45,1)</f>
        <v>274.89999999999998</v>
      </c>
      <c r="F44" s="42"/>
      <c r="G44" s="42">
        <f>ROUND(InputsNZ_C!H45,1)</f>
        <v>341.4</v>
      </c>
      <c r="H44" s="42"/>
      <c r="I44" s="42">
        <f>ROUND(InputsNZ_C!J45,1)</f>
        <v>313.3</v>
      </c>
      <c r="J44" s="42"/>
      <c r="K44" s="42">
        <f>ROUND(InputsNZ_C!L45,1)</f>
        <v>241.7</v>
      </c>
    </row>
    <row r="45" spans="1:12" x14ac:dyDescent="0.35">
      <c r="A45" t="s">
        <v>26</v>
      </c>
      <c r="B45" t="s">
        <v>240</v>
      </c>
      <c r="C45" s="42">
        <f>ROUND(InputsNZ_C!D46,1)</f>
        <v>72.2</v>
      </c>
      <c r="D45" s="42"/>
      <c r="E45" s="42">
        <f>ROUND(InputsNZ_C!F46,1)</f>
        <v>88.8</v>
      </c>
      <c r="F45" s="42"/>
      <c r="G45" s="42">
        <f>ROUND(InputsNZ_C!H46,1)</f>
        <v>160.80000000000001</v>
      </c>
      <c r="H45" s="42"/>
      <c r="I45" s="42">
        <f>ROUND(InputsNZ_C!J46,1)</f>
        <v>139.80000000000001</v>
      </c>
      <c r="J45" s="42"/>
      <c r="K45" s="42">
        <f>ROUND(InputsNZ_C!L46,1)</f>
        <v>65.099999999999994</v>
      </c>
    </row>
    <row r="46" spans="1:12" x14ac:dyDescent="0.35">
      <c r="A46" t="s">
        <v>27</v>
      </c>
      <c r="B46" t="s">
        <v>240</v>
      </c>
      <c r="C46" s="42">
        <f>ROUND(InputsNZ_C!D47,1)</f>
        <v>83.6</v>
      </c>
      <c r="D46" s="42"/>
      <c r="E46" s="42">
        <f>ROUND(InputsNZ_C!F47,1)</f>
        <v>16.600000000000001</v>
      </c>
      <c r="F46" s="42"/>
      <c r="G46" s="42">
        <f>ROUND(InputsNZ_C!H47,1)</f>
        <v>21.2</v>
      </c>
      <c r="H46" s="42"/>
      <c r="I46" s="42">
        <f>ROUND(InputsNZ_C!J47,1)</f>
        <v>185</v>
      </c>
      <c r="J46" s="42"/>
      <c r="K46" s="42">
        <f>ROUND(InputsNZ_C!L47,1)</f>
        <v>44</v>
      </c>
    </row>
    <row r="47" spans="1:12" x14ac:dyDescent="0.35">
      <c r="A47" t="s">
        <v>28</v>
      </c>
      <c r="B47" t="s">
        <v>240</v>
      </c>
      <c r="C47" s="42">
        <f>ROUND(InputsNZ_C!D48,1)</f>
        <v>788.1</v>
      </c>
      <c r="D47" s="42"/>
      <c r="E47" s="42">
        <f>ROUND(InputsNZ_C!F48,1)</f>
        <v>381.5</v>
      </c>
      <c r="F47" s="42"/>
      <c r="G47" s="42">
        <f>ROUND(InputsNZ_C!H48,1)</f>
        <v>1079.3</v>
      </c>
      <c r="H47" s="42"/>
      <c r="I47" s="42">
        <f>ROUND(InputsNZ_C!J48,1)</f>
        <v>525.6</v>
      </c>
      <c r="J47" s="42"/>
      <c r="K47" s="42">
        <f>ROUND(InputsNZ_C!L48,1)</f>
        <v>93.4</v>
      </c>
    </row>
    <row r="48" spans="1:12" x14ac:dyDescent="0.35">
      <c r="A48" t="s">
        <v>29</v>
      </c>
      <c r="B48" t="s">
        <v>240</v>
      </c>
      <c r="C48" s="42">
        <f>ROUND(InputsNZ_C!D49,1)</f>
        <v>671.3</v>
      </c>
      <c r="D48" s="42"/>
      <c r="E48" s="42">
        <f>ROUND(InputsNZ_C!F49,1)</f>
        <v>1628.7</v>
      </c>
      <c r="F48" s="42"/>
      <c r="G48" s="42">
        <f>ROUND(InputsNZ_C!H49,1)</f>
        <v>2341</v>
      </c>
      <c r="H48" s="42"/>
      <c r="I48" s="42">
        <f>ROUND(InputsNZ_C!J49,1)</f>
        <v>899.8</v>
      </c>
      <c r="J48" s="42"/>
      <c r="K48" s="42">
        <f>ROUND(InputsNZ_C!L49,1)</f>
        <v>913.9</v>
      </c>
    </row>
    <row r="49" spans="1:11" x14ac:dyDescent="0.35">
      <c r="A49" t="s">
        <v>30</v>
      </c>
      <c r="B49" t="s">
        <v>240</v>
      </c>
      <c r="C49" s="42">
        <f>ROUND(InputsNZ_C!D50,1)</f>
        <v>19</v>
      </c>
      <c r="D49" s="42"/>
      <c r="E49" s="42">
        <f>ROUND(InputsNZ_C!F50,1)</f>
        <v>62.9</v>
      </c>
      <c r="F49" s="42"/>
      <c r="G49" s="42">
        <f>ROUND(InputsNZ_C!H50,1)</f>
        <v>37.299999999999997</v>
      </c>
      <c r="H49" s="42"/>
      <c r="I49" s="42">
        <f>ROUND(InputsNZ_C!J50,1)</f>
        <v>18.5</v>
      </c>
      <c r="J49" s="42"/>
      <c r="K49" s="42">
        <f>ROUND(InputsNZ_C!L50,1)</f>
        <v>95.8</v>
      </c>
    </row>
    <row r="50" spans="1:11" x14ac:dyDescent="0.35">
      <c r="A50" t="s">
        <v>31</v>
      </c>
      <c r="B50" t="s">
        <v>240</v>
      </c>
      <c r="C50" s="42">
        <f>ROUND(InputsNZ_C!D51,1)</f>
        <v>328.5</v>
      </c>
      <c r="D50" s="42"/>
      <c r="E50" s="42">
        <f>ROUND(InputsNZ_C!F51,1)</f>
        <v>311.39999999999998</v>
      </c>
      <c r="F50" s="42"/>
      <c r="G50" s="42">
        <f>ROUND(InputsNZ_C!H51,1)</f>
        <v>217.5</v>
      </c>
      <c r="H50" s="42"/>
      <c r="I50" s="42">
        <f>ROUND(InputsNZ_C!J51,1)</f>
        <v>117.8</v>
      </c>
      <c r="J50" s="42"/>
      <c r="K50" s="42">
        <f>ROUND(InputsNZ_C!L51,1)</f>
        <v>98.7</v>
      </c>
    </row>
    <row r="51" spans="1:11" x14ac:dyDescent="0.35">
      <c r="A51" t="s">
        <v>158</v>
      </c>
      <c r="B51" t="s">
        <v>246</v>
      </c>
      <c r="C51" s="42">
        <f>ROUND(InputsNZ_C!D52*1000,1)</f>
        <v>25614.400000000001</v>
      </c>
      <c r="D51" s="42"/>
      <c r="E51" s="42">
        <f>ROUND(InputsNZ_C!F52*1000,1)</f>
        <v>1057</v>
      </c>
      <c r="F51" s="42"/>
      <c r="G51" s="42">
        <f>ROUND(InputsNZ_C!H52*1000,1)</f>
        <v>28.3</v>
      </c>
      <c r="H51" s="42"/>
      <c r="I51" s="42">
        <f>ROUND(InputsNZ_C!J52*1000,1)</f>
        <v>2674.9</v>
      </c>
      <c r="J51" s="42"/>
      <c r="K51" s="42">
        <f>ROUND(InputsNZ_C!L52*1000,1)</f>
        <v>25705.3</v>
      </c>
    </row>
    <row r="52" spans="1:11" x14ac:dyDescent="0.35">
      <c r="A52" t="s">
        <v>159</v>
      </c>
      <c r="B52" t="s">
        <v>240</v>
      </c>
      <c r="C52" s="42">
        <f>ROUND(InputsNZ_C!D53,1)</f>
        <v>2.9</v>
      </c>
      <c r="D52" s="42"/>
      <c r="E52" s="42">
        <f>ROUND(InputsNZ_C!F53,1)</f>
        <v>123.7</v>
      </c>
      <c r="F52" s="42"/>
      <c r="G52" s="42">
        <f>ROUND(InputsNZ_C!H53,1)</f>
        <v>3.2</v>
      </c>
      <c r="H52" s="42"/>
      <c r="I52" s="42">
        <f>ROUND(InputsNZ_C!J53,1)</f>
        <v>8.6</v>
      </c>
      <c r="J52" s="42"/>
      <c r="K52" s="42">
        <f>ROUND(InputsNZ_C!L53,1)</f>
        <v>6.2</v>
      </c>
    </row>
    <row r="53" spans="1:11" x14ac:dyDescent="0.35">
      <c r="A53" t="s">
        <v>166</v>
      </c>
      <c r="B53" t="s">
        <v>240</v>
      </c>
      <c r="C53" s="42">
        <f>ROUND(InputsNZ_C!D54,1)</f>
        <v>817.3</v>
      </c>
      <c r="D53" s="42"/>
      <c r="E53" s="42">
        <f>ROUND(InputsNZ_C!F54,1)</f>
        <v>279.2</v>
      </c>
      <c r="F53" s="42"/>
      <c r="G53" s="42">
        <f>ROUND(InputsNZ_C!H54,1)</f>
        <v>6</v>
      </c>
      <c r="H53" s="42"/>
      <c r="I53" s="42">
        <f>ROUND(InputsNZ_C!J54,1)</f>
        <v>606.79999999999995</v>
      </c>
      <c r="J53" s="42"/>
      <c r="K53" s="42">
        <f>ROUND(InputsNZ_C!L54,1)</f>
        <v>0.1</v>
      </c>
    </row>
    <row r="54" spans="1:11" x14ac:dyDescent="0.35">
      <c r="A54" t="s">
        <v>167</v>
      </c>
      <c r="B54" t="s">
        <v>240</v>
      </c>
      <c r="C54" s="42">
        <f>ROUND(InputsNZ_C!D55,1)</f>
        <v>2006.8</v>
      </c>
      <c r="D54" s="42"/>
      <c r="E54" s="42">
        <f>ROUND(InputsNZ_C!F55,1)</f>
        <v>1021.9</v>
      </c>
      <c r="F54" s="42"/>
      <c r="G54" s="42">
        <f>ROUND(InputsNZ_C!H55,1)</f>
        <v>9.6</v>
      </c>
      <c r="H54" s="42"/>
      <c r="I54" s="42">
        <f>ROUND(InputsNZ_C!J55,1)</f>
        <v>1349.4</v>
      </c>
      <c r="J54" s="42"/>
      <c r="K54" s="42">
        <f>ROUND(InputsNZ_C!L55,1)</f>
        <v>5.8</v>
      </c>
    </row>
    <row r="55" spans="1:11" x14ac:dyDescent="0.35">
      <c r="A55" t="s">
        <v>32</v>
      </c>
      <c r="B55" t="s">
        <v>240</v>
      </c>
      <c r="C55" s="42">
        <f>ROUND(InputsNZ_C!D56,1)</f>
        <v>425.7</v>
      </c>
      <c r="D55" s="42"/>
      <c r="E55" s="42">
        <f>ROUND(InputsNZ_C!F56,1)</f>
        <v>424.8</v>
      </c>
      <c r="F55" s="42"/>
      <c r="G55" s="42">
        <f>ROUND(InputsNZ_C!H56,1)</f>
        <v>353.9</v>
      </c>
      <c r="H55" s="42"/>
      <c r="I55" s="42">
        <f>ROUND(InputsNZ_C!J56,1)</f>
        <v>327.3</v>
      </c>
      <c r="J55" s="42"/>
      <c r="K55" s="42">
        <f>ROUND(InputsNZ_C!L56,1)</f>
        <v>144.5</v>
      </c>
    </row>
    <row r="56" spans="1:11" x14ac:dyDescent="0.35">
      <c r="A56" t="s">
        <v>33</v>
      </c>
      <c r="B56" t="s">
        <v>240</v>
      </c>
      <c r="C56" s="42">
        <f>ROUND(InputsNZ_C!D57,1)</f>
        <v>123.8</v>
      </c>
      <c r="D56" s="42"/>
      <c r="E56" s="42">
        <f>ROUND(InputsNZ_C!F57,1)</f>
        <v>109.8</v>
      </c>
      <c r="F56" s="42"/>
      <c r="G56" s="42">
        <f>ROUND(InputsNZ_C!H57,1)</f>
        <v>87</v>
      </c>
      <c r="H56" s="42"/>
      <c r="I56" s="42">
        <f>ROUND(InputsNZ_C!J57,1)</f>
        <v>69.900000000000006</v>
      </c>
      <c r="J56" s="42"/>
      <c r="K56" s="42">
        <f>ROUND(InputsNZ_C!L57,1)</f>
        <v>28.2</v>
      </c>
    </row>
    <row r="57" spans="1:11" x14ac:dyDescent="0.35">
      <c r="A57" t="s">
        <v>34</v>
      </c>
      <c r="B57" t="s">
        <v>240</v>
      </c>
      <c r="C57" s="42">
        <f>ROUND(InputsNZ_C!D58,1)</f>
        <v>1463.1</v>
      </c>
      <c r="D57" s="42"/>
      <c r="E57" s="42">
        <f>ROUND(InputsNZ_C!F58,1)</f>
        <v>834</v>
      </c>
      <c r="F57" s="42"/>
      <c r="G57" s="42">
        <f>ROUND(InputsNZ_C!H58,1)</f>
        <v>9.3000000000000007</v>
      </c>
      <c r="H57" s="42"/>
      <c r="I57" s="42">
        <f>ROUND(InputsNZ_C!J58,1)</f>
        <v>988.6</v>
      </c>
      <c r="J57" s="42"/>
      <c r="K57" s="42">
        <f>ROUND(InputsNZ_C!L58,1)</f>
        <v>8.6999999999999993</v>
      </c>
    </row>
    <row r="58" spans="1:11" x14ac:dyDescent="0.35">
      <c r="A58" t="s">
        <v>154</v>
      </c>
      <c r="B58" t="s">
        <v>241</v>
      </c>
      <c r="C58" s="42">
        <f>ROUND(InputsNZ_C!D59,1)</f>
        <v>555.4</v>
      </c>
      <c r="D58" s="42"/>
      <c r="E58" s="42">
        <f>ROUND(InputsNZ_C!F59,1)</f>
        <v>384.7</v>
      </c>
      <c r="F58" s="42"/>
      <c r="G58" s="42">
        <f>ROUND(InputsNZ_C!H59,1)</f>
        <v>317.10000000000002</v>
      </c>
      <c r="H58" s="42"/>
      <c r="I58" s="42">
        <f>ROUND(InputsNZ_C!J59,1)</f>
        <v>235.5</v>
      </c>
      <c r="J58" s="42"/>
      <c r="K58" s="42">
        <f>ROUND(InputsNZ_C!L59,1)</f>
        <v>354.5</v>
      </c>
    </row>
    <row r="59" spans="1:11" x14ac:dyDescent="0.35">
      <c r="A59" t="s">
        <v>156</v>
      </c>
      <c r="B59" t="s">
        <v>241</v>
      </c>
      <c r="C59" s="42">
        <f>ROUND(InputsNZ_C!D60,1)</f>
        <v>1679.9</v>
      </c>
      <c r="D59" s="42"/>
      <c r="E59" s="42">
        <f>ROUND(InputsNZ_C!F60,1)</f>
        <v>524.29999999999995</v>
      </c>
      <c r="F59" s="42"/>
      <c r="G59" s="42">
        <f>ROUND(InputsNZ_C!H60,1)</f>
        <v>436.1</v>
      </c>
      <c r="H59" s="42"/>
      <c r="I59" s="42">
        <f>ROUND(InputsNZ_C!J60,1)</f>
        <v>308.89999999999998</v>
      </c>
      <c r="J59" s="42"/>
      <c r="K59" s="42">
        <f>ROUND(InputsNZ_C!L60,1)</f>
        <v>627.79999999999995</v>
      </c>
    </row>
    <row r="60" spans="1:11" x14ac:dyDescent="0.35">
      <c r="A60" t="s">
        <v>157</v>
      </c>
      <c r="B60" t="s">
        <v>241</v>
      </c>
      <c r="C60" s="42">
        <f>ROUND(InputsNZ_C!D61,1)</f>
        <v>11749.9</v>
      </c>
      <c r="D60" s="42"/>
      <c r="E60" s="42">
        <f>ROUND(InputsNZ_C!F61,1)</f>
        <v>8239.7999999999993</v>
      </c>
      <c r="F60" s="42"/>
      <c r="G60" s="42">
        <f>ROUND(InputsNZ_C!H61,1)</f>
        <v>10570.1</v>
      </c>
      <c r="H60" s="42"/>
      <c r="I60" s="42">
        <f>ROUND(InputsNZ_C!J61,1)</f>
        <v>23363.8</v>
      </c>
      <c r="J60" s="42"/>
      <c r="K60" s="42">
        <f>ROUND(InputsNZ_C!L61,1)</f>
        <v>11056.7</v>
      </c>
    </row>
    <row r="61" spans="1:11" x14ac:dyDescent="0.35">
      <c r="A61" t="s">
        <v>36</v>
      </c>
      <c r="B61" t="s">
        <v>247</v>
      </c>
      <c r="C61" s="42">
        <f>ROUND(InputsNZ_C!D62*1000,1)</f>
        <v>7.6</v>
      </c>
      <c r="D61" s="42"/>
      <c r="E61" s="42">
        <f>ROUND(InputsNZ_C!F62*1000,1)</f>
        <v>7.6</v>
      </c>
      <c r="F61" s="42"/>
      <c r="G61" s="42">
        <f>ROUND(InputsNZ_C!H62*1000,1)</f>
        <v>7.6</v>
      </c>
      <c r="H61" s="42"/>
      <c r="I61" s="42">
        <f>ROUND(InputsNZ_C!J62*1000,1)</f>
        <v>7.6</v>
      </c>
      <c r="J61" s="42"/>
      <c r="K61" s="42">
        <f>ROUND(InputsNZ_C!L62*1000,1)</f>
        <v>7.6</v>
      </c>
    </row>
    <row r="62" spans="1:11" x14ac:dyDescent="0.35">
      <c r="A62" t="s">
        <v>38</v>
      </c>
      <c r="B62" t="s">
        <v>247</v>
      </c>
      <c r="C62" s="42">
        <f>ROUND(InputsNZ_C!D63*1000,1)</f>
        <v>468.9</v>
      </c>
      <c r="D62" s="42"/>
      <c r="E62" s="42">
        <f>ROUND(InputsNZ_C!F63*1000,1)</f>
        <v>468.9</v>
      </c>
      <c r="F62" s="42"/>
      <c r="G62" s="42">
        <f>ROUND(InputsNZ_C!H63*1000,1)</f>
        <v>468.9</v>
      </c>
      <c r="H62" s="42"/>
      <c r="I62" s="42">
        <f>ROUND(InputsNZ_C!J63*1000,1)</f>
        <v>468.9</v>
      </c>
      <c r="J62" s="42"/>
      <c r="K62" s="42">
        <f>ROUND(InputsNZ_C!L63*1000,1)</f>
        <v>468.9</v>
      </c>
    </row>
    <row r="63" spans="1:11" x14ac:dyDescent="0.35">
      <c r="A63" t="s">
        <v>150</v>
      </c>
      <c r="B63" t="s">
        <v>247</v>
      </c>
      <c r="C63" s="42">
        <f>ROUND(InputsNZ_C!D64*1000,1)</f>
        <v>961.9</v>
      </c>
      <c r="D63" s="42"/>
      <c r="E63" s="42">
        <f>ROUND(InputsNZ_C!F64*1000,1)</f>
        <v>548.20000000000005</v>
      </c>
      <c r="F63" s="42"/>
      <c r="G63" s="42">
        <f>ROUND(InputsNZ_C!H64*1000,1)</f>
        <v>28.1</v>
      </c>
      <c r="H63" s="42"/>
      <c r="I63" s="42">
        <f>ROUND(InputsNZ_C!J64*1000,1)</f>
        <v>756.5</v>
      </c>
      <c r="J63" s="42"/>
      <c r="K63" s="42">
        <f>ROUND(InputsNZ_C!L64*1000,1)</f>
        <v>1701.5</v>
      </c>
    </row>
    <row r="64" spans="1:11" x14ac:dyDescent="0.35">
      <c r="A64" t="s">
        <v>151</v>
      </c>
      <c r="B64" t="s">
        <v>247</v>
      </c>
      <c r="C64" s="42">
        <f>ROUND(InputsNZ_C!D65*1000,1)</f>
        <v>12.1</v>
      </c>
      <c r="D64" s="42"/>
      <c r="E64" s="42">
        <f>ROUND(InputsNZ_C!F65*1000,1)</f>
        <v>518.79999999999995</v>
      </c>
      <c r="F64" s="42"/>
      <c r="G64" s="42">
        <f>ROUND(InputsNZ_C!H65*1000,1)</f>
        <v>13.4</v>
      </c>
      <c r="H64" s="42"/>
      <c r="I64" s="42">
        <f>ROUND(InputsNZ_C!J65*1000,1)</f>
        <v>35.9</v>
      </c>
      <c r="J64" s="42"/>
      <c r="K64" s="42">
        <f>ROUND(InputsNZ_C!L65*1000,1)</f>
        <v>26.1</v>
      </c>
    </row>
    <row r="65" spans="1:12" x14ac:dyDescent="0.35">
      <c r="A65" t="s">
        <v>39</v>
      </c>
      <c r="B65" t="s">
        <v>242</v>
      </c>
      <c r="C65" s="42">
        <f>ROUND(InputsNZ_C!D66,1)</f>
        <v>1300</v>
      </c>
      <c r="D65" s="42"/>
      <c r="E65" s="42">
        <f>ROUND(InputsNZ_C!F66,1)</f>
        <v>1300</v>
      </c>
      <c r="F65" s="42"/>
      <c r="G65" s="42">
        <f>ROUND(InputsNZ_C!H66,1)</f>
        <v>1300</v>
      </c>
      <c r="H65" s="42"/>
      <c r="I65" s="42">
        <f>ROUND(InputsNZ_C!J66,1)</f>
        <v>1300</v>
      </c>
      <c r="J65" s="42"/>
      <c r="K65" s="42">
        <f>ROUND(InputsNZ_C!L66,1)</f>
        <v>1300</v>
      </c>
    </row>
    <row r="66" spans="1:12" x14ac:dyDescent="0.35">
      <c r="A66" t="s">
        <v>41</v>
      </c>
      <c r="B66" t="s">
        <v>242</v>
      </c>
      <c r="C66" s="42">
        <f>ROUND(InputsNZ_C!D67,1)</f>
        <v>892000</v>
      </c>
      <c r="D66" s="42"/>
      <c r="E66" s="42">
        <f>ROUND(InputsNZ_C!F67,1)</f>
        <v>892000</v>
      </c>
      <c r="F66" s="42"/>
      <c r="G66" s="42">
        <f>ROUND(InputsNZ_C!H67,1)</f>
        <v>892000</v>
      </c>
      <c r="H66" s="42"/>
      <c r="I66" s="42">
        <f>ROUND(InputsNZ_C!J67,1)</f>
        <v>892000</v>
      </c>
      <c r="J66" s="42"/>
      <c r="K66" s="42">
        <f>ROUND(InputsNZ_C!L67,1)</f>
        <v>892000</v>
      </c>
    </row>
    <row r="67" spans="1:12" x14ac:dyDescent="0.35">
      <c r="A67" t="s">
        <v>42</v>
      </c>
      <c r="B67" t="s">
        <v>242</v>
      </c>
      <c r="C67" s="42">
        <f>ROUND(InputsNZ_C!D68,1)</f>
        <v>1257660</v>
      </c>
      <c r="D67" s="42"/>
      <c r="E67" s="42">
        <f>ROUND(InputsNZ_C!F68,1)</f>
        <v>1257660</v>
      </c>
      <c r="F67" s="42"/>
      <c r="G67" s="42">
        <f>ROUND(InputsNZ_C!H68,1)</f>
        <v>1257660</v>
      </c>
      <c r="H67" s="42"/>
      <c r="I67" s="42">
        <f>ROUND(InputsNZ_C!J68,1)</f>
        <v>1257660</v>
      </c>
      <c r="J67" s="42"/>
      <c r="K67" s="42">
        <f>ROUND(InputsNZ_C!L68,1)</f>
        <v>1257660</v>
      </c>
    </row>
    <row r="68" spans="1:12" x14ac:dyDescent="0.35">
      <c r="A68" t="s">
        <v>182</v>
      </c>
      <c r="B68" t="s">
        <v>244</v>
      </c>
      <c r="C68" s="42">
        <f>ROUND(InputsNZ_C!D69*1000,1)</f>
        <v>83502</v>
      </c>
      <c r="D68" s="42"/>
      <c r="E68" s="42">
        <f>ROUND(InputsNZ_C!F69*1000,1)</f>
        <v>38628.6</v>
      </c>
      <c r="F68" s="42"/>
      <c r="G68" s="42">
        <f>ROUND(InputsNZ_C!H69*1000,1)</f>
        <v>515.20000000000005</v>
      </c>
      <c r="H68" s="42"/>
      <c r="I68" s="42">
        <f>ROUND(InputsNZ_C!J69*1000,1)</f>
        <v>63003.4</v>
      </c>
      <c r="J68" s="42"/>
      <c r="K68" s="42">
        <f>ROUND(InputsNZ_C!L69*1000,1)</f>
        <v>227.6</v>
      </c>
    </row>
    <row r="71" spans="1:12" x14ac:dyDescent="0.35">
      <c r="A71" t="s">
        <v>44</v>
      </c>
      <c r="B71" t="s">
        <v>243</v>
      </c>
      <c r="C71" s="42">
        <v>3.5960812008899148</v>
      </c>
      <c r="D71" s="42">
        <v>0.3805068304740048</v>
      </c>
      <c r="E71" s="42">
        <v>0.57160202258733517</v>
      </c>
      <c r="F71" s="42">
        <v>0.23901983245509709</v>
      </c>
      <c r="G71" s="42">
        <v>6.9638937860270778</v>
      </c>
      <c r="H71" s="42">
        <v>0.14862612609552778</v>
      </c>
      <c r="I71" s="42">
        <v>6.9932793679930461</v>
      </c>
      <c r="J71" s="42">
        <v>0.36404256906910959</v>
      </c>
      <c r="K71" s="42">
        <v>3.9811394148482839</v>
      </c>
      <c r="L71" s="42">
        <v>2.1858299757541513</v>
      </c>
    </row>
    <row r="72" spans="1:12" x14ac:dyDescent="0.35">
      <c r="A72" t="s">
        <v>46</v>
      </c>
      <c r="B72" t="s">
        <v>243</v>
      </c>
      <c r="C72" s="42"/>
      <c r="D72" s="42"/>
      <c r="E72" s="42"/>
      <c r="F72" s="42"/>
      <c r="G72" s="42"/>
      <c r="H72" s="42"/>
      <c r="I72" s="42"/>
      <c r="J72" s="42"/>
      <c r="K72" s="42"/>
      <c r="L72" s="42"/>
    </row>
    <row r="73" spans="1:12" x14ac:dyDescent="0.35">
      <c r="A73" t="s">
        <v>47</v>
      </c>
      <c r="B73" t="s">
        <v>243</v>
      </c>
      <c r="C73" s="42">
        <v>6.5344519999999999</v>
      </c>
      <c r="D73" s="42">
        <v>0.75064960000000003</v>
      </c>
      <c r="E73" s="42">
        <v>4.0130990000000004</v>
      </c>
      <c r="F73" s="42">
        <v>0.6753015</v>
      </c>
      <c r="G73" s="42">
        <v>9.1313420000000001</v>
      </c>
      <c r="H73" s="42">
        <v>0.45024690000000001</v>
      </c>
      <c r="I73" s="42">
        <v>9.7313410000000005</v>
      </c>
      <c r="J73" s="42">
        <v>0.35580620000000002</v>
      </c>
      <c r="K73" s="42">
        <v>4.5152340000000004</v>
      </c>
      <c r="L73" s="42">
        <v>0.33743719999999999</v>
      </c>
    </row>
    <row r="74" spans="1:12" x14ac:dyDescent="0.35">
      <c r="A74" t="s">
        <v>48</v>
      </c>
      <c r="B74" t="s">
        <v>243</v>
      </c>
      <c r="C74" s="42">
        <v>6.0951810000000002</v>
      </c>
      <c r="D74" s="42">
        <v>1.4836384</v>
      </c>
      <c r="E74" s="42">
        <v>4.4330930000000004</v>
      </c>
      <c r="F74" s="42">
        <v>0.7529901</v>
      </c>
      <c r="G74" s="42">
        <v>8.9932130000000008</v>
      </c>
      <c r="H74" s="42">
        <v>0.57430250000000005</v>
      </c>
      <c r="I74" s="42">
        <v>10.505179</v>
      </c>
      <c r="J74" s="42">
        <v>0.38461450000000003</v>
      </c>
      <c r="K74" s="42">
        <v>6.5810570000000004</v>
      </c>
      <c r="L74" s="42">
        <v>1.1969808</v>
      </c>
    </row>
    <row r="75" spans="1:12" x14ac:dyDescent="0.35">
      <c r="A75" t="s">
        <v>49</v>
      </c>
      <c r="B75" t="s">
        <v>243</v>
      </c>
      <c r="C75" s="42">
        <v>2.78</v>
      </c>
      <c r="D75" s="42">
        <v>1.33</v>
      </c>
      <c r="E75" s="42">
        <v>1.1299999999999999</v>
      </c>
      <c r="F75" s="42">
        <v>0.55000000000000004</v>
      </c>
      <c r="G75" s="42" t="s">
        <v>71</v>
      </c>
      <c r="H75" s="42" t="s">
        <v>71</v>
      </c>
      <c r="I75" s="42">
        <v>7.75</v>
      </c>
      <c r="J75" s="42">
        <v>0.47</v>
      </c>
      <c r="K75" s="42" t="s">
        <v>71</v>
      </c>
      <c r="L75" s="42" t="s">
        <v>71</v>
      </c>
    </row>
  </sheetData>
  <pageMargins left="0.7" right="0.7" top="0.75" bottom="0.75" header="0.3" footer="0.3"/>
  <pageSetup orientation="portrait" horizontalDpi="300" verticalDpi="300"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E3E2E4-9FEA-446C-B32D-A733FEED30C5}">
  <dimension ref="A1:M74"/>
  <sheetViews>
    <sheetView workbookViewId="0">
      <pane xSplit="3" ySplit="2" topLeftCell="D3" activePane="bottomRight" state="frozen"/>
      <selection pane="topRight" activeCell="D1" sqref="D1"/>
      <selection pane="bottomLeft" activeCell="A3" sqref="A3"/>
      <selection pane="bottomRight" activeCell="A75" sqref="A75"/>
    </sheetView>
  </sheetViews>
  <sheetFormatPr defaultRowHeight="14.5" x14ac:dyDescent="0.35"/>
  <cols>
    <col min="1" max="1" width="4.26953125" customWidth="1"/>
    <col min="2" max="2" width="29.7265625" customWidth="1"/>
    <col min="3" max="3" width="13.7265625" customWidth="1"/>
    <col min="4" max="8" width="14.7265625" style="11" bestFit="1" customWidth="1"/>
    <col min="13" max="13" width="9.36328125" bestFit="1" customWidth="1"/>
  </cols>
  <sheetData>
    <row r="1" spans="1:10" ht="26" x14ac:dyDescent="0.6">
      <c r="A1" s="1" t="s">
        <v>0</v>
      </c>
      <c r="B1" s="2"/>
      <c r="C1" s="2"/>
      <c r="D1" s="12"/>
      <c r="E1" s="12"/>
      <c r="F1" s="12"/>
      <c r="G1" s="12"/>
      <c r="H1" s="12"/>
    </row>
    <row r="2" spans="1:10" x14ac:dyDescent="0.35">
      <c r="A2" s="2"/>
      <c r="B2" s="2"/>
      <c r="C2" s="3" t="s">
        <v>1</v>
      </c>
      <c r="D2" s="3" t="s">
        <v>2</v>
      </c>
      <c r="E2" s="3" t="s">
        <v>4</v>
      </c>
      <c r="F2" s="3" t="s">
        <v>5</v>
      </c>
      <c r="G2" s="3" t="s">
        <v>6</v>
      </c>
      <c r="H2" s="3" t="s">
        <v>7</v>
      </c>
    </row>
    <row r="3" spans="1:10" x14ac:dyDescent="0.35">
      <c r="A3" s="5">
        <v>1</v>
      </c>
      <c r="B3" s="5" t="s">
        <v>153</v>
      </c>
      <c r="C3" s="6" t="s">
        <v>236</v>
      </c>
      <c r="D3" s="37" t="str">
        <f>Sheet3!C2&amp;"±"&amp;Sheet3!D2</f>
        <v>554.5±167.4</v>
      </c>
      <c r="E3" s="37" t="str">
        <f>Sheet3!E2&amp;"±"&amp;Sheet3!F2</f>
        <v>321.4±62.2</v>
      </c>
      <c r="F3" s="37" t="str">
        <f>Sheet3!G2&amp;"±"&amp;Sheet3!H2</f>
        <v>781±361.8</v>
      </c>
      <c r="G3" s="37" t="str">
        <f>Sheet3!I2&amp;"±"&amp;Sheet3!J2</f>
        <v>452.3±102.1</v>
      </c>
      <c r="H3" s="37" t="str">
        <f>Sheet3!K2&amp;"±"&amp;Sheet3!L2</f>
        <v>251.4±30.4</v>
      </c>
    </row>
    <row r="4" spans="1:10" x14ac:dyDescent="0.35">
      <c r="A4" s="5">
        <v>2</v>
      </c>
      <c r="B4" s="5" t="s">
        <v>9</v>
      </c>
      <c r="C4" s="6" t="s">
        <v>236</v>
      </c>
      <c r="D4" s="37" t="str">
        <f>Sheet3!C3&amp;"±"&amp;Sheet3!D3</f>
        <v>77.8±15.9</v>
      </c>
      <c r="E4" s="37" t="str">
        <f>Sheet3!E3&amp;"±"&amp;Sheet3!F3</f>
        <v>129.9±4.5</v>
      </c>
      <c r="F4" s="37" t="str">
        <f>Sheet3!G3&amp;"±"&amp;Sheet3!H3</f>
        <v>37.3±2.4</v>
      </c>
      <c r="G4" s="37" t="str">
        <f>Sheet3!I3&amp;"±"&amp;Sheet3!J3</f>
        <v>142.2±47.4</v>
      </c>
      <c r="H4" s="37" t="str">
        <f>Sheet3!K3&amp;"±"&amp;Sheet3!L3</f>
        <v>33.4±14.4</v>
      </c>
    </row>
    <row r="5" spans="1:10" x14ac:dyDescent="0.35">
      <c r="A5" s="5">
        <v>3</v>
      </c>
      <c r="B5" s="5" t="s">
        <v>11</v>
      </c>
      <c r="C5" s="6" t="s">
        <v>236</v>
      </c>
      <c r="D5" s="37" t="str">
        <f>Sheet3!C4&amp;"±"&amp;Sheet3!D4</f>
        <v>169±121.6</v>
      </c>
      <c r="E5" s="37" t="str">
        <f>Sheet3!E4&amp;"±"&amp;Sheet3!F4</f>
        <v>245.4±73</v>
      </c>
      <c r="F5" s="37" t="str">
        <f>Sheet3!G4&amp;"±"&amp;Sheet3!H4</f>
        <v>515.9±378.2</v>
      </c>
      <c r="G5" s="37" t="str">
        <f>Sheet3!I4&amp;"±"&amp;Sheet3!J4</f>
        <v>274.8±177.7</v>
      </c>
      <c r="H5" s="37" t="str">
        <f>Sheet3!K4&amp;"±"&amp;Sheet3!L4</f>
        <v>225.4±302.8</v>
      </c>
    </row>
    <row r="6" spans="1:10" x14ac:dyDescent="0.35">
      <c r="A6" s="5">
        <v>4</v>
      </c>
      <c r="B6" s="5" t="s">
        <v>12</v>
      </c>
      <c r="C6" s="6" t="s">
        <v>236</v>
      </c>
      <c r="D6" s="37" t="str">
        <f>Sheet3!C5&amp;"±"&amp;Sheet3!D5</f>
        <v>131.2±66.4</v>
      </c>
      <c r="E6" s="37" t="str">
        <f>Sheet3!E5&amp;"±"&amp;Sheet3!F5</f>
        <v>27.5±39.8</v>
      </c>
      <c r="F6" s="37" t="str">
        <f>Sheet3!G5&amp;"±"&amp;Sheet3!H5</f>
        <v>216±265.6</v>
      </c>
      <c r="G6" s="37" t="str">
        <f>Sheet3!I5&amp;"±"&amp;Sheet3!J5</f>
        <v>157.8±157.1</v>
      </c>
      <c r="H6" s="37" t="str">
        <f>Sheet3!K5&amp;"±"&amp;Sheet3!L5</f>
        <v>12.9±271.2</v>
      </c>
    </row>
    <row r="7" spans="1:10" x14ac:dyDescent="0.35">
      <c r="A7" s="5">
        <v>5</v>
      </c>
      <c r="B7" s="5" t="s">
        <v>183</v>
      </c>
      <c r="C7" s="6" t="s">
        <v>236</v>
      </c>
      <c r="D7" s="37" t="str">
        <f>Sheet3!C6&amp;"±"&amp;Sheet3!D6</f>
        <v>254.3±162.1</v>
      </c>
      <c r="E7" s="37" t="str">
        <f>Sheet3!E6&amp;"±"&amp;Sheet3!F6</f>
        <v>28.7±18.6</v>
      </c>
      <c r="F7" s="37" t="str">
        <f>Sheet3!G6&amp;"±"&amp;Sheet3!H6</f>
        <v>49.1±44.7</v>
      </c>
      <c r="G7" s="37" t="str">
        <f>Sheet3!I6&amp;"±"&amp;Sheet3!J6</f>
        <v>19.7±12.3</v>
      </c>
      <c r="H7" s="37" t="str">
        <f>Sheet3!K6&amp;"±"&amp;Sheet3!L6</f>
        <v>13.1±17.1</v>
      </c>
    </row>
    <row r="8" spans="1:10" x14ac:dyDescent="0.35">
      <c r="A8" s="5">
        <v>6</v>
      </c>
      <c r="B8" s="5" t="s">
        <v>13</v>
      </c>
      <c r="C8" s="6" t="s">
        <v>236</v>
      </c>
      <c r="D8" s="37" t="str">
        <f>Sheet3!C7&amp;"±"&amp;Sheet3!D7</f>
        <v>77±61.6</v>
      </c>
      <c r="E8" s="37" t="str">
        <f>Sheet3!E7&amp;"±"&amp;Sheet3!F7</f>
        <v>150.2±58.1</v>
      </c>
      <c r="F8" s="37" t="str">
        <f>Sheet3!G7&amp;"±"&amp;Sheet3!H7</f>
        <v>277.9±199.9</v>
      </c>
      <c r="G8" s="37" t="str">
        <f>Sheet3!I7&amp;"±"&amp;Sheet3!J7</f>
        <v>168.5±102.8</v>
      </c>
      <c r="H8" s="37" t="str">
        <f>Sheet3!K7&amp;"±"&amp;Sheet3!L7</f>
        <v>99.3±74.4</v>
      </c>
    </row>
    <row r="9" spans="1:10" x14ac:dyDescent="0.35">
      <c r="A9" s="5">
        <v>7</v>
      </c>
      <c r="B9" s="5" t="s">
        <v>14</v>
      </c>
      <c r="C9" s="6" t="s">
        <v>236</v>
      </c>
      <c r="D9" s="37" t="str">
        <f>Sheet3!C8&amp;"±"&amp;Sheet3!D8</f>
        <v>74±83.7</v>
      </c>
      <c r="E9" s="37" t="str">
        <f>Sheet3!E8&amp;"±"&amp;Sheet3!F8</f>
        <v>38.5±42.5</v>
      </c>
      <c r="F9" s="37" t="str">
        <f>Sheet3!G8&amp;"±"&amp;Sheet3!H8</f>
        <v>125.1±141.9</v>
      </c>
      <c r="G9" s="37" t="str">
        <f>Sheet3!I8&amp;"±"&amp;Sheet3!J8</f>
        <v>182.5±114.3</v>
      </c>
      <c r="H9" s="37" t="str">
        <f>Sheet3!K8&amp;"±"&amp;Sheet3!L8</f>
        <v>126.6±188.2</v>
      </c>
    </row>
    <row r="10" spans="1:10" x14ac:dyDescent="0.35">
      <c r="A10" s="5">
        <v>8</v>
      </c>
      <c r="B10" s="5" t="s">
        <v>184</v>
      </c>
      <c r="C10" s="6" t="s">
        <v>236</v>
      </c>
      <c r="D10" s="37" t="str">
        <f>Sheet3!C9&amp;"±"&amp;Sheet3!D9</f>
        <v>128±90.8</v>
      </c>
      <c r="E10" s="37" t="str">
        <f>Sheet3!E9&amp;"±"&amp;Sheet3!F9</f>
        <v>6.6±2.8</v>
      </c>
      <c r="F10" s="37" t="str">
        <f>Sheet3!G9&amp;"±"&amp;Sheet3!H9</f>
        <v>24.1±21.2</v>
      </c>
      <c r="G10" s="37" t="str">
        <f>Sheet3!I9&amp;"±"&amp;Sheet3!J9</f>
        <v>14.9±9.6</v>
      </c>
      <c r="H10" s="37" t="str">
        <f>Sheet3!K9&amp;"±"&amp;Sheet3!L9</f>
        <v>10.8±10.7</v>
      </c>
    </row>
    <row r="11" spans="1:10" x14ac:dyDescent="0.35">
      <c r="A11" s="5">
        <v>9</v>
      </c>
      <c r="B11" s="5" t="s">
        <v>152</v>
      </c>
      <c r="C11" s="6" t="s">
        <v>236</v>
      </c>
      <c r="D11" s="37" t="str">
        <f>Sheet3!C10&amp;"±"&amp;Sheet3!D10</f>
        <v>279±100.6</v>
      </c>
      <c r="E11" s="37" t="str">
        <f>Sheet3!E10&amp;"±"&amp;Sheet3!F10</f>
        <v>214.1±48.5</v>
      </c>
      <c r="F11" s="37" t="str">
        <f>Sheet3!G10&amp;"±"&amp;Sheet3!H10</f>
        <v>427.1±236.5</v>
      </c>
      <c r="G11" s="37" t="str">
        <f>Sheet3!I10&amp;"±"&amp;Sheet3!J10</f>
        <v>365.9±173.1</v>
      </c>
      <c r="H11" s="37" t="str">
        <f>Sheet3!K10&amp;"±"&amp;Sheet3!L10</f>
        <v>236.7±68.9</v>
      </c>
    </row>
    <row r="12" spans="1:10" x14ac:dyDescent="0.35">
      <c r="A12" s="5">
        <v>10</v>
      </c>
      <c r="B12" s="5" t="s">
        <v>15</v>
      </c>
      <c r="C12" s="6" t="s">
        <v>236</v>
      </c>
      <c r="D12" s="37" t="str">
        <f>Sheet3!C11&amp;"±"&amp;Sheet3!D11</f>
        <v>72.3±14.7</v>
      </c>
      <c r="E12" s="37" t="str">
        <f>Sheet3!E11&amp;"±"&amp;Sheet3!F11</f>
        <v>55.5±26.3</v>
      </c>
      <c r="F12" s="37" t="str">
        <f>Sheet3!G11&amp;"±"&amp;Sheet3!H11</f>
        <v>19.3±7.9</v>
      </c>
      <c r="G12" s="37" t="str">
        <f>Sheet3!I11&amp;"±"&amp;Sheet3!J11</f>
        <v>25.9±9.1</v>
      </c>
      <c r="H12" s="37" t="str">
        <f>Sheet3!K11&amp;"±"&amp;Sheet3!L11</f>
        <v>24.1±12.8</v>
      </c>
    </row>
    <row r="13" spans="1:10" x14ac:dyDescent="0.35">
      <c r="A13" s="5">
        <v>11</v>
      </c>
      <c r="B13" s="5" t="s">
        <v>163</v>
      </c>
      <c r="C13" s="6" t="s">
        <v>236</v>
      </c>
      <c r="D13" s="37" t="str">
        <f>Sheet3!C12&amp;"±"&amp;Sheet3!D12</f>
        <v>NA±NA</v>
      </c>
      <c r="E13" s="37" t="str">
        <f>Sheet3!E12&amp;"±"&amp;Sheet3!F12</f>
        <v>30.1±17.6</v>
      </c>
      <c r="F13" s="37" t="str">
        <f>Sheet3!G12&amp;"±"&amp;Sheet3!H12</f>
        <v>10.5±3.1</v>
      </c>
      <c r="G13" s="37" t="str">
        <f>Sheet3!I12&amp;"±"&amp;Sheet3!J12</f>
        <v>5.8±8.5</v>
      </c>
      <c r="H13" s="37" t="str">
        <f>Sheet3!K12&amp;"±"&amp;Sheet3!L12</f>
        <v>16.7±10.3</v>
      </c>
    </row>
    <row r="14" spans="1:10" x14ac:dyDescent="0.35">
      <c r="A14" s="5">
        <v>12</v>
      </c>
      <c r="B14" s="5" t="s">
        <v>16</v>
      </c>
      <c r="C14" s="6" t="s">
        <v>236</v>
      </c>
      <c r="D14" s="37" t="str">
        <f>Sheet3!C13&amp;"±"&amp;Sheet3!D13</f>
        <v>2.2±2.2</v>
      </c>
      <c r="E14" s="37" t="str">
        <f>Sheet3!E13&amp;"±"&amp;Sheet3!F13</f>
        <v>2.6±6</v>
      </c>
      <c r="F14" s="37" t="str">
        <f>Sheet3!G13&amp;"±"&amp;Sheet3!H13</f>
        <v>0.6±0.9</v>
      </c>
      <c r="G14" s="37" t="str">
        <f>Sheet3!I13&amp;"±"&amp;Sheet3!J13</f>
        <v>0.9±1.1</v>
      </c>
      <c r="H14" s="37" t="str">
        <f>Sheet3!K13&amp;"±"&amp;Sheet3!L13</f>
        <v>2±2</v>
      </c>
      <c r="J14" s="32"/>
    </row>
    <row r="15" spans="1:10" x14ac:dyDescent="0.35">
      <c r="A15" s="5">
        <v>13</v>
      </c>
      <c r="B15" s="5" t="s">
        <v>164</v>
      </c>
      <c r="C15" s="6" t="s">
        <v>236</v>
      </c>
      <c r="D15" s="37" t="str">
        <f>Sheet3!C14&amp;"±"&amp;Sheet3!D14</f>
        <v>0.7±1</v>
      </c>
      <c r="E15" s="37" t="str">
        <f>Sheet3!E14&amp;"±"&amp;Sheet3!F14</f>
        <v>1.7±3.7</v>
      </c>
      <c r="F15" s="37" t="str">
        <f>Sheet3!G14&amp;"±"&amp;Sheet3!H14</f>
        <v>0.3±0.5</v>
      </c>
      <c r="G15" s="37" t="str">
        <f>Sheet3!I14&amp;"±"&amp;Sheet3!J14</f>
        <v>0.3±0.8</v>
      </c>
      <c r="H15" s="37" t="str">
        <f>Sheet3!K14&amp;"±"&amp;Sheet3!L14</f>
        <v>0±1</v>
      </c>
    </row>
    <row r="16" spans="1:10" x14ac:dyDescent="0.35">
      <c r="A16" s="5">
        <v>14</v>
      </c>
      <c r="B16" s="5" t="s">
        <v>170</v>
      </c>
      <c r="C16" s="6" t="s">
        <v>236</v>
      </c>
      <c r="D16" s="37" t="str">
        <f>Sheet3!C15&amp;"±"&amp;Sheet3!D15</f>
        <v>211.4±151.6</v>
      </c>
      <c r="E16" s="37" t="str">
        <f>Sheet3!E15&amp;"±"&amp;Sheet3!F15</f>
        <v>139.7±73.1</v>
      </c>
      <c r="F16" s="37" t="str">
        <f>Sheet3!G15&amp;"±"&amp;Sheet3!H15</f>
        <v>2±2.2</v>
      </c>
      <c r="G16" s="37" t="str">
        <f>Sheet3!I15&amp;"±"&amp;Sheet3!J15</f>
        <v>126.9±77.5</v>
      </c>
      <c r="H16" s="37" t="str">
        <f>Sheet3!K15&amp;"±"&amp;Sheet3!L15</f>
        <v>0.6±1.3</v>
      </c>
    </row>
    <row r="17" spans="1:8" x14ac:dyDescent="0.35">
      <c r="A17" s="5">
        <v>15</v>
      </c>
      <c r="B17" s="5" t="s">
        <v>171</v>
      </c>
      <c r="C17" s="6" t="s">
        <v>236</v>
      </c>
      <c r="D17" s="37" t="str">
        <f>Sheet3!C16&amp;"±"&amp;Sheet3!D16</f>
        <v>150±133.5</v>
      </c>
      <c r="E17" s="37" t="str">
        <f>Sheet3!E16&amp;"±"&amp;Sheet3!F16</f>
        <v>59.3±449.7</v>
      </c>
      <c r="F17" s="37" t="str">
        <f>Sheet3!G16&amp;"±"&amp;Sheet3!H16</f>
        <v>0.6±1</v>
      </c>
      <c r="G17" s="37" t="str">
        <f>Sheet3!I16&amp;"±"&amp;Sheet3!J16</f>
        <v>29.2±39.6</v>
      </c>
      <c r="H17" s="37" t="str">
        <f>Sheet3!K16&amp;"±"&amp;Sheet3!L16</f>
        <v>0±0.1</v>
      </c>
    </row>
    <row r="18" spans="1:8" x14ac:dyDescent="0.35">
      <c r="A18" s="5">
        <v>16</v>
      </c>
      <c r="B18" s="5" t="s">
        <v>17</v>
      </c>
      <c r="C18" s="6" t="s">
        <v>236</v>
      </c>
      <c r="D18" s="37" t="str">
        <f>Sheet3!C17&amp;"±"&amp;Sheet3!D17</f>
        <v>5.2±2.9</v>
      </c>
      <c r="E18" s="37" t="str">
        <f>Sheet3!E17&amp;"±"&amp;Sheet3!F17</f>
        <v>5.5±12.7</v>
      </c>
      <c r="F18" s="37" t="str">
        <f>Sheet3!G17&amp;"±"&amp;Sheet3!H17</f>
        <v>0.2±0.2</v>
      </c>
      <c r="G18" s="37" t="str">
        <f>Sheet3!I17&amp;"±"&amp;Sheet3!J17</f>
        <v>5.7±3.2</v>
      </c>
      <c r="H18" s="37" t="str">
        <f>Sheet3!K17&amp;"±"&amp;Sheet3!L17</f>
        <v>0±0</v>
      </c>
    </row>
    <row r="19" spans="1:8" x14ac:dyDescent="0.35">
      <c r="A19" s="5">
        <v>17</v>
      </c>
      <c r="B19" s="5" t="s">
        <v>18</v>
      </c>
      <c r="C19" s="6" t="s">
        <v>236</v>
      </c>
      <c r="D19" s="37" t="str">
        <f>Sheet3!C18&amp;"±"&amp;Sheet3!D18</f>
        <v>66.4±37.1</v>
      </c>
      <c r="E19" s="37" t="str">
        <f>Sheet3!E18&amp;"±"&amp;Sheet3!F18</f>
        <v>18.5±42.5</v>
      </c>
      <c r="F19" s="37" t="str">
        <f>Sheet3!G18&amp;"±"&amp;Sheet3!H18</f>
        <v>0±0</v>
      </c>
      <c r="G19" s="37" t="str">
        <f>Sheet3!I18&amp;"±"&amp;Sheet3!J18</f>
        <v>0±0</v>
      </c>
      <c r="H19" s="37" t="str">
        <f>Sheet3!K18&amp;"±"&amp;Sheet3!L18</f>
        <v>0.1±0.1</v>
      </c>
    </row>
    <row r="20" spans="1:8" x14ac:dyDescent="0.35">
      <c r="A20" s="5">
        <v>18</v>
      </c>
      <c r="B20" s="5" t="s">
        <v>161</v>
      </c>
      <c r="C20" s="6" t="s">
        <v>236</v>
      </c>
      <c r="D20" s="37" t="str">
        <f>Sheet3!C19&amp;"±"&amp;Sheet3!D19</f>
        <v>289.8±162</v>
      </c>
      <c r="E20" s="37" t="str">
        <f>Sheet3!E19&amp;"±"&amp;Sheet3!F19</f>
        <v>175±400.4</v>
      </c>
      <c r="F20" s="37" t="str">
        <f>Sheet3!G19&amp;"±"&amp;Sheet3!H19</f>
        <v>2.3±2.2</v>
      </c>
      <c r="G20" s="37" t="str">
        <f>Sheet3!I19&amp;"±"&amp;Sheet3!J19</f>
        <v>150.4±83.9</v>
      </c>
      <c r="H20" s="37" t="str">
        <f>Sheet3!K19&amp;"±"&amp;Sheet3!L19</f>
        <v>0.5±1.1</v>
      </c>
    </row>
    <row r="21" spans="1:8" x14ac:dyDescent="0.35">
      <c r="A21" s="5">
        <v>19</v>
      </c>
      <c r="B21" s="5" t="s">
        <v>162</v>
      </c>
      <c r="C21" s="6" t="s">
        <v>236</v>
      </c>
      <c r="D21" s="37" t="str">
        <f>Sheet3!C20&amp;"±"&amp;Sheet3!D20</f>
        <v>76.1±54.6</v>
      </c>
      <c r="E21" s="37" t="str">
        <f>Sheet3!E20&amp;"±"&amp;Sheet3!F20</f>
        <v>50.3±26.3</v>
      </c>
      <c r="F21" s="37" t="str">
        <f>Sheet3!G20&amp;"±"&amp;Sheet3!H20</f>
        <v>0.7±0.8</v>
      </c>
      <c r="G21" s="37" t="str">
        <f>Sheet3!I20&amp;"±"&amp;Sheet3!J20</f>
        <v>45.7±27.9</v>
      </c>
      <c r="H21" s="37" t="str">
        <f>Sheet3!K20&amp;"±"&amp;Sheet3!L20</f>
        <v>0.2±0.5</v>
      </c>
    </row>
    <row r="22" spans="1:8" x14ac:dyDescent="0.35">
      <c r="A22" s="5">
        <v>20</v>
      </c>
      <c r="B22" s="5" t="s">
        <v>179</v>
      </c>
      <c r="C22" s="6" t="s">
        <v>236</v>
      </c>
      <c r="D22" s="37" t="str">
        <f>Sheet3!C21&amp;"±"&amp;Sheet3!D21</f>
        <v>61.1±12.3</v>
      </c>
      <c r="E22" s="37" t="str">
        <f>Sheet3!E21&amp;"±"&amp;Sheet3!F21</f>
        <v>40.7±14.1</v>
      </c>
      <c r="F22" s="37" t="str">
        <f>Sheet3!G21&amp;"±"&amp;Sheet3!H21</f>
        <v>65.3±14.8</v>
      </c>
      <c r="G22" s="37" t="str">
        <f>Sheet3!I21&amp;"±"&amp;Sheet3!J21</f>
        <v>58.1±15.9</v>
      </c>
      <c r="H22" s="37" t="str">
        <f>Sheet3!K21&amp;"±"&amp;Sheet3!L21</f>
        <v>35±8.4</v>
      </c>
    </row>
    <row r="23" spans="1:8" x14ac:dyDescent="0.35">
      <c r="A23" s="5">
        <v>21</v>
      </c>
      <c r="B23" s="5" t="s">
        <v>223</v>
      </c>
      <c r="C23" s="6" t="s">
        <v>245</v>
      </c>
      <c r="D23" s="37" t="e">
        <f>Sheet3!C22&amp;"±"&amp;Sheet3!D22</f>
        <v>#REF!</v>
      </c>
      <c r="E23" s="37" t="e">
        <f>Sheet3!E22&amp;"±"&amp;Sheet3!F22</f>
        <v>#REF!</v>
      </c>
      <c r="F23" s="37" t="e">
        <f>Sheet3!G22&amp;"±"&amp;Sheet3!H22</f>
        <v>#REF!</v>
      </c>
      <c r="G23" s="37" t="e">
        <f>Sheet3!I22&amp;"±"&amp;Sheet3!J22</f>
        <v>#REF!</v>
      </c>
      <c r="H23" s="37" t="e">
        <f>Sheet3!K22&amp;"±"&amp;Sheet3!L22</f>
        <v>#REF!</v>
      </c>
    </row>
    <row r="24" spans="1:8" x14ac:dyDescent="0.35">
      <c r="A24" s="5">
        <v>22</v>
      </c>
      <c r="B24" s="5" t="s">
        <v>224</v>
      </c>
      <c r="C24" s="6" t="s">
        <v>245</v>
      </c>
      <c r="D24" s="37"/>
      <c r="E24" s="37" t="e">
        <f>Sheet3!E23&amp;"±"&amp;Sheet3!F23</f>
        <v>#REF!</v>
      </c>
      <c r="F24" s="37" t="e">
        <f>Sheet3!G23&amp;"±"&amp;Sheet3!H23</f>
        <v>#REF!</v>
      </c>
      <c r="G24" s="37" t="e">
        <f>Sheet3!I23&amp;"±"&amp;Sheet3!J23</f>
        <v>#REF!</v>
      </c>
      <c r="H24" s="37" t="e">
        <f>Sheet3!K23&amp;"±"&amp;Sheet3!L23</f>
        <v>#REF!</v>
      </c>
    </row>
    <row r="25" spans="1:8" x14ac:dyDescent="0.35">
      <c r="A25" s="5">
        <v>23</v>
      </c>
      <c r="B25" s="5" t="s">
        <v>225</v>
      </c>
      <c r="C25" s="6" t="s">
        <v>245</v>
      </c>
      <c r="D25" s="37" t="e">
        <f>Sheet3!C24&amp;"±"&amp;Sheet3!D24</f>
        <v>#REF!</v>
      </c>
      <c r="E25" s="37" t="e">
        <f>Sheet3!E24&amp;"±"&amp;Sheet3!F24</f>
        <v>#REF!</v>
      </c>
      <c r="F25" s="37" t="e">
        <f>Sheet3!G24&amp;"±"&amp;Sheet3!H24</f>
        <v>#REF!</v>
      </c>
      <c r="G25" s="37" t="e">
        <f>Sheet3!I24&amp;"±"&amp;Sheet3!J24</f>
        <v>#REF!</v>
      </c>
      <c r="H25" s="37" t="e">
        <f>Sheet3!K24&amp;"±"&amp;Sheet3!L24</f>
        <v>#REF!</v>
      </c>
    </row>
    <row r="26" spans="1:8" x14ac:dyDescent="0.35">
      <c r="A26" s="5">
        <v>24</v>
      </c>
      <c r="B26" s="5" t="s">
        <v>226</v>
      </c>
      <c r="C26" s="6" t="s">
        <v>245</v>
      </c>
      <c r="D26" s="37" t="e">
        <f>Sheet3!C25&amp;"±"&amp;Sheet3!D25</f>
        <v>#REF!</v>
      </c>
      <c r="E26" s="37" t="e">
        <f>Sheet3!E25&amp;"±"&amp;Sheet3!F25</f>
        <v>#REF!</v>
      </c>
      <c r="F26" s="37" t="e">
        <f>Sheet3!G25&amp;"±"&amp;Sheet3!H25</f>
        <v>#REF!</v>
      </c>
      <c r="G26" s="37" t="e">
        <f>Sheet3!I25&amp;"±"&amp;Sheet3!J25</f>
        <v>#REF!</v>
      </c>
      <c r="H26" s="37" t="e">
        <f>Sheet3!K25&amp;"±"&amp;Sheet3!L25</f>
        <v>#REF!</v>
      </c>
    </row>
    <row r="27" spans="1:8" x14ac:dyDescent="0.35">
      <c r="A27" s="5">
        <v>25</v>
      </c>
      <c r="B27" s="5" t="s">
        <v>227</v>
      </c>
      <c r="C27" s="6" t="s">
        <v>245</v>
      </c>
      <c r="D27" s="37" t="e">
        <f>Sheet3!C26&amp;"±"&amp;Sheet3!D26</f>
        <v>#REF!</v>
      </c>
      <c r="E27" s="37" t="e">
        <f>Sheet3!E26&amp;"±"&amp;Sheet3!F26</f>
        <v>#REF!</v>
      </c>
      <c r="F27" s="37" t="e">
        <f>Sheet3!G26&amp;"±"&amp;Sheet3!H26</f>
        <v>#REF!</v>
      </c>
      <c r="G27" s="37" t="e">
        <f>Sheet3!I26&amp;"±"&amp;Sheet3!J26</f>
        <v>#REF!</v>
      </c>
      <c r="H27" s="37" t="e">
        <f>Sheet3!K26&amp;"±"&amp;Sheet3!L26</f>
        <v>#REF!</v>
      </c>
    </row>
    <row r="28" spans="1:8" x14ac:dyDescent="0.35">
      <c r="A28" s="5">
        <v>26</v>
      </c>
      <c r="B28" s="5" t="s">
        <v>228</v>
      </c>
      <c r="C28" s="6" t="s">
        <v>245</v>
      </c>
      <c r="D28" s="37" t="e">
        <f>Sheet3!C27&amp;"±"&amp;Sheet3!D27</f>
        <v>#REF!</v>
      </c>
      <c r="E28" s="37" t="e">
        <f>Sheet3!E27&amp;"±"&amp;Sheet3!F27</f>
        <v>#REF!</v>
      </c>
      <c r="F28" s="37" t="e">
        <f>Sheet3!G27&amp;"±"&amp;Sheet3!H27</f>
        <v>#REF!</v>
      </c>
      <c r="G28" s="37" t="e">
        <f>Sheet3!I27&amp;"±"&amp;Sheet3!J27</f>
        <v>#REF!</v>
      </c>
      <c r="H28" s="37" t="e">
        <f>Sheet3!K27&amp;"±"&amp;Sheet3!L27</f>
        <v>#REF!</v>
      </c>
    </row>
    <row r="29" spans="1:8" x14ac:dyDescent="0.35">
      <c r="A29" s="5">
        <v>27</v>
      </c>
      <c r="B29" s="5" t="s">
        <v>229</v>
      </c>
      <c r="C29" s="6" t="s">
        <v>245</v>
      </c>
      <c r="D29" s="37" t="e">
        <f>Sheet3!C28&amp;"±"&amp;Sheet3!D28</f>
        <v>#REF!</v>
      </c>
      <c r="E29" s="37" t="e">
        <f>Sheet3!E28&amp;"±"&amp;Sheet3!F28</f>
        <v>#REF!</v>
      </c>
      <c r="F29" s="37" t="e">
        <f>Sheet3!G28&amp;"±"&amp;Sheet3!H28</f>
        <v>#REF!</v>
      </c>
      <c r="G29" s="37" t="e">
        <f>Sheet3!I28&amp;"±"&amp;Sheet3!J28</f>
        <v>#REF!</v>
      </c>
      <c r="H29" s="37" t="e">
        <f>Sheet3!K28&amp;"±"&amp;Sheet3!L28</f>
        <v>#REF!</v>
      </c>
    </row>
    <row r="30" spans="1:8" x14ac:dyDescent="0.35">
      <c r="A30" s="5">
        <v>28</v>
      </c>
      <c r="B30" s="5" t="s">
        <v>230</v>
      </c>
      <c r="C30" s="6" t="s">
        <v>245</v>
      </c>
      <c r="D30" s="37" t="e">
        <f>Sheet3!C29&amp;"±"&amp;Sheet3!D29</f>
        <v>#REF!</v>
      </c>
      <c r="E30" s="37" t="e">
        <f>Sheet3!E29&amp;"±"&amp;Sheet3!F29</f>
        <v>#REF!</v>
      </c>
      <c r="F30" s="37" t="e">
        <f>Sheet3!G29&amp;"±"&amp;Sheet3!H29</f>
        <v>#REF!</v>
      </c>
      <c r="G30" s="37" t="e">
        <f>Sheet3!I29&amp;"±"&amp;Sheet3!J29</f>
        <v>#REF!</v>
      </c>
      <c r="H30" s="37" t="e">
        <f>Sheet3!K29&amp;"±"&amp;Sheet3!L29</f>
        <v>#REF!</v>
      </c>
    </row>
    <row r="31" spans="1:8" x14ac:dyDescent="0.35">
      <c r="A31" s="5">
        <v>29</v>
      </c>
      <c r="B31" s="5" t="s">
        <v>231</v>
      </c>
      <c r="C31" s="6" t="s">
        <v>245</v>
      </c>
      <c r="D31" s="37" t="e">
        <f>Sheet3!C30&amp;"±"&amp;Sheet3!D30</f>
        <v>#REF!</v>
      </c>
      <c r="E31" s="37" t="e">
        <f>Sheet3!E30&amp;"±"&amp;Sheet3!F30</f>
        <v>#REF!</v>
      </c>
      <c r="F31" s="37" t="e">
        <f>Sheet3!G30&amp;"±"&amp;Sheet3!H30</f>
        <v>#REF!</v>
      </c>
      <c r="G31" s="37" t="e">
        <f>Sheet3!I30&amp;"±"&amp;Sheet3!J30</f>
        <v>#REF!</v>
      </c>
      <c r="H31" s="37" t="e">
        <f>Sheet3!K30&amp;"±"&amp;Sheet3!L30</f>
        <v>#REF!</v>
      </c>
    </row>
    <row r="32" spans="1:8" x14ac:dyDescent="0.35">
      <c r="A32" s="5">
        <v>30</v>
      </c>
      <c r="B32" s="5" t="s">
        <v>232</v>
      </c>
      <c r="C32" s="6" t="s">
        <v>245</v>
      </c>
      <c r="D32" s="37" t="e">
        <f>Sheet3!C31&amp;"±"&amp;Sheet3!D31</f>
        <v>#REF!</v>
      </c>
      <c r="E32" s="37" t="e">
        <f>Sheet3!E31&amp;"±"&amp;Sheet3!F31</f>
        <v>#REF!</v>
      </c>
      <c r="F32" s="37" t="e">
        <f>Sheet3!G31&amp;"±"&amp;Sheet3!H31</f>
        <v>#REF!</v>
      </c>
      <c r="G32" s="37" t="e">
        <f>Sheet3!I31&amp;"±"&amp;Sheet3!J31</f>
        <v>#REF!</v>
      </c>
      <c r="H32" s="37" t="e">
        <f>Sheet3!K31&amp;"±"&amp;Sheet3!L31</f>
        <v>#REF!</v>
      </c>
    </row>
    <row r="33" spans="1:13" x14ac:dyDescent="0.35">
      <c r="A33" s="5">
        <v>31</v>
      </c>
      <c r="B33" s="5" t="s">
        <v>233</v>
      </c>
      <c r="C33" s="6" t="s">
        <v>245</v>
      </c>
      <c r="D33" s="37" t="e">
        <f>Sheet3!C32&amp;"±"&amp;Sheet3!D32</f>
        <v>#REF!</v>
      </c>
      <c r="E33" s="37" t="e">
        <f>Sheet3!E32&amp;"±"&amp;Sheet3!F32</f>
        <v>#REF!</v>
      </c>
      <c r="F33" s="37" t="e">
        <f>Sheet3!G32&amp;"±"&amp;Sheet3!H32</f>
        <v>#REF!</v>
      </c>
      <c r="G33" s="37" t="e">
        <f>Sheet3!I32&amp;"±"&amp;Sheet3!J32</f>
        <v>#REF!</v>
      </c>
      <c r="H33" s="37" t="e">
        <f>Sheet3!K32&amp;"±"&amp;Sheet3!L32</f>
        <v>#REF!</v>
      </c>
    </row>
    <row r="34" spans="1:13" x14ac:dyDescent="0.35">
      <c r="A34" s="5">
        <v>32</v>
      </c>
      <c r="B34" s="5" t="s">
        <v>234</v>
      </c>
      <c r="C34" s="6" t="s">
        <v>245</v>
      </c>
      <c r="D34" s="37" t="e">
        <f>Sheet3!C33&amp;"±"&amp;Sheet3!D33</f>
        <v>#REF!</v>
      </c>
      <c r="E34" s="37" t="e">
        <f>Sheet3!E33&amp;"±"&amp;Sheet3!F33</f>
        <v>#REF!</v>
      </c>
      <c r="F34" s="37" t="e">
        <f>Sheet3!G33&amp;"±"&amp;Sheet3!H33</f>
        <v>#REF!</v>
      </c>
      <c r="G34" s="37" t="e">
        <f>Sheet3!I33&amp;"±"&amp;Sheet3!J33</f>
        <v>#REF!</v>
      </c>
      <c r="H34" s="37" t="e">
        <f>Sheet3!K33&amp;"±"&amp;Sheet3!L33</f>
        <v>#REF!</v>
      </c>
    </row>
    <row r="35" spans="1:13" x14ac:dyDescent="0.35">
      <c r="A35" s="5">
        <v>33</v>
      </c>
      <c r="B35" s="5" t="s">
        <v>235</v>
      </c>
      <c r="C35" s="6" t="s">
        <v>245</v>
      </c>
      <c r="D35" s="37" t="e">
        <f>Sheet3!C34&amp;"±"&amp;Sheet3!D34</f>
        <v>#REF!</v>
      </c>
      <c r="E35" s="37" t="e">
        <f>Sheet3!E34&amp;"±"&amp;Sheet3!F34</f>
        <v>#REF!</v>
      </c>
      <c r="F35" s="37" t="e">
        <f>Sheet3!G34&amp;"±"&amp;Sheet3!H34</f>
        <v>#REF!</v>
      </c>
      <c r="G35" s="37" t="e">
        <f>Sheet3!I34&amp;"±"&amp;Sheet3!J34</f>
        <v>#REF!</v>
      </c>
      <c r="H35" s="37" t="e">
        <f>Sheet3!K34&amp;"±"&amp;Sheet3!L34</f>
        <v>#REF!</v>
      </c>
    </row>
    <row r="36" spans="1:13" x14ac:dyDescent="0.35">
      <c r="D36" s="38"/>
      <c r="E36" s="38"/>
      <c r="F36" s="38"/>
      <c r="G36" s="38"/>
      <c r="H36" s="38"/>
    </row>
    <row r="37" spans="1:13" ht="26" x14ac:dyDescent="0.6">
      <c r="A37" s="7" t="s">
        <v>19</v>
      </c>
      <c r="B37" s="8"/>
      <c r="C37" s="8"/>
      <c r="D37" s="39"/>
      <c r="E37" s="38"/>
      <c r="F37" s="38"/>
      <c r="G37" s="38"/>
      <c r="H37" s="38"/>
    </row>
    <row r="38" spans="1:13" x14ac:dyDescent="0.35">
      <c r="A38" s="9">
        <v>1</v>
      </c>
      <c r="B38" s="9" t="s">
        <v>20</v>
      </c>
      <c r="C38" s="10" t="s">
        <v>21</v>
      </c>
      <c r="D38" s="39">
        <v>10.240493000000001</v>
      </c>
      <c r="E38" s="39">
        <v>9.8974919999999997</v>
      </c>
      <c r="F38" s="39">
        <v>13.090223999999999</v>
      </c>
      <c r="G38" s="39">
        <v>12.122057</v>
      </c>
      <c r="H38" s="39">
        <v>10.688394000000001</v>
      </c>
    </row>
    <row r="39" spans="1:13" x14ac:dyDescent="0.35">
      <c r="A39" s="9">
        <v>2</v>
      </c>
      <c r="B39" s="9" t="s">
        <v>181</v>
      </c>
      <c r="C39" s="10" t="s">
        <v>21</v>
      </c>
      <c r="D39" s="39">
        <v>9.3974150000000005</v>
      </c>
      <c r="E39" s="39">
        <v>7.9157019999999996</v>
      </c>
      <c r="F39" s="39">
        <v>11.465439</v>
      </c>
      <c r="G39" s="39">
        <v>9.6527419999999999</v>
      </c>
      <c r="H39" s="39">
        <v>7.9416000000000002</v>
      </c>
    </row>
    <row r="40" spans="1:13" x14ac:dyDescent="0.35">
      <c r="A40" s="9">
        <v>3</v>
      </c>
      <c r="B40" s="9" t="s">
        <v>168</v>
      </c>
      <c r="C40" s="10" t="s">
        <v>21</v>
      </c>
      <c r="D40" s="39">
        <v>5.7369500000000002</v>
      </c>
      <c r="E40" s="39">
        <v>2.8820000000000001</v>
      </c>
      <c r="F40" s="39">
        <v>4.9303999999999997</v>
      </c>
      <c r="G40" s="39">
        <v>8.3413350000000008</v>
      </c>
      <c r="H40" s="39">
        <v>1.8084</v>
      </c>
    </row>
    <row r="41" spans="1:13" x14ac:dyDescent="0.35">
      <c r="A41" s="9">
        <v>4</v>
      </c>
      <c r="B41" s="9" t="s">
        <v>190</v>
      </c>
      <c r="C41" s="10" t="s">
        <v>191</v>
      </c>
      <c r="D41" s="39">
        <v>884.26319999999998</v>
      </c>
      <c r="E41" s="39">
        <v>1501.6922999999999</v>
      </c>
      <c r="F41" s="39">
        <v>1046.5</v>
      </c>
      <c r="G41" s="39">
        <v>449.5</v>
      </c>
      <c r="H41" s="39">
        <v>2635.1</v>
      </c>
    </row>
    <row r="42" spans="1:13" x14ac:dyDescent="0.35">
      <c r="A42" s="9">
        <v>5</v>
      </c>
      <c r="B42" s="8" t="s">
        <v>160</v>
      </c>
      <c r="C42" s="10" t="s">
        <v>237</v>
      </c>
      <c r="D42" s="39">
        <f>InputsNZ!D48*(106/16)*12</f>
        <v>25.962123782202831</v>
      </c>
      <c r="E42" s="39">
        <f>InputsNZ!F48*(106/16)*12</f>
        <v>24.681550695020007</v>
      </c>
      <c r="F42" s="39">
        <f>InputsNZ!H48*(106/16)*12</f>
        <v>0.58164248243608585</v>
      </c>
      <c r="G42" s="39">
        <f>InputsNZ!J48*(106/16)*12</f>
        <v>37.675504330357036</v>
      </c>
      <c r="H42" s="39">
        <f>InputsNZ!L48*(106/16)*12</f>
        <v>1.5373586731267935E-2</v>
      </c>
    </row>
    <row r="43" spans="1:13" x14ac:dyDescent="0.35">
      <c r="A43" s="9">
        <v>6</v>
      </c>
      <c r="B43" s="8" t="s">
        <v>22</v>
      </c>
      <c r="C43" s="10" t="s">
        <v>238</v>
      </c>
      <c r="D43" s="39">
        <f>InputsNZ!D49*(106/16)*12</f>
        <v>193.37183916231453</v>
      </c>
      <c r="E43" s="39">
        <f>InputsNZ!F49*(106/16)*12</f>
        <v>296.16168113919974</v>
      </c>
      <c r="F43" s="39">
        <f>InputsNZ!H49*(106/16)*12</f>
        <v>384.66617089901268</v>
      </c>
      <c r="G43" s="39">
        <f>InputsNZ!J49*(106/16)*12</f>
        <v>110.81726519093968</v>
      </c>
      <c r="H43" s="39">
        <f>InputsNZ!L49*(106/16)*12</f>
        <v>685.09780520624236</v>
      </c>
    </row>
    <row r="44" spans="1:13" s="8" customFormat="1" x14ac:dyDescent="0.35">
      <c r="A44" s="9">
        <v>7</v>
      </c>
      <c r="B44" s="8" t="s">
        <v>24</v>
      </c>
      <c r="C44" s="10" t="s">
        <v>238</v>
      </c>
      <c r="D44" s="39">
        <f>InputsNZ!D50*(106/16)*12</f>
        <v>673.49471314294703</v>
      </c>
      <c r="E44" s="39">
        <f>InputsNZ!F50*(106/16)*12</f>
        <v>89.29817168566592</v>
      </c>
      <c r="F44" s="39">
        <f>InputsNZ!H50*(106/16)*12</f>
        <v>40.736162041336186</v>
      </c>
      <c r="G44" s="39">
        <f>InputsNZ!J50*(106/16)*12</f>
        <v>28.042283062121996</v>
      </c>
      <c r="H44" s="39">
        <f>InputsNZ!L50*(106/16)*12</f>
        <v>37.345668242130799</v>
      </c>
    </row>
    <row r="45" spans="1:13" s="8" customFormat="1" x14ac:dyDescent="0.35">
      <c r="A45" s="9">
        <v>8</v>
      </c>
      <c r="B45" s="8" t="s">
        <v>25</v>
      </c>
      <c r="C45" s="10" t="s">
        <v>238</v>
      </c>
      <c r="D45" s="39">
        <f>InputsNZ!D51*(106/16)*12</f>
        <v>425.94499579412752</v>
      </c>
      <c r="E45" s="39">
        <f>InputsNZ!F51*(106/16)*12</f>
        <v>274.89126361761106</v>
      </c>
      <c r="F45" s="39">
        <f>InputsNZ!H51*(106/16)*12</f>
        <v>341.44417306840728</v>
      </c>
      <c r="G45" s="39">
        <f>InputsNZ!J51*(106/16)*12</f>
        <v>313.27653942288089</v>
      </c>
      <c r="H45" s="39">
        <f>InputsNZ!L51*(106/16)*12</f>
        <v>241.74715488240264</v>
      </c>
    </row>
    <row r="46" spans="1:13" s="8" customFormat="1" x14ac:dyDescent="0.35">
      <c r="A46" s="9">
        <v>9</v>
      </c>
      <c r="B46" s="8" t="s">
        <v>26</v>
      </c>
      <c r="C46" s="10" t="s">
        <v>238</v>
      </c>
      <c r="D46" s="39">
        <f>InputsNZ!D52*(106/16)*12</f>
        <v>72.186731084907663</v>
      </c>
      <c r="E46" s="39">
        <f>InputsNZ!F52*(106/16)*12</f>
        <v>88.788444038681959</v>
      </c>
      <c r="F46" s="39">
        <f>InputsNZ!H52*(106/16)*12</f>
        <v>160.76737577047558</v>
      </c>
      <c r="G46" s="39">
        <f>InputsNZ!J52*(106/16)*12</f>
        <v>139.80213503702868</v>
      </c>
      <c r="H46" s="39">
        <f>InputsNZ!L52*(106/16)*12</f>
        <v>65.149318905399397</v>
      </c>
    </row>
    <row r="47" spans="1:13" x14ac:dyDescent="0.35">
      <c r="A47" s="9">
        <v>10</v>
      </c>
      <c r="B47" s="8" t="s">
        <v>27</v>
      </c>
      <c r="C47" s="10" t="s">
        <v>238</v>
      </c>
      <c r="D47" s="39">
        <f>InputsNZ!D53*(106/16)*12</f>
        <v>83.644271333430652</v>
      </c>
      <c r="E47" s="39">
        <f>InputsNZ!F53*(106/16)*12</f>
        <v>16.612850986200122</v>
      </c>
      <c r="F47" s="39">
        <f>InputsNZ!H53*(106/16)*12</f>
        <v>21.220128984539716</v>
      </c>
      <c r="G47" s="39">
        <f>InputsNZ!J53*(106/16)*12</f>
        <v>184.98603985840194</v>
      </c>
      <c r="H47" s="39">
        <f>InputsNZ!L53*(106/16)*12</f>
        <v>44.026255125438041</v>
      </c>
    </row>
    <row r="48" spans="1:13" x14ac:dyDescent="0.35">
      <c r="A48" s="9">
        <v>11</v>
      </c>
      <c r="B48" s="8" t="s">
        <v>28</v>
      </c>
      <c r="C48" s="10" t="s">
        <v>238</v>
      </c>
      <c r="D48" s="39">
        <f>InputsNZ!D54*(106/16)*12</f>
        <v>788.14543049999997</v>
      </c>
      <c r="E48" s="39">
        <f>InputsNZ!F54*(106/16)*12</f>
        <v>381.54490650000002</v>
      </c>
      <c r="F48" s="39">
        <f>InputsNZ!H54*(106/16)*12</f>
        <v>1079.3121134999999</v>
      </c>
      <c r="G48" s="39">
        <f>InputsNZ!J54*(106/16)*12</f>
        <v>525.62959350000006</v>
      </c>
      <c r="H48" s="39">
        <f>InputsNZ!L54*(106/16)*12</f>
        <v>93.434076300000001</v>
      </c>
      <c r="L48" s="28"/>
      <c r="M48" s="28"/>
    </row>
    <row r="49" spans="1:13" x14ac:dyDescent="0.35">
      <c r="A49" s="9">
        <v>12</v>
      </c>
      <c r="B49" s="8" t="s">
        <v>29</v>
      </c>
      <c r="C49" s="10" t="s">
        <v>238</v>
      </c>
      <c r="D49" s="39">
        <f>InputsNZ!D55*(106/16)*12</f>
        <v>671.34005549999995</v>
      </c>
      <c r="E49" s="39">
        <f>InputsNZ!F55*(106/16)*12</f>
        <v>1628.6542515000001</v>
      </c>
      <c r="F49" s="39">
        <f>InputsNZ!H55*(106/16)*12</f>
        <v>2341.0294245</v>
      </c>
      <c r="G49" s="39">
        <f>InputsNZ!J55*(106/16)*12</f>
        <v>899.7542085</v>
      </c>
      <c r="H49" s="39">
        <f>InputsNZ!L55*(106/16)*12</f>
        <v>913.90640099999996</v>
      </c>
      <c r="L49" s="28"/>
      <c r="M49" s="28"/>
    </row>
    <row r="50" spans="1:13" x14ac:dyDescent="0.35">
      <c r="A50" s="9">
        <v>13</v>
      </c>
      <c r="B50" s="8" t="s">
        <v>30</v>
      </c>
      <c r="C50" s="10" t="s">
        <v>238</v>
      </c>
      <c r="D50" s="39">
        <f>InputsNZ!D56*(106/16)*12</f>
        <v>19.043755950000001</v>
      </c>
      <c r="E50" s="39">
        <f>InputsNZ!F56*(106/16)*12</f>
        <v>62.881359750000001</v>
      </c>
      <c r="F50" s="39">
        <f>InputsNZ!H56*(106/16)*12</f>
        <v>37.277820300000002</v>
      </c>
      <c r="G50" s="39">
        <f>InputsNZ!J56*(106/16)*12</f>
        <v>18.455042550000002</v>
      </c>
      <c r="H50" s="39">
        <f>InputsNZ!L56*(106/16)*12</f>
        <v>95.839611149999996</v>
      </c>
    </row>
    <row r="51" spans="1:13" x14ac:dyDescent="0.35">
      <c r="A51" s="9">
        <v>14</v>
      </c>
      <c r="B51" s="8" t="s">
        <v>31</v>
      </c>
      <c r="C51" s="10" t="s">
        <v>238</v>
      </c>
      <c r="D51" s="39">
        <f>InputsNZ!D57*(106/16)*12</f>
        <v>328.48664624999992</v>
      </c>
      <c r="E51" s="39">
        <f>InputsNZ!F57*(106/16)*12</f>
        <v>311.35041330000001</v>
      </c>
      <c r="F51" s="39">
        <f>InputsNZ!H57*(106/16)*12</f>
        <v>217.54892774999996</v>
      </c>
      <c r="G51" s="39">
        <f>InputsNZ!J57*(106/16)*12</f>
        <v>117.77200754999998</v>
      </c>
      <c r="H51" s="39">
        <f>InputsNZ!L57*(106/16)*12</f>
        <v>98.681728199999995</v>
      </c>
    </row>
    <row r="52" spans="1:13" x14ac:dyDescent="0.35">
      <c r="A52" s="9">
        <v>15</v>
      </c>
      <c r="B52" s="8" t="s">
        <v>158</v>
      </c>
      <c r="C52" s="10" t="s">
        <v>238</v>
      </c>
      <c r="D52" s="39">
        <f>InputsNZ!D58*(106/16)*12</f>
        <v>25.614372000749995</v>
      </c>
      <c r="E52" s="39">
        <f>InputsNZ!F58*(106/16)*12</f>
        <v>1.05702054405</v>
      </c>
      <c r="F52" s="39">
        <f>InputsNZ!H58*(106/16)*12</f>
        <v>2.8335330374999999E-2</v>
      </c>
      <c r="G52" s="39">
        <f>InputsNZ!J58*(106/16)*12</f>
        <v>2.6748558075000002</v>
      </c>
      <c r="H52" s="39">
        <f>InputsNZ!L58*(106/16)*12</f>
        <v>25.705293487500001</v>
      </c>
    </row>
    <row r="53" spans="1:13" x14ac:dyDescent="0.35">
      <c r="A53" s="9">
        <v>16</v>
      </c>
      <c r="B53" s="8" t="s">
        <v>159</v>
      </c>
      <c r="C53" s="10" t="s">
        <v>238</v>
      </c>
      <c r="D53" s="39">
        <f>InputsNZ!D59*(106/16)*12</f>
        <v>2.8863993450000001</v>
      </c>
      <c r="E53" s="39">
        <f>InputsNZ!F59*(106/16)*12</f>
        <v>123.72830694749999</v>
      </c>
      <c r="F53" s="39">
        <f>InputsNZ!H59*(106/16)*12</f>
        <v>3.1916423774999991</v>
      </c>
      <c r="G53" s="39">
        <f>InputsNZ!J59*(106/16)*12</f>
        <v>8.5635452249999986</v>
      </c>
      <c r="H53" s="39">
        <f>InputsNZ!L59*(106/16)*12</f>
        <v>6.2192543924999999</v>
      </c>
    </row>
    <row r="54" spans="1:13" x14ac:dyDescent="0.35">
      <c r="A54" s="9">
        <v>17</v>
      </c>
      <c r="B54" s="8" t="s">
        <v>166</v>
      </c>
      <c r="C54" s="10" t="s">
        <v>238</v>
      </c>
      <c r="D54" s="39">
        <f>InputsNZ!D60*(106/16)*12</f>
        <v>817.28421310619115</v>
      </c>
      <c r="E54" s="39">
        <f>InputsNZ!F60*(106/16)*12</f>
        <v>279.15600744</v>
      </c>
      <c r="F54" s="39">
        <f>InputsNZ!H60*(106/16)*12</f>
        <v>5.9702605515000009</v>
      </c>
      <c r="G54" s="39">
        <f>InputsNZ!J60*(106/16)*12</f>
        <v>606.75572497799999</v>
      </c>
      <c r="H54" s="39">
        <f>InputsNZ!L60*(106/16)*12</f>
        <v>0.14076325649999999</v>
      </c>
    </row>
    <row r="55" spans="1:13" x14ac:dyDescent="0.35">
      <c r="A55" s="9">
        <v>18</v>
      </c>
      <c r="B55" s="8" t="s">
        <v>167</v>
      </c>
      <c r="C55" s="10" t="s">
        <v>238</v>
      </c>
      <c r="D55" s="39">
        <f>InputsNZ!D61*(106/16)*12</f>
        <v>2006.8058944712614</v>
      </c>
      <c r="E55" s="39">
        <f>InputsNZ!F61*(106/16)*12</f>
        <v>1021.857183501</v>
      </c>
      <c r="F55" s="39">
        <f>InputsNZ!H61*(106/16)*12</f>
        <v>9.5990045819999992</v>
      </c>
      <c r="G55" s="39">
        <f>InputsNZ!J61*(106/16)*12</f>
        <v>1349.3599945935002</v>
      </c>
      <c r="H55" s="39">
        <f>InputsNZ!L61*(106/16)*12</f>
        <v>5.7706025820000004</v>
      </c>
    </row>
    <row r="56" spans="1:13" x14ac:dyDescent="0.35">
      <c r="A56" s="9">
        <v>19</v>
      </c>
      <c r="B56" s="8" t="s">
        <v>32</v>
      </c>
      <c r="C56" s="10" t="s">
        <v>238</v>
      </c>
      <c r="D56" s="39">
        <f>InputsNZ!D62*(106/16)*12</f>
        <v>425.71597088078136</v>
      </c>
      <c r="E56" s="39">
        <f>InputsNZ!F62*(106/16)*12</f>
        <v>424.76795997145183</v>
      </c>
      <c r="F56" s="39">
        <f>InputsNZ!H62*(106/16)*12</f>
        <v>353.8620185146616</v>
      </c>
      <c r="G56" s="39">
        <f>InputsNZ!J62*(106/16)*12</f>
        <v>327.26485481779815</v>
      </c>
      <c r="H56" s="39">
        <f>InputsNZ!L62*(106/16)*12</f>
        <v>144.53439628376145</v>
      </c>
    </row>
    <row r="57" spans="1:13" x14ac:dyDescent="0.35">
      <c r="A57" s="9">
        <v>20</v>
      </c>
      <c r="B57" s="8" t="s">
        <v>33</v>
      </c>
      <c r="C57" s="10" t="s">
        <v>238</v>
      </c>
      <c r="D57" s="39">
        <f>InputsNZ!D63*(106/16)*12</f>
        <v>123.84680540164463</v>
      </c>
      <c r="E57" s="39">
        <f>InputsNZ!F63*(106/16)*12</f>
        <v>109.7687962432212</v>
      </c>
      <c r="F57" s="39">
        <f>InputsNZ!H63*(106/16)*12</f>
        <v>86.956516955005966</v>
      </c>
      <c r="G57" s="39">
        <f>InputsNZ!J63*(106/16)*12</f>
        <v>69.878993706443865</v>
      </c>
      <c r="H57" s="39">
        <f>InputsNZ!L63*(106/16)*12</f>
        <v>28.176108087182094</v>
      </c>
    </row>
    <row r="58" spans="1:13" x14ac:dyDescent="0.35">
      <c r="A58" s="9">
        <v>21</v>
      </c>
      <c r="B58" s="8" t="s">
        <v>34</v>
      </c>
      <c r="C58" s="10" t="s">
        <v>238</v>
      </c>
      <c r="D58" s="39">
        <f>InputsNZ!D64*(106/16)*12</f>
        <v>1463.055989194846</v>
      </c>
      <c r="E58" s="39">
        <f>InputsNZ!F64*(106/16)*12</f>
        <v>833.98623664555316</v>
      </c>
      <c r="F58" s="39">
        <f>InputsNZ!H64*(106/16)*12</f>
        <v>9.3115909820392737</v>
      </c>
      <c r="G58" s="39">
        <f>InputsNZ!J64*(106/16)*12</f>
        <v>988.5683365125949</v>
      </c>
      <c r="H58" s="39">
        <f>InputsNZ!L64*(106/16)*12</f>
        <v>8.7286158732395531</v>
      </c>
    </row>
    <row r="59" spans="1:13" x14ac:dyDescent="0.35">
      <c r="A59" s="9">
        <v>22</v>
      </c>
      <c r="B59" s="8" t="s">
        <v>154</v>
      </c>
      <c r="C59" s="10" t="s">
        <v>155</v>
      </c>
      <c r="D59" s="39">
        <v>555.38994216228696</v>
      </c>
      <c r="E59" s="39">
        <v>384.66280015304699</v>
      </c>
      <c r="F59" s="39">
        <v>317.083903009398</v>
      </c>
      <c r="G59" s="39">
        <v>235.54478217396701</v>
      </c>
      <c r="H59" s="39">
        <v>354.50234195540702</v>
      </c>
    </row>
    <row r="60" spans="1:13" x14ac:dyDescent="0.35">
      <c r="A60" s="9">
        <v>23</v>
      </c>
      <c r="B60" s="8" t="s">
        <v>156</v>
      </c>
      <c r="C60" s="10" t="s">
        <v>155</v>
      </c>
      <c r="D60" s="39">
        <v>1679.9187908255799</v>
      </c>
      <c r="E60" s="39">
        <v>524.29391895270601</v>
      </c>
      <c r="F60" s="39">
        <v>436.082019537897</v>
      </c>
      <c r="G60" s="39">
        <v>308.87667068271998</v>
      </c>
      <c r="H60" s="39">
        <v>627.79010109917101</v>
      </c>
    </row>
    <row r="61" spans="1:13" x14ac:dyDescent="0.35">
      <c r="A61" s="9">
        <v>24</v>
      </c>
      <c r="B61" s="8" t="s">
        <v>157</v>
      </c>
      <c r="C61" s="10" t="s">
        <v>155</v>
      </c>
      <c r="D61" s="39">
        <v>11749.864845948199</v>
      </c>
      <c r="E61" s="39">
        <v>8239.8320490517999</v>
      </c>
      <c r="F61" s="39">
        <v>10570.128463663599</v>
      </c>
      <c r="G61" s="39">
        <v>23363.7795992069</v>
      </c>
      <c r="H61" s="39">
        <v>11056.7363182476</v>
      </c>
    </row>
    <row r="62" spans="1:13" x14ac:dyDescent="0.35">
      <c r="A62" s="9">
        <v>25</v>
      </c>
      <c r="B62" s="8" t="s">
        <v>36</v>
      </c>
      <c r="C62" s="10" t="s">
        <v>37</v>
      </c>
      <c r="D62" s="39">
        <v>7.5640000000000004E-3</v>
      </c>
      <c r="E62" s="39">
        <v>7.5640000000000004E-3</v>
      </c>
      <c r="F62" s="39">
        <v>7.5640000000000004E-3</v>
      </c>
      <c r="G62" s="39">
        <v>7.5640000000000004E-3</v>
      </c>
      <c r="H62" s="39">
        <v>7.5640000000000004E-3</v>
      </c>
    </row>
    <row r="63" spans="1:13" x14ac:dyDescent="0.35">
      <c r="A63" s="9">
        <v>26</v>
      </c>
      <c r="B63" s="8" t="s">
        <v>38</v>
      </c>
      <c r="C63" s="10" t="s">
        <v>37</v>
      </c>
      <c r="D63" s="39">
        <v>0.46887499999999999</v>
      </c>
      <c r="E63" s="39">
        <v>0.46887499999999999</v>
      </c>
      <c r="F63" s="39">
        <v>0.46887499999999999</v>
      </c>
      <c r="G63" s="39">
        <v>0.46887499999999999</v>
      </c>
      <c r="H63" s="39">
        <v>0.46887499999999999</v>
      </c>
    </row>
    <row r="64" spans="1:13" x14ac:dyDescent="0.35">
      <c r="A64" s="9">
        <v>27</v>
      </c>
      <c r="B64" s="8" t="s">
        <v>150</v>
      </c>
      <c r="C64" s="10" t="s">
        <v>37</v>
      </c>
      <c r="D64" s="39">
        <v>0.96186859999999996</v>
      </c>
      <c r="E64" s="39">
        <v>0.54815100000000005</v>
      </c>
      <c r="F64" s="39">
        <v>2.8122100000000001E-2</v>
      </c>
      <c r="G64" s="39">
        <v>0.75654580000000005</v>
      </c>
      <c r="H64" s="39">
        <v>1.7015480000000001</v>
      </c>
    </row>
    <row r="65" spans="1:8" x14ac:dyDescent="0.35">
      <c r="A65" s="9">
        <v>28</v>
      </c>
      <c r="B65" s="8" t="s">
        <v>151</v>
      </c>
      <c r="C65" s="10" t="s">
        <v>37</v>
      </c>
      <c r="D65" s="39">
        <v>1.21023E-2</v>
      </c>
      <c r="E65" s="39">
        <v>0.51877689999999999</v>
      </c>
      <c r="F65" s="39">
        <v>1.3382150000000001E-2</v>
      </c>
      <c r="G65" s="39">
        <v>3.5905859999999998E-2</v>
      </c>
      <c r="H65" s="39">
        <v>2.6076539999999999E-2</v>
      </c>
    </row>
    <row r="66" spans="1:8" x14ac:dyDescent="0.35">
      <c r="A66" s="9">
        <v>29</v>
      </c>
      <c r="B66" s="8" t="s">
        <v>39</v>
      </c>
      <c r="C66" s="10" t="s">
        <v>40</v>
      </c>
      <c r="D66" s="39">
        <v>1300</v>
      </c>
      <c r="E66" s="39">
        <v>1300</v>
      </c>
      <c r="F66" s="39">
        <v>1300</v>
      </c>
      <c r="G66" s="39">
        <v>1300</v>
      </c>
      <c r="H66" s="39">
        <v>1300</v>
      </c>
    </row>
    <row r="67" spans="1:8" x14ac:dyDescent="0.35">
      <c r="A67" s="9">
        <v>30</v>
      </c>
      <c r="B67" s="8" t="s">
        <v>41</v>
      </c>
      <c r="C67" s="10" t="s">
        <v>40</v>
      </c>
      <c r="D67" s="39">
        <v>892000</v>
      </c>
      <c r="E67" s="39">
        <v>892000</v>
      </c>
      <c r="F67" s="39">
        <v>892000</v>
      </c>
      <c r="G67" s="39">
        <v>892000</v>
      </c>
      <c r="H67" s="39">
        <v>892000</v>
      </c>
    </row>
    <row r="68" spans="1:8" x14ac:dyDescent="0.35">
      <c r="A68" s="9">
        <v>31</v>
      </c>
      <c r="B68" s="8" t="s">
        <v>42</v>
      </c>
      <c r="C68" s="10" t="s">
        <v>40</v>
      </c>
      <c r="D68" s="39">
        <v>1257660</v>
      </c>
      <c r="E68" s="39">
        <v>1257660</v>
      </c>
      <c r="F68" s="39">
        <v>1257660</v>
      </c>
      <c r="G68" s="39">
        <v>1257660</v>
      </c>
      <c r="H68" s="39">
        <v>1257660</v>
      </c>
    </row>
    <row r="69" spans="1:8" x14ac:dyDescent="0.35">
      <c r="A69" s="9">
        <v>32</v>
      </c>
      <c r="B69" s="8" t="s">
        <v>182</v>
      </c>
      <c r="C69" s="10" t="s">
        <v>237</v>
      </c>
      <c r="D69" s="39">
        <f>InputsNZ!D76*(106/16)*12</f>
        <v>83.501993249388732</v>
      </c>
      <c r="E69" s="39">
        <f>InputsNZ!F76*(106/16)*12</f>
        <v>38.628642905107142</v>
      </c>
      <c r="F69" s="39">
        <f>InputsNZ!H76*(106/16)*12</f>
        <v>0.51524731351030861</v>
      </c>
      <c r="G69" s="39">
        <f>InputsNZ!J76*(106/16)*12</f>
        <v>63.00335754232087</v>
      </c>
      <c r="H69" s="39">
        <f>InputsNZ!L76*(106/16)*12</f>
        <v>0.2275775902370632</v>
      </c>
    </row>
    <row r="70" spans="1:8" x14ac:dyDescent="0.35">
      <c r="D70" s="38"/>
      <c r="E70" s="38"/>
      <c r="F70" s="38"/>
      <c r="G70" s="38"/>
      <c r="H70" s="38"/>
    </row>
    <row r="71" spans="1:8" ht="30" x14ac:dyDescent="0.6">
      <c r="A71" s="19" t="s">
        <v>43</v>
      </c>
      <c r="B71" s="20"/>
      <c r="C71" s="20"/>
      <c r="D71" s="41"/>
      <c r="E71" s="41"/>
      <c r="F71" s="41"/>
      <c r="G71" s="41"/>
      <c r="H71" s="41"/>
    </row>
    <row r="72" spans="1:8" x14ac:dyDescent="0.35">
      <c r="A72" s="22">
        <v>1</v>
      </c>
      <c r="B72" s="22" t="s">
        <v>47</v>
      </c>
      <c r="C72" s="23" t="s">
        <v>45</v>
      </c>
      <c r="D72" s="41">
        <v>6.5344519999999999</v>
      </c>
      <c r="E72" s="41">
        <v>4.0130990000000004</v>
      </c>
      <c r="F72" s="38">
        <v>9.1313420000000001</v>
      </c>
      <c r="G72" s="41">
        <v>9.7313410000000005</v>
      </c>
      <c r="H72" s="41">
        <v>4.5152340000000004</v>
      </c>
    </row>
    <row r="73" spans="1:8" x14ac:dyDescent="0.35">
      <c r="A73" s="22">
        <v>2</v>
      </c>
      <c r="B73" s="22" t="s">
        <v>48</v>
      </c>
      <c r="C73" s="23" t="s">
        <v>45</v>
      </c>
      <c r="D73" s="41">
        <v>6.0951810000000002</v>
      </c>
      <c r="E73" s="41">
        <v>4.4330930000000004</v>
      </c>
      <c r="F73" s="41">
        <v>8.9932130000000008</v>
      </c>
      <c r="G73" s="41">
        <v>10.505179</v>
      </c>
      <c r="H73" s="41">
        <v>6.5810570000000004</v>
      </c>
    </row>
    <row r="74" spans="1:8" x14ac:dyDescent="0.35">
      <c r="A74" s="22">
        <v>3</v>
      </c>
      <c r="B74" s="22" t="s">
        <v>49</v>
      </c>
      <c r="C74" s="23" t="s">
        <v>45</v>
      </c>
      <c r="D74" s="41">
        <v>2.78</v>
      </c>
      <c r="E74" s="41">
        <v>1.1299999999999999</v>
      </c>
      <c r="F74" s="41" t="s">
        <v>71</v>
      </c>
      <c r="G74" s="41">
        <v>7.75</v>
      </c>
      <c r="H74" s="41" t="s">
        <v>71</v>
      </c>
    </row>
  </sheetData>
  <pageMargins left="0.7" right="0.7" top="0.75" bottom="0.75" header="0.3" footer="0.3"/>
  <pageSetup orientation="portrait" r:id="rId1"/>
  <legacyDrawing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B515DA-0DA1-4AE4-BB45-D24BB06BB86E}">
  <dimension ref="A1:R89"/>
  <sheetViews>
    <sheetView workbookViewId="0">
      <pane xSplit="3" ySplit="2" topLeftCell="D9" activePane="bottomRight" state="frozen"/>
      <selection pane="topRight" activeCell="D1" sqref="D1"/>
      <selection pane="bottomLeft" activeCell="A3" sqref="A3"/>
      <selection pane="bottomRight" activeCell="I74" sqref="I74"/>
    </sheetView>
  </sheetViews>
  <sheetFormatPr defaultRowHeight="14.5" x14ac:dyDescent="0.35"/>
  <cols>
    <col min="1" max="1" width="4.26953125" customWidth="1"/>
    <col min="2" max="2" width="29.7265625" customWidth="1"/>
    <col min="3" max="3" width="13.7265625" customWidth="1"/>
    <col min="4" max="4" width="14.7265625" style="11" bestFit="1" customWidth="1"/>
    <col min="5" max="5" width="12.1796875" style="11" bestFit="1" customWidth="1"/>
    <col min="6" max="6" width="14.7265625" style="11" bestFit="1" customWidth="1"/>
    <col min="7" max="7" width="12.1796875" style="11" bestFit="1" customWidth="1"/>
    <col min="8" max="8" width="14.7265625" style="11" bestFit="1" customWidth="1"/>
    <col min="9" max="9" width="11" style="11" bestFit="1" customWidth="1"/>
    <col min="10" max="10" width="14.7265625" style="11" bestFit="1" customWidth="1"/>
    <col min="11" max="11" width="9.36328125" style="11" bestFit="1" customWidth="1"/>
    <col min="12" max="12" width="14.7265625" style="11" bestFit="1" customWidth="1"/>
    <col min="13" max="13" width="10.54296875" style="11" bestFit="1" customWidth="1"/>
    <col min="18" max="18" width="9.36328125" bestFit="1" customWidth="1"/>
  </cols>
  <sheetData>
    <row r="1" spans="1:15" ht="26" x14ac:dyDescent="0.6">
      <c r="A1" s="1" t="s">
        <v>0</v>
      </c>
      <c r="B1" s="2"/>
      <c r="C1" s="2"/>
      <c r="D1" s="12"/>
      <c r="E1" s="12"/>
      <c r="F1" s="12"/>
      <c r="G1" s="12"/>
      <c r="H1" s="12"/>
      <c r="I1" s="12"/>
      <c r="J1" s="12"/>
      <c r="K1" s="12"/>
      <c r="L1" s="12"/>
      <c r="M1" s="12"/>
    </row>
    <row r="2" spans="1:15" x14ac:dyDescent="0.35">
      <c r="A2" s="2"/>
      <c r="B2" s="2"/>
      <c r="C2" s="3" t="s">
        <v>1</v>
      </c>
      <c r="D2" s="3" t="s">
        <v>2</v>
      </c>
      <c r="E2" s="4" t="s">
        <v>3</v>
      </c>
      <c r="F2" s="3" t="s">
        <v>4</v>
      </c>
      <c r="G2" s="4" t="s">
        <v>3</v>
      </c>
      <c r="H2" s="3" t="s">
        <v>5</v>
      </c>
      <c r="I2" s="4" t="s">
        <v>3</v>
      </c>
      <c r="J2" s="3" t="s">
        <v>6</v>
      </c>
      <c r="K2" s="4" t="s">
        <v>3</v>
      </c>
      <c r="L2" s="3" t="s">
        <v>7</v>
      </c>
      <c r="M2" s="4" t="s">
        <v>3</v>
      </c>
    </row>
    <row r="3" spans="1:15" x14ac:dyDescent="0.35">
      <c r="A3" s="5">
        <v>1</v>
      </c>
      <c r="B3" s="5" t="s">
        <v>153</v>
      </c>
      <c r="C3" s="6" t="s">
        <v>8</v>
      </c>
      <c r="D3" s="15">
        <v>6.984790197903564</v>
      </c>
      <c r="E3" s="15">
        <v>1.4592867511980716</v>
      </c>
      <c r="F3" s="15">
        <v>4.0048802595387842</v>
      </c>
      <c r="G3" s="15">
        <v>0.84743941037243176</v>
      </c>
      <c r="H3" s="12">
        <v>9.3827997589098526</v>
      </c>
      <c r="I3" s="12">
        <v>4.8765990280137759</v>
      </c>
      <c r="J3" s="15">
        <v>5.689407455765199</v>
      </c>
      <c r="K3" s="15">
        <v>1.2846958017222954</v>
      </c>
      <c r="L3" s="15">
        <v>2.9328239132075473</v>
      </c>
      <c r="M3" s="15">
        <v>0.55150632668044375</v>
      </c>
    </row>
    <row r="4" spans="1:15" x14ac:dyDescent="0.35">
      <c r="A4" s="5">
        <v>2</v>
      </c>
      <c r="B4" s="5" t="s">
        <v>9</v>
      </c>
      <c r="C4" s="6" t="s">
        <v>8</v>
      </c>
      <c r="D4" s="15">
        <v>0.97868813053894244</v>
      </c>
      <c r="E4" s="15">
        <v>0.20023276423153064</v>
      </c>
      <c r="F4" s="15">
        <v>1.6343249758697753</v>
      </c>
      <c r="G4" s="15">
        <v>5.6975159479932917E-2</v>
      </c>
      <c r="H4" s="15">
        <v>0.46955161565803499</v>
      </c>
      <c r="I4" s="15">
        <v>2.9864707184233424E-2</v>
      </c>
      <c r="J4" s="15">
        <v>1.7889700021150503</v>
      </c>
      <c r="K4" s="15">
        <v>0.59585480538241931</v>
      </c>
      <c r="L4" s="15">
        <v>0.4195884011815369</v>
      </c>
      <c r="M4" s="15">
        <v>0.18168493088635868</v>
      </c>
    </row>
    <row r="5" spans="1:15" x14ac:dyDescent="0.35">
      <c r="A5" s="5">
        <v>3</v>
      </c>
      <c r="B5" s="5" t="s">
        <v>11</v>
      </c>
      <c r="C5" s="6" t="s">
        <v>8</v>
      </c>
      <c r="D5" s="15">
        <f>D3*NZ_Extra!D6</f>
        <v>2.128645159391267</v>
      </c>
      <c r="E5" s="15">
        <f>D5*SQRT((E3/D3)^2+(NZ_Extra!E6/NZ_Extra!D6)^2)</f>
        <v>1.4594560727599954</v>
      </c>
      <c r="F5" s="15">
        <f>F3*NZ_Extra!F6</f>
        <v>3.0574044664653628</v>
      </c>
      <c r="G5" s="15">
        <f>F5*SQRT((G3/F3)^2+(NZ_Extra!G6/NZ_Extra!F6)^2)</f>
        <v>0.94638162807843096</v>
      </c>
      <c r="H5" s="15">
        <f>H3*NZ_Extra!H6</f>
        <v>6.197919332694827</v>
      </c>
      <c r="I5" s="15">
        <f>H5*SQRT((I3/H3)^2+(NZ_Extra!I6/NZ_Extra!H6)^2)</f>
        <v>4.7729748737311617</v>
      </c>
      <c r="J5" s="15">
        <f>J3*NZ_Extra!J6</f>
        <v>3.4570987842135543</v>
      </c>
      <c r="K5" s="15">
        <f>J5*SQRT((K3/J3)^2+(NZ_Extra!K6/NZ_Extra!J6)^2)</f>
        <v>2.2352910283768845</v>
      </c>
      <c r="L5" s="15">
        <f>L3*NZ_Extra!L6</f>
        <v>2.6299363109562823</v>
      </c>
      <c r="M5" s="15">
        <f>L5*SQRT((M3/L3)^2+(NZ_Extra!M6/NZ_Extra!L6)^2)</f>
        <v>3.5531588696345375</v>
      </c>
    </row>
    <row r="6" spans="1:15" x14ac:dyDescent="0.35">
      <c r="A6" s="5">
        <v>4</v>
      </c>
      <c r="B6" s="5" t="s">
        <v>12</v>
      </c>
      <c r="C6" s="6" t="s">
        <v>8</v>
      </c>
      <c r="D6" s="15">
        <f>D3*NZ_Extra!D7</f>
        <v>1.6532034947643264</v>
      </c>
      <c r="E6" s="15">
        <f>D6*SQRT((E3/D3)^2+(NZ_Extra!E7/NZ_Extra!D7)^2)</f>
        <v>0.75475263841989737</v>
      </c>
      <c r="F6" s="15">
        <f>F3*NZ_Extra!F7</f>
        <v>0.3423901749454592</v>
      </c>
      <c r="G6" s="15">
        <f>F6*SQRT((G3/F3)^2+(NZ_Extra!G7/NZ_Extra!F7)^2)</f>
        <v>0.49677515438728981</v>
      </c>
      <c r="H6" s="15">
        <f>H3*NZ_Extra!H7</f>
        <v>2.5949318750311074</v>
      </c>
      <c r="I6" s="15">
        <f>H6*SQRT((I3/H3)^2+(NZ_Extra!I7/NZ_Extra!H7)^2)</f>
        <v>3.2487322243879495</v>
      </c>
      <c r="J6" s="15">
        <f>J3*NZ_Extra!J7</f>
        <v>1.9849115484554647</v>
      </c>
      <c r="K6" s="15">
        <f>J6*SQRT((K3/J3)^2+(NZ_Extra!K7/NZ_Extra!J7)^2)</f>
        <v>1.9757685928099769</v>
      </c>
      <c r="L6" s="15">
        <f>L3*NZ_Extra!L7</f>
        <v>0.15062299651928279</v>
      </c>
      <c r="M6" s="15">
        <f>L6*SQRT((M3/L3)^2+(NZ_Extra!M7/NZ_Extra!L7)^2)</f>
        <v>3.164614683943312</v>
      </c>
    </row>
    <row r="7" spans="1:15" x14ac:dyDescent="0.35">
      <c r="A7" s="5">
        <v>5</v>
      </c>
      <c r="B7" s="5" t="s">
        <v>183</v>
      </c>
      <c r="C7" s="6" t="s">
        <v>8</v>
      </c>
      <c r="D7" s="15">
        <f>D3*NZ_Extra!D8</f>
        <v>3.2029415437479707</v>
      </c>
      <c r="E7" s="15">
        <f>D7*SQRT((E3/D3)^2+(NZ_Extra!E8/NZ_Extra!D8)^2)</f>
        <v>1.918267089911091</v>
      </c>
      <c r="F7" s="15">
        <f>F3*NZ_Extra!F8</f>
        <v>0.3577774583389487</v>
      </c>
      <c r="G7" s="15">
        <f>F7*SQRT((G3/F3)^2+(NZ_Extra!G8/NZ_Extra!F8)^2)</f>
        <v>0.2339514746144051</v>
      </c>
      <c r="H7" s="15">
        <f>H3*NZ_Extra!H8</f>
        <v>0.58994855118391765</v>
      </c>
      <c r="I7" s="15">
        <f>H7*SQRT((I3/H3)^2+(NZ_Extra!I8/NZ_Extra!H8)^2)</f>
        <v>0.5543786938645463</v>
      </c>
      <c r="J7" s="15">
        <f>J3*NZ_Extra!J8</f>
        <v>0.24739712309617995</v>
      </c>
      <c r="K7" s="15">
        <f>J7*SQRT((K3/J3)^2+(NZ_Extra!K8/NZ_Extra!J8)^2)</f>
        <v>0.15495821809072841</v>
      </c>
      <c r="L7" s="15">
        <f>L3*NZ_Extra!L8</f>
        <v>0.15226460573198244</v>
      </c>
      <c r="M7" s="15">
        <f>L7*SQRT((M3/L3)^2+(NZ_Extra!M8/NZ_Extra!L8)^2)</f>
        <v>0.20051387265997739</v>
      </c>
    </row>
    <row r="8" spans="1:15" x14ac:dyDescent="0.35">
      <c r="A8" s="5">
        <v>6</v>
      </c>
      <c r="B8" s="5" t="s">
        <v>13</v>
      </c>
      <c r="C8" s="6" t="s">
        <v>8</v>
      </c>
      <c r="D8" s="15">
        <f>D11*NZ_Extra!D14</f>
        <v>0.67907804661440174</v>
      </c>
      <c r="E8" s="15">
        <f>D8*SQRT((E11/D11)^2+(NZ_Extra!E14/NZ_Extra!D14)^2)</f>
        <v>0.48623447275456766</v>
      </c>
      <c r="F8" s="15">
        <f>F11*NZ_Extra!F14</f>
        <v>1.8898783958923295</v>
      </c>
      <c r="G8" s="15">
        <f>F8*SQRT((G11/F11)^2+(NZ_Extra!G14/NZ_Extra!F14)^2)</f>
        <v>0.73034638435033294</v>
      </c>
      <c r="H8" s="15">
        <f>H11*NZ_Extra!H14</f>
        <v>3.4956497672810012</v>
      </c>
      <c r="I8" s="15">
        <f>H8*SQRT((I11/H11)^2+(NZ_Extra!I14/NZ_Extra!H14)^2)</f>
        <v>2.5146743932235576</v>
      </c>
      <c r="J8" s="15">
        <f>J11*NZ_Extra!J14</f>
        <v>2.1195066010520414</v>
      </c>
      <c r="K8" s="15">
        <f>J8*SQRT((K11/J11)^2+(NZ_Extra!K14/NZ_Extra!J14)^2)</f>
        <v>1.293169338866397</v>
      </c>
      <c r="L8" s="15">
        <f>L11*NZ_Extra!L14</f>
        <v>1.249680964823271</v>
      </c>
      <c r="M8" s="15">
        <f>L8*SQRT((M11/L11)^2+(NZ_Extra!M14/NZ_Extra!L14)^2)</f>
        <v>0.93631570638214678</v>
      </c>
    </row>
    <row r="9" spans="1:15" x14ac:dyDescent="0.35">
      <c r="A9" s="5">
        <v>7</v>
      </c>
      <c r="B9" s="5" t="s">
        <v>14</v>
      </c>
      <c r="C9" s="6" t="s">
        <v>8</v>
      </c>
      <c r="D9" s="15">
        <f>D11*NZ_Extra!D15</f>
        <v>0.65315059178235824</v>
      </c>
      <c r="E9" s="15">
        <f>D9*SQRT((E11/D11)^2+(NZ_Extra!E15/NZ_Extra!D15)^2)</f>
        <v>0.70067772971807341</v>
      </c>
      <c r="F9" s="15">
        <f>F11*NZ_Extra!F15</f>
        <v>0.48436400386133022</v>
      </c>
      <c r="G9" s="15">
        <f>F9*SQRT((G11/F11)^2+(NZ_Extra!G15/NZ_Extra!F15)^2)</f>
        <v>0.53471731927488009</v>
      </c>
      <c r="H9" s="15">
        <f>H11*NZ_Extra!H15</f>
        <v>1.5734107472520935</v>
      </c>
      <c r="I9" s="15">
        <f>H9*SQRT((I11/H11)^2+(NZ_Extra!I15/NZ_Extra!H15)^2)</f>
        <v>1.7854607152677655</v>
      </c>
      <c r="J9" s="15">
        <f>J11*NZ_Extra!J15</f>
        <v>2.2956993882787935</v>
      </c>
      <c r="K9" s="15">
        <f>J9*SQRT((K11/J11)^2+(NZ_Extra!K15/NZ_Extra!J15)^2)</f>
        <v>1.4378622111730337</v>
      </c>
      <c r="L9" s="15">
        <f>L11*NZ_Extra!L15</f>
        <v>1.5922615659761581</v>
      </c>
      <c r="M9" s="15">
        <f>L9*SQRT((M11/L11)^2+(NZ_Extra!M15/NZ_Extra!L15)^2)</f>
        <v>2.3670613615743945</v>
      </c>
    </row>
    <row r="10" spans="1:15" x14ac:dyDescent="0.35">
      <c r="A10" s="5">
        <v>8</v>
      </c>
      <c r="B10" s="5" t="s">
        <v>184</v>
      </c>
      <c r="C10" s="6" t="s">
        <v>8</v>
      </c>
      <c r="D10" s="15">
        <f>D11*NZ_Extra!D16</f>
        <v>1.1294382425092031</v>
      </c>
      <c r="E10" s="15">
        <f>D10*SQRT((E11/D11)^2+(NZ_Extra!E16/NZ_Extra!D16)^2)</f>
        <v>0.69167129471520195</v>
      </c>
      <c r="F10" s="15">
        <f>F11*NZ_Extra!F16</f>
        <v>8.3139899568425379E-2</v>
      </c>
      <c r="G10" s="15">
        <f>F10*SQRT((G11/F11)^2+(NZ_Extra!G16/NZ_Extra!F16)^2)</f>
        <v>3.4881401373732787E-2</v>
      </c>
      <c r="H10" s="15">
        <f>H11*NZ_Extra!H16</f>
        <v>0.30286347948815684</v>
      </c>
      <c r="I10" s="15">
        <f>H10*SQRT((I11/H11)^2+(NZ_Extra!I16/NZ_Extra!H16)^2)</f>
        <v>0.26697516636211549</v>
      </c>
      <c r="J10" s="15">
        <f>J11*NZ_Extra!J16</f>
        <v>0.18752558852227863</v>
      </c>
      <c r="K10" s="15">
        <f>J10*SQRT((K11/J11)^2+(NZ_Extra!K16/NZ_Extra!J16)^2)</f>
        <v>0.12099696069503854</v>
      </c>
      <c r="L10" s="15">
        <f>L11*NZ_Extra!L16</f>
        <v>0.13592019999549798</v>
      </c>
      <c r="M10" s="15">
        <f>L10*SQRT((M11/L11)^2+(NZ_Extra!M16/NZ_Extra!L16)^2)</f>
        <v>0.13470708129944753</v>
      </c>
    </row>
    <row r="11" spans="1:15" x14ac:dyDescent="0.35">
      <c r="A11" s="5">
        <v>9</v>
      </c>
      <c r="B11" s="5" t="s">
        <v>152</v>
      </c>
      <c r="C11" s="6" t="s">
        <v>8</v>
      </c>
      <c r="D11" s="15">
        <v>2.4616668809059634</v>
      </c>
      <c r="E11" s="15">
        <v>0.11738150898244459</v>
      </c>
      <c r="F11" s="15">
        <v>2.6936632003654828</v>
      </c>
      <c r="G11" s="15">
        <v>0.60951549478679601</v>
      </c>
      <c r="H11" s="15">
        <v>5.3719239940212518</v>
      </c>
      <c r="I11" s="15">
        <v>2.9742856330468999</v>
      </c>
      <c r="J11" s="15">
        <v>4.6027315778531133</v>
      </c>
      <c r="K11" s="15">
        <v>2.1767590749848282</v>
      </c>
      <c r="L11" s="15">
        <v>2.9778627307949268</v>
      </c>
      <c r="M11" s="15">
        <v>0.86612577413233227</v>
      </c>
    </row>
    <row r="12" spans="1:15" x14ac:dyDescent="0.35">
      <c r="A12" s="5">
        <v>10</v>
      </c>
      <c r="B12" s="5" t="s">
        <v>15</v>
      </c>
      <c r="C12" s="6" t="s">
        <v>8</v>
      </c>
      <c r="D12" s="15">
        <v>0.9567855932757382</v>
      </c>
      <c r="E12" s="15">
        <v>0.18954805464336907</v>
      </c>
      <c r="F12" s="34">
        <v>0.56067860273555181</v>
      </c>
      <c r="G12" s="34">
        <v>0.24599088098238883</v>
      </c>
      <c r="H12" s="15">
        <v>0.26710772165871854</v>
      </c>
      <c r="I12" s="15">
        <v>0.10616426486459177</v>
      </c>
      <c r="J12" s="15">
        <v>0.39431444307844132</v>
      </c>
      <c r="K12" s="15">
        <v>0.12405841913707617</v>
      </c>
      <c r="L12" s="15">
        <v>0.11835132921047938</v>
      </c>
      <c r="M12" s="15">
        <v>3.6291901864548691E-2</v>
      </c>
    </row>
    <row r="13" spans="1:15" x14ac:dyDescent="0.35">
      <c r="A13" s="5">
        <v>11</v>
      </c>
      <c r="B13" s="5" t="s">
        <v>163</v>
      </c>
      <c r="C13" s="6" t="s">
        <v>8</v>
      </c>
      <c r="D13" s="15" t="s">
        <v>218</v>
      </c>
      <c r="E13" s="12" t="s">
        <v>218</v>
      </c>
      <c r="F13" s="12">
        <v>0.30423393390954134</v>
      </c>
      <c r="G13" s="15">
        <v>0.16906793773315715</v>
      </c>
      <c r="H13" s="15">
        <v>0.14567879342730328</v>
      </c>
      <c r="I13" s="15">
        <v>4.1919748377910543E-2</v>
      </c>
      <c r="J13" s="29">
        <v>0.16858727922516734</v>
      </c>
      <c r="K13" s="29">
        <v>0.12827915230431397</v>
      </c>
      <c r="L13" s="15">
        <v>8.1962588274945833E-2</v>
      </c>
      <c r="M13" s="15">
        <v>3.8587287814615963E-2</v>
      </c>
    </row>
    <row r="14" spans="1:15" x14ac:dyDescent="0.35">
      <c r="A14" s="5">
        <v>12</v>
      </c>
      <c r="B14" s="5" t="s">
        <v>16</v>
      </c>
      <c r="C14" s="6" t="s">
        <v>8</v>
      </c>
      <c r="D14" s="15">
        <v>2.9318502703484243E-2</v>
      </c>
      <c r="E14" s="15">
        <v>2.9955161711896838E-2</v>
      </c>
      <c r="F14" s="15">
        <v>2.6653434798038882E-2</v>
      </c>
      <c r="G14" s="15">
        <v>6.0445395872487845E-2</v>
      </c>
      <c r="H14" s="15">
        <v>8.6358244026824363E-3</v>
      </c>
      <c r="I14" s="15">
        <v>1.2199522327487961E-2</v>
      </c>
      <c r="J14" s="15">
        <v>1.3488704563270741E-2</v>
      </c>
      <c r="K14" s="15">
        <v>1.6856883799954533E-2</v>
      </c>
      <c r="L14" s="15">
        <v>9.7341595227028836E-3</v>
      </c>
      <c r="M14" s="15">
        <v>9.2154497398756734E-3</v>
      </c>
      <c r="O14" s="32">
        <f>SUM(D11:D16)</f>
        <v>6.1163907605291339</v>
      </c>
    </row>
    <row r="15" spans="1:15" x14ac:dyDescent="0.35">
      <c r="A15" s="5">
        <v>13</v>
      </c>
      <c r="B15" s="5" t="s">
        <v>164</v>
      </c>
      <c r="C15" s="6" t="s">
        <v>8</v>
      </c>
      <c r="D15" s="15">
        <v>9.4111234588549128E-3</v>
      </c>
      <c r="E15" s="15">
        <v>1.3073072925088202E-2</v>
      </c>
      <c r="F15" s="15">
        <v>1.6708836653332261E-2</v>
      </c>
      <c r="G15" s="15">
        <v>3.768748175485867E-2</v>
      </c>
      <c r="H15" s="15">
        <v>3.9000615796015376E-3</v>
      </c>
      <c r="I15" s="15">
        <v>7.3649812172165829E-3</v>
      </c>
      <c r="J15" s="15">
        <v>3.8653978484365866E-3</v>
      </c>
      <c r="K15" s="15">
        <v>7.3795082255877593E-3</v>
      </c>
      <c r="L15" s="15">
        <v>3.4725143029608065E-5</v>
      </c>
      <c r="M15" s="15">
        <v>4.9839119519322281E-3</v>
      </c>
    </row>
    <row r="16" spans="1:15" x14ac:dyDescent="0.35">
      <c r="A16" s="5">
        <v>14</v>
      </c>
      <c r="B16" s="5" t="s">
        <v>170</v>
      </c>
      <c r="C16" s="6" t="s">
        <v>8</v>
      </c>
      <c r="D16" s="12">
        <v>2.6592086601850928</v>
      </c>
      <c r="E16" s="15">
        <v>1.9074743144778554</v>
      </c>
      <c r="F16" s="15">
        <v>1.7577646245826541</v>
      </c>
      <c r="G16" s="15">
        <v>0.91975506825772047</v>
      </c>
      <c r="H16" s="15">
        <v>2.4739265995989291E-2</v>
      </c>
      <c r="I16" s="15">
        <v>2.8097449191110818E-2</v>
      </c>
      <c r="J16" s="15">
        <v>1.5968294083391568</v>
      </c>
      <c r="K16" s="15">
        <v>0.97512046936770413</v>
      </c>
      <c r="L16" s="15">
        <v>7.2143977414072993E-3</v>
      </c>
      <c r="M16" s="15">
        <v>1.6218314560821474E-2</v>
      </c>
    </row>
    <row r="17" spans="1:13" x14ac:dyDescent="0.35">
      <c r="A17" s="5">
        <v>15</v>
      </c>
      <c r="B17" s="5" t="s">
        <v>171</v>
      </c>
      <c r="C17" s="6" t="s">
        <v>8</v>
      </c>
      <c r="D17" s="15">
        <f>(D16/0.58499)*0.41501</f>
        <v>1.8865248740378728</v>
      </c>
      <c r="E17" s="15">
        <f>D17*SQRT((E16/D16)^2+(0.17843/0.58499)^2+(0.17843/0.41501)^2)</f>
        <v>1.6793412199250386</v>
      </c>
      <c r="F17" s="15">
        <f>(F16/0.95928)*0.4072</f>
        <v>0.74614477017143777</v>
      </c>
      <c r="G17" s="15">
        <f>F17*SQRT((G16/F16)^2+(0.30768/0.95928)^2+(0.30768/0.04072)^2)</f>
        <v>5.6564311872057029</v>
      </c>
      <c r="H17" s="15">
        <f>(H16/0.7689925)*0.23100747</f>
        <v>7.4317438042510384E-3</v>
      </c>
      <c r="I17" s="15">
        <f>H17*SQRT((I16/H16)^2+(0.28703/0.76899)^2+(0.28703/0.23101)^2)</f>
        <v>1.2814186761036529E-2</v>
      </c>
      <c r="J17" s="15">
        <f>(J16/0.81303)*0.18697</f>
        <v>0.36721793104457662</v>
      </c>
      <c r="K17" s="15">
        <f>J17*SQRT((K16/J16)^2+(0.22065/0.81303)^2+(0.22065/0.18697)^2)</f>
        <v>0.49802123210338339</v>
      </c>
      <c r="L17" s="15">
        <f>(L16/0.94848)*0.05152</f>
        <v>3.9187518096038299E-4</v>
      </c>
      <c r="M17" s="15">
        <f>L17*SQRT((M16/L16)^2+(0/0.94848)^2+(0/0.05152)^2)</f>
        <v>8.8095433343193558E-4</v>
      </c>
    </row>
    <row r="18" spans="1:13" x14ac:dyDescent="0.35">
      <c r="A18" s="5">
        <v>16</v>
      </c>
      <c r="B18" s="5" t="s">
        <v>17</v>
      </c>
      <c r="C18" s="6" t="s">
        <v>8</v>
      </c>
      <c r="D18" s="15">
        <f>(D16+D17) * 0.0144398</f>
        <v>6.5639483087472777E-2</v>
      </c>
      <c r="E18" s="15">
        <f>D18*SQRT((SQRT((E16)^2+(E17^2))/(D16+D17))^2+(0.00000265298/0.0144398)^2)</f>
        <v>3.6697114340849879E-2</v>
      </c>
      <c r="F18" s="15">
        <f>(F16+F17) * 0.02786716</f>
        <v>6.977684372911544E-2</v>
      </c>
      <c r="G18" s="15">
        <f>F18*SQRT((SQRT((G16)^2+(G17^2))/(F16+F17))^2+(6.398304E-19/0.02786716)^2)</f>
        <v>0.15969891897698574</v>
      </c>
      <c r="H18" s="15">
        <f>(H16+H17) * 0.08979186</f>
        <v>2.8886948080418078E-3</v>
      </c>
      <c r="I18" s="15">
        <f>H18*SQRT((SQRT((I16)^2+(I17^2))/(H16+H17))^2+(0/0.08979186)^2)</f>
        <v>2.7729116731506714E-3</v>
      </c>
      <c r="J18" s="15">
        <f>(J16+J17) * 0.0366902</f>
        <v>7.2061289691457059E-2</v>
      </c>
      <c r="K18" s="15">
        <f>J18*SQRT((SQRT((K16)^2+(K17^2))/(J16+J17))^2+(0/0.0366902)^2)</f>
        <v>4.0173424736185466E-2</v>
      </c>
      <c r="L18" s="15">
        <f>(L16+L17) * 0.02808958</f>
        <v>2.136570117546808E-4</v>
      </c>
      <c r="M18" s="15">
        <f>L18*SQRT((SQRT((M16)^2+(M17^2))/(L16+L17))^2+(0.0000002335522/0.02808958)^2)</f>
        <v>4.5623722212329037E-4</v>
      </c>
    </row>
    <row r="19" spans="1:13" x14ac:dyDescent="0.35">
      <c r="A19" s="5">
        <v>17</v>
      </c>
      <c r="B19" s="5" t="s">
        <v>18</v>
      </c>
      <c r="C19" s="6" t="s">
        <v>8</v>
      </c>
      <c r="D19" s="15">
        <f>(D16+D17) * 0.1836172</f>
        <v>0.83467486350012521</v>
      </c>
      <c r="E19" s="15">
        <f>D19*SQRT((SQRT((E16)^2+(E17^2))/(D16+D17))^2+(0.001733872/0.1836172)^2)</f>
        <v>0.46670882535929636</v>
      </c>
      <c r="F19" s="15">
        <f>(F16+F17) * 0.09318711</f>
        <v>0.23333208019898299</v>
      </c>
      <c r="G19" s="15">
        <f>F19*SQRT((SQRT((G16)^2+(G17^2))/(F16+F17))^2+(0.0006530248/0.09318711)^2)</f>
        <v>0.53403183128280451</v>
      </c>
      <c r="H19" s="15">
        <f>(H16+H17) * 0.0004796753</f>
        <v>1.5431638777233221E-5</v>
      </c>
      <c r="I19" s="15">
        <f>H19*SQRT((SQRT((I16)^2+(I17^2))/(H16+H17))^2+(0.00001015141/0.0004796753)^2)</f>
        <v>1.4816715596507647E-5</v>
      </c>
      <c r="J19" s="15">
        <f>(J16+J17) * 0.000004663878</f>
        <v>9.160077177110328E-6</v>
      </c>
      <c r="K19" s="15">
        <f>J19*SQRT((SQRT((K16)^2+(K17^2))/(J16+J17))^2+(0/0.000004663878)^2)</f>
        <v>5.1066484186990305E-6</v>
      </c>
      <c r="L19" s="15">
        <f>(L16+L17) * 0.09488286</f>
        <v>7.2170492881480359E-4</v>
      </c>
      <c r="M19" s="15">
        <f>L19*SQRT((SQRT((M16)^2+(M17^2))/(L16+L17))^2+(0.000609438/0.09488286)^2)</f>
        <v>1.5411155419658771E-3</v>
      </c>
    </row>
    <row r="20" spans="1:13" x14ac:dyDescent="0.35">
      <c r="A20" s="5">
        <v>18</v>
      </c>
      <c r="B20" s="5" t="s">
        <v>161</v>
      </c>
      <c r="C20" s="6" t="s">
        <v>8</v>
      </c>
      <c r="D20" s="15">
        <f>(D16+D17) * 0.8019303</f>
        <v>3.645361456819483</v>
      </c>
      <c r="E20" s="15">
        <f>D20*SQRT((SQRT((E16)^2+(E17^2))/(D16+D17))^2+(0.001733677/0.8019303)^2)</f>
        <v>2.0380300520516972</v>
      </c>
      <c r="F20" s="15">
        <f>(F16+F17) * 0.8789064</f>
        <v>2.2007019920694977</v>
      </c>
      <c r="G20" s="15">
        <f>F20*SQRT((SQRT((G16)^2+(G17^2))/(F16+F17))^2+(0.0006530248/0.8789064)^2)</f>
        <v>5.0367676274917379</v>
      </c>
      <c r="H20" s="15">
        <f>(H16+H17) * 0.9097285</f>
        <v>2.926688448905794E-2</v>
      </c>
      <c r="I20" s="15">
        <f>H20*SQRT((SQRT((I16)^2+(I17^2))/(H16+H17))^2+(0.00001015141/0.9097285)^2)</f>
        <v>2.8093824732200599E-2</v>
      </c>
      <c r="J20" s="15">
        <f>(J16+J17) * 0.9633051</f>
        <v>1.8919768186697814</v>
      </c>
      <c r="K20" s="15">
        <f>J20*SQRT((SQRT((K16)^2+(K17^2))/(J16+J17))^2+(0/0.9633051)^2)</f>
        <v>1.0547575356044288</v>
      </c>
      <c r="L20" s="15">
        <f>(L16+L17) * 0.8769906</f>
        <v>6.6706298539509863E-3</v>
      </c>
      <c r="M20" s="15">
        <f>L20*SQRT((SQRT((M16)^2+(M17^2))/(L16+L17))^2+(0.0006094337/0.8769906)^2)</f>
        <v>1.4244277641613269E-2</v>
      </c>
    </row>
    <row r="21" spans="1:13" x14ac:dyDescent="0.35">
      <c r="A21" s="5">
        <v>19</v>
      </c>
      <c r="B21" s="5" t="s">
        <v>162</v>
      </c>
      <c r="C21" s="6" t="s">
        <v>8</v>
      </c>
      <c r="D21" s="15">
        <v>0.95731511766663324</v>
      </c>
      <c r="E21" s="15">
        <v>0.6866907532120281</v>
      </c>
      <c r="F21" s="15">
        <v>0.63279526484975535</v>
      </c>
      <c r="G21" s="15">
        <v>0.33111182457277949</v>
      </c>
      <c r="H21" s="15">
        <v>8.906135758556144E-3</v>
      </c>
      <c r="I21" s="15">
        <v>1.0115081708799895E-2</v>
      </c>
      <c r="J21" s="15">
        <v>0.57485858700209647</v>
      </c>
      <c r="K21" s="15">
        <v>0.35104336897237348</v>
      </c>
      <c r="L21" s="15">
        <v>2.5971831869066281E-3</v>
      </c>
      <c r="M21" s="15">
        <v>5.8385932418957313E-3</v>
      </c>
    </row>
    <row r="22" spans="1:13" x14ac:dyDescent="0.35">
      <c r="A22" s="5">
        <v>20</v>
      </c>
      <c r="B22" s="5" t="s">
        <v>179</v>
      </c>
      <c r="C22" s="6" t="s">
        <v>8</v>
      </c>
      <c r="D22" s="15">
        <v>0.7685139653165618</v>
      </c>
      <c r="E22" s="15">
        <v>0.15497850567849536</v>
      </c>
      <c r="F22" s="15">
        <v>0.51195866101729559</v>
      </c>
      <c r="G22" s="15">
        <v>0.17726619239998903</v>
      </c>
      <c r="H22" s="15">
        <v>0.82093159034171903</v>
      </c>
      <c r="I22" s="15">
        <v>0.18646460250648508</v>
      </c>
      <c r="J22" s="15">
        <v>0.73073093882389928</v>
      </c>
      <c r="K22" s="15">
        <v>0.19985947417252783</v>
      </c>
      <c r="L22" s="15">
        <v>0.44078466938784061</v>
      </c>
      <c r="M22" s="15">
        <v>0.10558124978639725</v>
      </c>
    </row>
    <row r="24" spans="1:13" ht="26" x14ac:dyDescent="0.6">
      <c r="A24" s="7" t="s">
        <v>19</v>
      </c>
      <c r="B24" s="8"/>
      <c r="C24" s="8"/>
      <c r="D24" s="13"/>
    </row>
    <row r="25" spans="1:13" x14ac:dyDescent="0.35">
      <c r="A25" s="9">
        <v>1</v>
      </c>
      <c r="B25" s="9" t="s">
        <v>20</v>
      </c>
      <c r="C25" s="10" t="s">
        <v>21</v>
      </c>
      <c r="D25" s="17">
        <v>10.240493000000001</v>
      </c>
      <c r="E25" s="17">
        <v>0.58962110000000001</v>
      </c>
      <c r="F25" s="17">
        <v>9.8974919999999997</v>
      </c>
      <c r="G25" s="17">
        <v>0.41121180000000002</v>
      </c>
      <c r="H25" s="17">
        <v>13.090223999999999</v>
      </c>
      <c r="I25" s="17">
        <v>0.32739249999999998</v>
      </c>
      <c r="J25" s="17">
        <v>12.122057</v>
      </c>
      <c r="K25" s="17">
        <v>0.59165129999999999</v>
      </c>
      <c r="L25" s="17">
        <v>10.688394000000001</v>
      </c>
      <c r="M25" s="17">
        <v>0.57504809999999995</v>
      </c>
    </row>
    <row r="26" spans="1:13" x14ac:dyDescent="0.35">
      <c r="A26" s="9">
        <v>2</v>
      </c>
      <c r="B26" s="9" t="s">
        <v>181</v>
      </c>
      <c r="C26" s="10" t="s">
        <v>21</v>
      </c>
      <c r="D26" s="17">
        <v>9.3974150000000005</v>
      </c>
      <c r="F26" s="17">
        <v>7.9157019999999996</v>
      </c>
      <c r="G26" s="17"/>
      <c r="H26" s="17">
        <v>11.465439</v>
      </c>
      <c r="I26" s="17"/>
      <c r="J26" s="17">
        <v>9.6527419999999999</v>
      </c>
      <c r="K26" s="17"/>
      <c r="L26" s="17">
        <v>7.9416000000000002</v>
      </c>
      <c r="M26" s="17"/>
    </row>
    <row r="27" spans="1:13" x14ac:dyDescent="0.35">
      <c r="A27" s="9">
        <v>3</v>
      </c>
      <c r="B27" s="9" t="s">
        <v>168</v>
      </c>
      <c r="C27" s="10" t="s">
        <v>21</v>
      </c>
      <c r="D27" s="17">
        <v>5.7369500000000002</v>
      </c>
      <c r="E27" s="17"/>
      <c r="F27" s="17">
        <v>2.8820000000000001</v>
      </c>
      <c r="G27" s="17"/>
      <c r="H27" s="17">
        <v>4.9303999999999997</v>
      </c>
      <c r="I27" s="17"/>
      <c r="J27" s="17">
        <v>8.3413350000000008</v>
      </c>
      <c r="K27" s="17"/>
      <c r="L27" s="17">
        <v>1.8084</v>
      </c>
      <c r="M27" s="17"/>
    </row>
    <row r="28" spans="1:13" x14ac:dyDescent="0.35">
      <c r="A28" s="9">
        <v>4</v>
      </c>
      <c r="B28" s="9" t="s">
        <v>190</v>
      </c>
      <c r="C28" s="10" t="s">
        <v>191</v>
      </c>
      <c r="D28" s="17">
        <v>884.26319999999998</v>
      </c>
      <c r="E28" s="17"/>
      <c r="F28" s="17">
        <v>1501.6922999999999</v>
      </c>
      <c r="G28" s="17"/>
      <c r="H28" s="17">
        <v>1046.5</v>
      </c>
      <c r="I28" s="17"/>
      <c r="J28" s="17">
        <v>449.5</v>
      </c>
      <c r="K28" s="17"/>
      <c r="L28" s="17">
        <v>2635.1</v>
      </c>
      <c r="M28" s="17"/>
    </row>
    <row r="29" spans="1:13" x14ac:dyDescent="0.35">
      <c r="A29" s="9">
        <v>5</v>
      </c>
      <c r="B29" s="8" t="s">
        <v>160</v>
      </c>
      <c r="C29" s="10" t="s">
        <v>169</v>
      </c>
      <c r="D29" s="17">
        <v>0.32656759474468966</v>
      </c>
      <c r="E29" s="17">
        <v>0.16437855245034977</v>
      </c>
      <c r="F29" s="17">
        <v>0.31045975717006297</v>
      </c>
      <c r="G29" s="17">
        <v>7.8558799430562487E-2</v>
      </c>
      <c r="H29" s="17">
        <v>7.3162576407054822E-3</v>
      </c>
      <c r="I29" s="17">
        <v>7.0528901977444406E-3</v>
      </c>
      <c r="J29" s="17">
        <v>0.4739057148472583</v>
      </c>
      <c r="K29" s="17">
        <v>0.16146131025564953</v>
      </c>
      <c r="L29" s="17">
        <v>1.9337844944991114E-4</v>
      </c>
      <c r="M29" s="17">
        <v>6.1151635065345418E-4</v>
      </c>
    </row>
    <row r="30" spans="1:13" x14ac:dyDescent="0.35">
      <c r="A30" s="9">
        <v>6</v>
      </c>
      <c r="B30" s="8" t="s">
        <v>22</v>
      </c>
      <c r="C30" s="10" t="s">
        <v>23</v>
      </c>
      <c r="D30" s="16">
        <v>2.4323501781423214</v>
      </c>
      <c r="E30" s="16"/>
      <c r="F30" s="16">
        <v>3.7253041652729526</v>
      </c>
      <c r="G30" s="16"/>
      <c r="H30" s="16">
        <v>4.8385681874089643</v>
      </c>
      <c r="I30" s="16"/>
      <c r="J30" s="16">
        <v>1.393927864036977</v>
      </c>
      <c r="K30" s="16"/>
      <c r="L30" s="16">
        <v>8.6175824554244311</v>
      </c>
      <c r="M30" s="13"/>
    </row>
    <row r="31" spans="1:13" x14ac:dyDescent="0.35">
      <c r="A31" s="9">
        <v>7</v>
      </c>
      <c r="B31" s="8" t="s">
        <v>24</v>
      </c>
      <c r="C31" s="10" t="s">
        <v>23</v>
      </c>
      <c r="D31" s="13">
        <v>8.4716316118609694</v>
      </c>
      <c r="E31" s="16"/>
      <c r="F31" s="13">
        <v>1.1232474425869927</v>
      </c>
      <c r="G31" s="16"/>
      <c r="H31" s="13">
        <v>0.51240455397907148</v>
      </c>
      <c r="I31" s="16"/>
      <c r="J31" s="13">
        <v>0.35273312027826415</v>
      </c>
      <c r="K31" s="16"/>
      <c r="L31" s="13">
        <v>0.46975683323434964</v>
      </c>
      <c r="M31" s="13"/>
    </row>
    <row r="32" spans="1:13" x14ac:dyDescent="0.35">
      <c r="A32" s="9">
        <v>8</v>
      </c>
      <c r="B32" s="8" t="s">
        <v>25</v>
      </c>
      <c r="C32" s="10" t="s">
        <v>23</v>
      </c>
      <c r="D32" s="13">
        <v>5.3577986892343077</v>
      </c>
      <c r="E32" s="16"/>
      <c r="F32" s="13">
        <v>3.4577517436177492</v>
      </c>
      <c r="G32" s="16"/>
      <c r="H32" s="13">
        <v>4.2948952587221045</v>
      </c>
      <c r="I32" s="16"/>
      <c r="J32" s="13">
        <v>3.9405854015456714</v>
      </c>
      <c r="K32" s="16"/>
      <c r="L32" s="13">
        <v>3.0408447155019203</v>
      </c>
      <c r="M32" s="13"/>
    </row>
    <row r="33" spans="1:18" x14ac:dyDescent="0.35">
      <c r="A33" s="9">
        <v>9</v>
      </c>
      <c r="B33" s="8" t="s">
        <v>26</v>
      </c>
      <c r="C33" s="10" t="s">
        <v>23</v>
      </c>
      <c r="D33" s="13">
        <v>0.90800919603657448</v>
      </c>
      <c r="E33" s="16"/>
      <c r="F33" s="13">
        <v>1.1168357740714712</v>
      </c>
      <c r="G33" s="16"/>
      <c r="H33" s="13">
        <v>2.0222311417669885</v>
      </c>
      <c r="I33" s="16"/>
      <c r="J33" s="13">
        <v>1.7585174218494173</v>
      </c>
      <c r="K33" s="16"/>
      <c r="L33" s="13">
        <v>0.81948828811823138</v>
      </c>
      <c r="M33" s="13"/>
    </row>
    <row r="34" spans="1:18" x14ac:dyDescent="0.35">
      <c r="A34" s="9">
        <v>10</v>
      </c>
      <c r="B34" s="8" t="s">
        <v>27</v>
      </c>
      <c r="C34" s="10" t="s">
        <v>23</v>
      </c>
      <c r="D34" s="16">
        <v>1.0521291991626498</v>
      </c>
      <c r="E34" s="16"/>
      <c r="F34" s="16">
        <v>0.20896667907169963</v>
      </c>
      <c r="G34" s="16"/>
      <c r="H34" s="16">
        <v>0.26691986144075114</v>
      </c>
      <c r="I34" s="16"/>
      <c r="J34" s="16">
        <v>2.3268684258918482</v>
      </c>
      <c r="K34" s="16"/>
      <c r="L34" s="16">
        <v>0.55378937264701944</v>
      </c>
      <c r="M34" s="13"/>
    </row>
    <row r="35" spans="1:18" x14ac:dyDescent="0.35">
      <c r="A35" s="9">
        <v>11</v>
      </c>
      <c r="B35" s="8" t="s">
        <v>28</v>
      </c>
      <c r="C35" s="10" t="s">
        <v>23</v>
      </c>
      <c r="D35" s="16">
        <v>9.9137789999999999</v>
      </c>
      <c r="E35" s="16">
        <v>1.634976679</v>
      </c>
      <c r="F35" s="16">
        <v>4.7993069999999998</v>
      </c>
      <c r="G35" s="16">
        <v>9.1301560000000004E-3</v>
      </c>
      <c r="H35" s="16">
        <v>13.576252999999999</v>
      </c>
      <c r="I35" s="16">
        <v>7.2571894810000002</v>
      </c>
      <c r="J35" s="16">
        <v>6.6116929999999998</v>
      </c>
      <c r="K35" s="16">
        <v>1.918613779</v>
      </c>
      <c r="L35" s="16">
        <v>1.1752714</v>
      </c>
      <c r="M35" s="13">
        <v>0.63147409600000004</v>
      </c>
    </row>
    <row r="36" spans="1:18" x14ac:dyDescent="0.35">
      <c r="A36" s="9">
        <v>12</v>
      </c>
      <c r="B36" s="8" t="s">
        <v>29</v>
      </c>
      <c r="C36" s="10" t="s">
        <v>23</v>
      </c>
      <c r="D36" s="16">
        <v>8.4445289999999993</v>
      </c>
      <c r="E36" s="16">
        <v>0.175182439</v>
      </c>
      <c r="F36" s="16">
        <v>20.486217</v>
      </c>
      <c r="G36" s="16">
        <v>5.1290182550000001</v>
      </c>
      <c r="H36" s="16">
        <v>29.446911</v>
      </c>
      <c r="I36" s="16">
        <v>5.2590702540000001</v>
      </c>
      <c r="J36" s="16">
        <v>11.317663</v>
      </c>
      <c r="K36" s="16">
        <v>6.5195917010000004</v>
      </c>
      <c r="L36" s="16">
        <v>11.495678</v>
      </c>
      <c r="M36" s="13">
        <v>3.3280949369999999</v>
      </c>
    </row>
    <row r="37" spans="1:18" x14ac:dyDescent="0.35">
      <c r="A37" s="9">
        <v>13</v>
      </c>
      <c r="B37" s="8" t="s">
        <v>30</v>
      </c>
      <c r="C37" s="10" t="s">
        <v>23</v>
      </c>
      <c r="D37" s="16">
        <v>0.23954410000000001</v>
      </c>
      <c r="E37" s="16">
        <v>0.33876650000000003</v>
      </c>
      <c r="F37" s="16">
        <v>0.79096049999999996</v>
      </c>
      <c r="G37" s="16">
        <v>0.74237500000000001</v>
      </c>
      <c r="H37" s="16">
        <v>0.46890340000000003</v>
      </c>
      <c r="I37" s="16">
        <v>0.39759260000000002</v>
      </c>
      <c r="J37" s="16">
        <v>0.23213890000000001</v>
      </c>
      <c r="K37" s="16">
        <v>0.13097990000000001</v>
      </c>
      <c r="L37" s="16">
        <v>1.2055297</v>
      </c>
      <c r="M37" s="13">
        <v>0.85942859999999999</v>
      </c>
    </row>
    <row r="38" spans="1:18" x14ac:dyDescent="0.35">
      <c r="A38" s="9">
        <v>14</v>
      </c>
      <c r="B38" s="8" t="s">
        <v>31</v>
      </c>
      <c r="C38" s="10" t="s">
        <v>23</v>
      </c>
      <c r="D38" s="16">
        <v>4.1319074999999996</v>
      </c>
      <c r="E38" s="16">
        <v>2.6204844</v>
      </c>
      <c r="F38" s="16">
        <v>3.9163573999999999</v>
      </c>
      <c r="G38" s="16">
        <v>2.8763820999999998</v>
      </c>
      <c r="H38" s="16">
        <v>2.7364644999999999</v>
      </c>
      <c r="I38" s="16">
        <v>0.35706339999999998</v>
      </c>
      <c r="J38" s="16">
        <v>1.4814088999999999</v>
      </c>
      <c r="K38" s="16">
        <v>0.62639690000000003</v>
      </c>
      <c r="L38" s="16">
        <v>1.2412795999999999</v>
      </c>
      <c r="M38" s="13">
        <v>0.53054069999999998</v>
      </c>
    </row>
    <row r="39" spans="1:18" x14ac:dyDescent="0.35">
      <c r="A39" s="9">
        <v>15</v>
      </c>
      <c r="B39" s="8" t="s">
        <v>158</v>
      </c>
      <c r="C39" s="10" t="s">
        <v>23</v>
      </c>
      <c r="D39" s="16">
        <f>AVERAGE(NZ_Extra!D18:D19)</f>
        <v>0.32219335849999997</v>
      </c>
      <c r="E39" s="16">
        <f>SQRT((NZ_Extra!E18)^2+(NZ_Extra!E19)^2)/2</f>
        <v>0.4232218032006097</v>
      </c>
      <c r="F39" s="16">
        <f>AVERAGE(NZ_Extra!F18:F19)</f>
        <v>1.32958559E-2</v>
      </c>
      <c r="G39" s="16">
        <f>SQRT((NZ_Extra!G18)^2+(NZ_Extra!G19)^2)/2</f>
        <v>1.829686655516297E-2</v>
      </c>
      <c r="H39" s="16">
        <f>AVERAGE(NZ_Extra!H18:H19)</f>
        <v>3.5641924999999999E-4</v>
      </c>
      <c r="I39" s="16">
        <f>SQRT((NZ_Extra!I18)^2+(NZ_Extra!I19)^2)/2</f>
        <v>3.6584106629438144E-4</v>
      </c>
      <c r="J39" s="30">
        <v>4.6197340000000003E-3</v>
      </c>
      <c r="K39" s="30"/>
      <c r="L39" s="30">
        <v>3.5641924999999999E-4</v>
      </c>
      <c r="M39" s="31"/>
    </row>
    <row r="40" spans="1:18" x14ac:dyDescent="0.35">
      <c r="A40" s="9">
        <v>16</v>
      </c>
      <c r="B40" s="8" t="s">
        <v>159</v>
      </c>
      <c r="C40" s="10" t="s">
        <v>23</v>
      </c>
      <c r="D40" s="16">
        <f>AVERAGE(NZ_Extra!D20:D21)</f>
        <v>3.6306909999999998E-2</v>
      </c>
      <c r="E40" s="16">
        <f>SQRT((NZ_Extra!E20)^2+(NZ_Extra!E21)^2)/2</f>
        <v>1.7120842887439858E-3</v>
      </c>
      <c r="F40" s="16">
        <f>AVERAGE(NZ_Extra!F20:F21)</f>
        <v>1.5563309049999998</v>
      </c>
      <c r="G40" s="16">
        <f>SQRT((NZ_Extra!G20)^2+(NZ_Extra!G21)^2)/2</f>
        <v>1.7630144541352383E-2</v>
      </c>
      <c r="H40" s="16">
        <f>AVERAGE(NZ_Extra!H20:H21)</f>
        <v>4.0146444999999996E-2</v>
      </c>
      <c r="I40" s="16">
        <f>SQRT((NZ_Extra!I20)^2+(NZ_Extra!I21)^2)/2</f>
        <v>1.4188023719211294E-3</v>
      </c>
      <c r="J40" s="30">
        <f>J41*0.1</f>
        <v>0.76321474840000003</v>
      </c>
      <c r="K40" s="30"/>
      <c r="L40" s="30">
        <v>2.43936121E-2</v>
      </c>
      <c r="M40" s="31"/>
    </row>
    <row r="41" spans="1:18" x14ac:dyDescent="0.35">
      <c r="A41" s="9">
        <v>17</v>
      </c>
      <c r="B41" s="8" t="s">
        <v>166</v>
      </c>
      <c r="C41" s="10" t="s">
        <v>23</v>
      </c>
      <c r="D41" s="8">
        <v>10.558088467999999</v>
      </c>
      <c r="E41" s="16">
        <v>8.4812444609999993</v>
      </c>
      <c r="F41" s="16">
        <v>3.5113963199999998</v>
      </c>
      <c r="G41" s="16">
        <v>3.2785495619999998</v>
      </c>
      <c r="H41" s="16">
        <v>7.5097617000000005E-2</v>
      </c>
      <c r="I41" s="16">
        <v>9.3705091000000004E-2</v>
      </c>
      <c r="J41" s="16">
        <v>7.6321474839999999</v>
      </c>
      <c r="K41" s="16">
        <v>8.6550229059999992</v>
      </c>
      <c r="L41" s="16">
        <v>1.770607E-3</v>
      </c>
      <c r="M41" s="13">
        <v>4.3370830000000003E-3</v>
      </c>
    </row>
    <row r="42" spans="1:18" x14ac:dyDescent="0.35">
      <c r="A42" s="9">
        <v>18</v>
      </c>
      <c r="B42" s="8" t="s">
        <v>167</v>
      </c>
      <c r="C42" s="10" t="s">
        <v>23</v>
      </c>
      <c r="D42" s="16">
        <v>18.989586814999999</v>
      </c>
      <c r="E42" s="16">
        <v>18.100777572999998</v>
      </c>
      <c r="F42" s="16">
        <v>12.853549478</v>
      </c>
      <c r="G42" s="16">
        <v>15.547954317</v>
      </c>
      <c r="H42" s="16">
        <v>0.120742196</v>
      </c>
      <c r="I42" s="16">
        <v>0.17997648599999999</v>
      </c>
      <c r="J42" s="16">
        <v>16.973081693000001</v>
      </c>
      <c r="K42" s="16">
        <v>11.787042123000001</v>
      </c>
      <c r="L42" s="16">
        <v>7.2586196000000006E-2</v>
      </c>
      <c r="M42" s="13">
        <v>0.15708614900000001</v>
      </c>
    </row>
    <row r="43" spans="1:18" x14ac:dyDescent="0.35">
      <c r="A43" s="9">
        <v>19</v>
      </c>
      <c r="B43" s="8" t="s">
        <v>32</v>
      </c>
      <c r="C43" s="10" t="s">
        <v>23</v>
      </c>
      <c r="D43" s="16">
        <v>1.5434566549514566</v>
      </c>
      <c r="E43" s="16"/>
      <c r="F43" s="16">
        <v>1.4416237537805825</v>
      </c>
      <c r="G43" s="16"/>
      <c r="H43" s="16">
        <v>1.3536079157970873</v>
      </c>
      <c r="I43" s="16"/>
      <c r="J43" s="16">
        <v>1.3335088099165049</v>
      </c>
      <c r="K43" s="16"/>
      <c r="L43" s="16">
        <v>0.44393055045728158</v>
      </c>
    </row>
    <row r="44" spans="1:18" s="8" customFormat="1" x14ac:dyDescent="0.35">
      <c r="A44" s="9">
        <v>20</v>
      </c>
      <c r="B44" s="8" t="s">
        <v>33</v>
      </c>
      <c r="C44" s="10" t="s">
        <v>23</v>
      </c>
      <c r="D44" s="16">
        <v>0.65952629521302764</v>
      </c>
      <c r="E44" s="16"/>
      <c r="F44" s="16">
        <v>0.62000116087823431</v>
      </c>
      <c r="G44" s="16"/>
      <c r="H44" s="16">
        <v>0.48131483710068862</v>
      </c>
      <c r="I44" s="16"/>
      <c r="J44" s="16">
        <v>0.3573097434747799</v>
      </c>
      <c r="K44" s="16"/>
      <c r="L44" s="16">
        <v>0.27148468227792955</v>
      </c>
      <c r="M44" s="11"/>
    </row>
    <row r="45" spans="1:18" s="8" customFormat="1" x14ac:dyDescent="0.35">
      <c r="A45" s="9">
        <v>21</v>
      </c>
      <c r="B45" s="8" t="s">
        <v>34</v>
      </c>
      <c r="C45" s="10" t="s">
        <v>23</v>
      </c>
      <c r="D45" s="16">
        <v>10.780903037908873</v>
      </c>
      <c r="E45" s="16"/>
      <c r="F45" s="16">
        <v>7.0893787541436453</v>
      </c>
      <c r="G45" s="16"/>
      <c r="H45" s="16">
        <v>8.904424149799027E-2</v>
      </c>
      <c r="I45" s="16"/>
      <c r="J45" s="16">
        <v>9.5119237526901603</v>
      </c>
      <c r="K45" s="16"/>
      <c r="L45" s="16">
        <v>4.4824425879249799E-2</v>
      </c>
      <c r="M45" s="11"/>
    </row>
    <row r="46" spans="1:18" s="8" customFormat="1" x14ac:dyDescent="0.35">
      <c r="A46" s="9">
        <v>22</v>
      </c>
      <c r="B46" s="8" t="s">
        <v>192</v>
      </c>
      <c r="C46" s="10" t="s">
        <v>180</v>
      </c>
      <c r="D46" s="16">
        <v>8.8048871245769537E-3</v>
      </c>
      <c r="E46" s="16"/>
      <c r="F46" s="16">
        <v>4.6036221215149066E-3</v>
      </c>
      <c r="G46" s="16"/>
      <c r="H46" s="16">
        <v>1.3022700702014502E-2</v>
      </c>
      <c r="I46" s="16"/>
      <c r="J46" s="16">
        <v>6.3421106746172429E-3</v>
      </c>
      <c r="K46" s="16"/>
      <c r="L46" s="16">
        <v>1.127351389653505E-3</v>
      </c>
      <c r="M46" s="11"/>
    </row>
    <row r="47" spans="1:18" x14ac:dyDescent="0.35">
      <c r="A47" s="9">
        <v>23</v>
      </c>
      <c r="B47" s="8" t="s">
        <v>193</v>
      </c>
      <c r="C47" s="10" t="s">
        <v>180</v>
      </c>
      <c r="D47">
        <v>3.5219548498307815E-2</v>
      </c>
      <c r="E47"/>
      <c r="F47">
        <v>1.8414488486059626E-2</v>
      </c>
      <c r="G47"/>
      <c r="H47">
        <v>5.2090802808058008E-2</v>
      </c>
      <c r="I47"/>
      <c r="J47">
        <v>2.5368442698468972E-2</v>
      </c>
      <c r="K47"/>
      <c r="L47">
        <v>4.5094055586140198E-3</v>
      </c>
      <c r="M47"/>
    </row>
    <row r="48" spans="1:18" x14ac:dyDescent="0.35">
      <c r="A48" s="9">
        <v>24</v>
      </c>
      <c r="B48" s="8" t="s">
        <v>194</v>
      </c>
      <c r="C48" s="10" t="s">
        <v>180</v>
      </c>
      <c r="D48" t="s">
        <v>218</v>
      </c>
      <c r="E48"/>
      <c r="F48">
        <v>1.5047298681708298E-2</v>
      </c>
      <c r="G48"/>
      <c r="H48">
        <v>1.5223554619822721E-2</v>
      </c>
      <c r="I48"/>
      <c r="J48">
        <v>4.5140908041901686E-3</v>
      </c>
      <c r="K48"/>
      <c r="L48">
        <v>9.8996067821434316E-3</v>
      </c>
      <c r="M48"/>
      <c r="Q48" s="28"/>
      <c r="R48" s="28"/>
    </row>
    <row r="49" spans="1:18" x14ac:dyDescent="0.35">
      <c r="A49" s="9">
        <v>25</v>
      </c>
      <c r="B49" s="8" t="s">
        <v>195</v>
      </c>
      <c r="C49" s="10" t="s">
        <v>180</v>
      </c>
      <c r="D49" t="s">
        <v>218</v>
      </c>
      <c r="E49"/>
      <c r="F49">
        <v>6.0189194726833192E-2</v>
      </c>
      <c r="G49"/>
      <c r="H49">
        <v>6.0894218479290885E-2</v>
      </c>
      <c r="I49"/>
      <c r="J49">
        <v>1.8056363216760674E-2</v>
      </c>
      <c r="K49"/>
      <c r="L49">
        <v>3.9598427128573727E-2</v>
      </c>
      <c r="M49"/>
      <c r="Q49" s="28"/>
      <c r="R49" s="28"/>
    </row>
    <row r="50" spans="1:18" x14ac:dyDescent="0.35">
      <c r="A50" s="9">
        <v>26</v>
      </c>
      <c r="B50" s="8" t="s">
        <v>196</v>
      </c>
      <c r="C50" s="10" t="s">
        <v>180</v>
      </c>
      <c r="D50">
        <v>6.7068113901900118E-4</v>
      </c>
      <c r="E50"/>
      <c r="F50">
        <v>2.2145495925762256E-3</v>
      </c>
      <c r="G50"/>
      <c r="H50">
        <v>1.312846638267786E-3</v>
      </c>
      <c r="I50"/>
      <c r="J50">
        <v>6.4994788793636756E-4</v>
      </c>
      <c r="K50"/>
      <c r="L50">
        <v>3.3752700747680065E-3</v>
      </c>
      <c r="M50"/>
    </row>
    <row r="51" spans="1:18" x14ac:dyDescent="0.35">
      <c r="A51" s="9">
        <v>27</v>
      </c>
      <c r="B51" s="8" t="s">
        <v>197</v>
      </c>
      <c r="C51" s="10" t="s">
        <v>180</v>
      </c>
      <c r="D51">
        <v>2.6827245560760047E-3</v>
      </c>
      <c r="E51"/>
      <c r="F51">
        <v>8.8581983703049025E-3</v>
      </c>
      <c r="G51"/>
      <c r="H51">
        <v>5.2513865530711438E-3</v>
      </c>
      <c r="I51"/>
      <c r="J51">
        <v>2.5997915517454702E-3</v>
      </c>
      <c r="K51"/>
      <c r="L51">
        <v>1.3501080299072026E-2</v>
      </c>
      <c r="M51"/>
    </row>
    <row r="52" spans="1:18" x14ac:dyDescent="0.35">
      <c r="A52" s="9">
        <v>28</v>
      </c>
      <c r="B52" s="8" t="s">
        <v>198</v>
      </c>
      <c r="C52" s="10" t="s">
        <v>180</v>
      </c>
      <c r="D52">
        <v>1.0897929519399024E-2</v>
      </c>
      <c r="E52"/>
      <c r="F52">
        <v>8.7505588857269105E-3</v>
      </c>
      <c r="G52"/>
      <c r="H52">
        <v>6.3487702737958446E-3</v>
      </c>
      <c r="I52"/>
      <c r="J52">
        <v>3.4977351833848863E-3</v>
      </c>
      <c r="K52"/>
      <c r="L52">
        <v>1.0009340097216052E-4</v>
      </c>
      <c r="M52"/>
    </row>
    <row r="53" spans="1:18" x14ac:dyDescent="0.35">
      <c r="A53" s="9">
        <v>29</v>
      </c>
      <c r="B53" s="8" t="s">
        <v>199</v>
      </c>
      <c r="C53" s="10" t="s">
        <v>180</v>
      </c>
      <c r="D53">
        <v>4.3591718077596098E-2</v>
      </c>
      <c r="E53"/>
      <c r="F53">
        <v>3.5002235542907642E-2</v>
      </c>
      <c r="G53"/>
      <c r="H53">
        <v>2.5395081095183378E-2</v>
      </c>
      <c r="I53"/>
      <c r="J53">
        <v>1.3990940733539545E-2</v>
      </c>
      <c r="K53"/>
      <c r="L53">
        <v>4.0037360388864209E-4</v>
      </c>
      <c r="M53"/>
    </row>
    <row r="54" spans="1:18" x14ac:dyDescent="0.35">
      <c r="A54" s="9">
        <v>30</v>
      </c>
      <c r="B54" s="8" t="s">
        <v>200</v>
      </c>
      <c r="C54" s="10" t="s">
        <v>180</v>
      </c>
      <c r="D54">
        <v>9.0208445402386185E-4</v>
      </c>
      <c r="E54"/>
      <c r="F54">
        <v>3.7226046390808654E-5</v>
      </c>
      <c r="G54"/>
      <c r="H54">
        <v>9.9791090057445854E-7</v>
      </c>
      <c r="I54"/>
      <c r="J54">
        <v>1.2935183384887315E-5</v>
      </c>
      <c r="K54"/>
      <c r="L54">
        <v>9.9791090057445854E-7</v>
      </c>
      <c r="M54"/>
    </row>
    <row r="55" spans="1:18" x14ac:dyDescent="0.35">
      <c r="A55" s="9">
        <v>31</v>
      </c>
      <c r="B55" s="8" t="s">
        <v>201</v>
      </c>
      <c r="C55" s="10" t="s">
        <v>180</v>
      </c>
      <c r="D55">
        <v>3.6083378160954474E-3</v>
      </c>
      <c r="E55"/>
      <c r="F55">
        <v>1.4890418556323461E-4</v>
      </c>
      <c r="G55"/>
      <c r="H55">
        <v>3.9916436022978342E-6</v>
      </c>
      <c r="I55"/>
      <c r="J55">
        <v>5.1740733539549262E-5</v>
      </c>
      <c r="K55"/>
      <c r="L55">
        <v>3.9916436022978342E-6</v>
      </c>
      <c r="M55"/>
    </row>
    <row r="56" spans="1:18" x14ac:dyDescent="0.35">
      <c r="A56" s="9">
        <v>32</v>
      </c>
      <c r="B56" s="8" t="s">
        <v>202</v>
      </c>
      <c r="C56" s="10" t="s">
        <v>180</v>
      </c>
      <c r="D56">
        <v>3.7009217172821907E-2</v>
      </c>
      <c r="E56"/>
      <c r="F56">
        <v>1.9473429398356161E-2</v>
      </c>
      <c r="G56"/>
      <c r="H56">
        <v>2.4753847649315066E-4</v>
      </c>
      <c r="I56"/>
      <c r="J56">
        <v>3.0310233611616437E-2</v>
      </c>
      <c r="K56"/>
      <c r="L56">
        <v>8.2263063890410955E-5</v>
      </c>
      <c r="M56"/>
    </row>
    <row r="57" spans="1:18" x14ac:dyDescent="0.35">
      <c r="A57" s="9">
        <v>33</v>
      </c>
      <c r="B57" s="8" t="s">
        <v>203</v>
      </c>
      <c r="C57" s="10" t="s">
        <v>180</v>
      </c>
      <c r="D57">
        <v>0.14803686869128763</v>
      </c>
      <c r="E57"/>
      <c r="F57">
        <v>7.7893717593424644E-2</v>
      </c>
      <c r="G57"/>
      <c r="H57">
        <v>9.9015390597260262E-4</v>
      </c>
      <c r="I57"/>
      <c r="J57">
        <v>0.12124093444646575</v>
      </c>
      <c r="K57"/>
      <c r="L57">
        <v>3.2905225556164382E-4</v>
      </c>
      <c r="M57"/>
    </row>
    <row r="58" spans="1:18" x14ac:dyDescent="0.35">
      <c r="A58" s="9">
        <v>34</v>
      </c>
      <c r="B58" s="8" t="s">
        <v>204</v>
      </c>
      <c r="C58" s="10" t="s">
        <v>180</v>
      </c>
      <c r="D58">
        <v>9.2304946849315047E-5</v>
      </c>
      <c r="E58"/>
      <c r="F58">
        <v>4.0916639605479447E-3</v>
      </c>
      <c r="G58"/>
      <c r="H58">
        <v>6.4158541413698628E-5</v>
      </c>
      <c r="I58"/>
      <c r="J58">
        <v>2.0073593382575342E-3</v>
      </c>
      <c r="K58"/>
      <c r="L58">
        <v>6.4158541413698628E-5</v>
      </c>
      <c r="M58"/>
    </row>
    <row r="59" spans="1:18" x14ac:dyDescent="0.35">
      <c r="A59" s="9">
        <v>35</v>
      </c>
      <c r="B59" s="8" t="s">
        <v>205</v>
      </c>
      <c r="C59" s="10" t="s">
        <v>180</v>
      </c>
      <c r="D59">
        <v>3.6921978739726019E-4</v>
      </c>
      <c r="E59"/>
      <c r="F59">
        <v>1.6366655842191779E-2</v>
      </c>
      <c r="G59"/>
      <c r="H59">
        <v>2.5663416565479451E-4</v>
      </c>
      <c r="I59"/>
      <c r="J59">
        <v>8.0294373530301368E-3</v>
      </c>
      <c r="K59"/>
      <c r="L59">
        <v>2.5663416565479451E-4</v>
      </c>
      <c r="M59"/>
    </row>
    <row r="60" spans="1:18" x14ac:dyDescent="0.35">
      <c r="A60" s="9">
        <v>36</v>
      </c>
      <c r="B60" s="8" t="s">
        <v>206</v>
      </c>
      <c r="C60" s="10" t="s">
        <v>180</v>
      </c>
      <c r="D60">
        <v>1.5984290837579467E-3</v>
      </c>
      <c r="E60"/>
      <c r="F60">
        <v>1.492969257339891E-3</v>
      </c>
      <c r="G60"/>
      <c r="H60">
        <v>1.4018186086884904E-3</v>
      </c>
      <c r="I60"/>
      <c r="J60">
        <v>1.3810036442422982E-3</v>
      </c>
      <c r="K60"/>
      <c r="L60">
        <v>4.5974177554206145E-4</v>
      </c>
      <c r="M60"/>
    </row>
    <row r="61" spans="1:18" x14ac:dyDescent="0.35">
      <c r="A61" s="9">
        <v>37</v>
      </c>
      <c r="B61" s="8" t="s">
        <v>207</v>
      </c>
      <c r="C61" s="10" t="s">
        <v>180</v>
      </c>
      <c r="D61">
        <v>6.3937163350317868E-3</v>
      </c>
      <c r="E61"/>
      <c r="F61">
        <v>5.9718770293595638E-3</v>
      </c>
      <c r="G61"/>
      <c r="H61">
        <v>5.6072744347539618E-3</v>
      </c>
      <c r="I61"/>
      <c r="J61">
        <v>5.5240145769691927E-3</v>
      </c>
      <c r="K61"/>
      <c r="L61">
        <v>1.8389671021682458E-3</v>
      </c>
      <c r="M61"/>
    </row>
    <row r="62" spans="1:18" x14ac:dyDescent="0.35">
      <c r="A62" s="9">
        <v>38</v>
      </c>
      <c r="B62" s="8" t="s">
        <v>208</v>
      </c>
      <c r="C62" s="10" t="s">
        <v>180</v>
      </c>
      <c r="D62">
        <v>6.4019563269995572E-5</v>
      </c>
      <c r="E62"/>
      <c r="F62">
        <v>2.1138882474591245E-4</v>
      </c>
      <c r="G62"/>
      <c r="H62">
        <v>1.2531717910737957E-4</v>
      </c>
      <c r="I62"/>
      <c r="J62">
        <v>6.2040480212107813E-5</v>
      </c>
      <c r="K62"/>
      <c r="L62">
        <v>3.2218487077330973E-4</v>
      </c>
      <c r="M62"/>
    </row>
    <row r="63" spans="1:18" x14ac:dyDescent="0.35">
      <c r="A63" s="9">
        <v>39</v>
      </c>
      <c r="B63" s="8" t="s">
        <v>209</v>
      </c>
      <c r="C63" s="10" t="s">
        <v>180</v>
      </c>
      <c r="D63">
        <v>2.5607825307998229E-4</v>
      </c>
      <c r="E63"/>
      <c r="F63">
        <v>8.455552989836498E-4</v>
      </c>
      <c r="G63"/>
      <c r="H63">
        <v>5.0126871642951828E-4</v>
      </c>
      <c r="I63"/>
      <c r="J63">
        <v>2.4816192084843125E-4</v>
      </c>
      <c r="K63"/>
      <c r="L63">
        <v>1.2887394830932389E-3</v>
      </c>
      <c r="M63"/>
    </row>
    <row r="64" spans="1:18" x14ac:dyDescent="0.35">
      <c r="A64" s="9">
        <v>40</v>
      </c>
      <c r="B64" s="8" t="s">
        <v>210</v>
      </c>
      <c r="C64" s="10" t="s">
        <v>180</v>
      </c>
      <c r="D64">
        <v>1.0402569086699069E-3</v>
      </c>
      <c r="E64"/>
      <c r="F64">
        <v>8.3528062091029593E-4</v>
      </c>
      <c r="G64"/>
      <c r="H64">
        <v>6.0601898068051254E-4</v>
      </c>
      <c r="I64"/>
      <c r="J64">
        <v>3.338747220503755E-4</v>
      </c>
      <c r="K64"/>
      <c r="L64">
        <v>9.5543700927971409E-6</v>
      </c>
      <c r="M64"/>
    </row>
    <row r="65" spans="1:13" x14ac:dyDescent="0.35">
      <c r="A65" s="9">
        <v>41</v>
      </c>
      <c r="B65" s="8" t="s">
        <v>211</v>
      </c>
      <c r="C65" s="10" t="s">
        <v>180</v>
      </c>
      <c r="D65">
        <v>4.1610276346796277E-3</v>
      </c>
      <c r="F65">
        <v>3.3411224836411837E-3</v>
      </c>
      <c r="G65"/>
      <c r="H65">
        <v>2.4240759227220502E-3</v>
      </c>
      <c r="I65"/>
      <c r="J65">
        <v>1.335498888201502E-3</v>
      </c>
      <c r="K65"/>
      <c r="L65">
        <v>3.8217480371188564E-5</v>
      </c>
      <c r="M65"/>
    </row>
    <row r="66" spans="1:13" x14ac:dyDescent="0.35">
      <c r="A66" s="9">
        <v>42</v>
      </c>
      <c r="B66" s="8" t="s">
        <v>212</v>
      </c>
      <c r="C66" s="10" t="s">
        <v>180</v>
      </c>
      <c r="D66">
        <v>8.610806152045954E-5</v>
      </c>
      <c r="E66"/>
      <c r="F66">
        <v>3.5533953373044627E-6</v>
      </c>
      <c r="G66"/>
      <c r="H66">
        <v>9.5255131418471043E-8</v>
      </c>
      <c r="I66"/>
      <c r="J66">
        <v>1.2347220503756074E-6</v>
      </c>
      <c r="K66"/>
      <c r="L66">
        <v>9.5255131418471043E-8</v>
      </c>
      <c r="M66"/>
    </row>
    <row r="67" spans="1:13" x14ac:dyDescent="0.35">
      <c r="A67" s="9">
        <v>43</v>
      </c>
      <c r="B67" s="8" t="s">
        <v>213</v>
      </c>
      <c r="C67" s="10" t="s">
        <v>180</v>
      </c>
      <c r="D67">
        <v>3.4443224608183816E-4</v>
      </c>
      <c r="E67"/>
      <c r="F67">
        <v>1.4213581349217851E-5</v>
      </c>
      <c r="G67"/>
      <c r="H67">
        <v>3.8102052567388417E-7</v>
      </c>
      <c r="I67"/>
      <c r="J67">
        <v>4.9388882015024296E-6</v>
      </c>
      <c r="K67"/>
      <c r="L67">
        <v>3.8102052567388417E-7</v>
      </c>
      <c r="M67"/>
    </row>
    <row r="68" spans="1:13" x14ac:dyDescent="0.35">
      <c r="A68" s="9">
        <v>44</v>
      </c>
      <c r="B68" s="8" t="s">
        <v>214</v>
      </c>
      <c r="C68" s="10" t="s">
        <v>180</v>
      </c>
      <c r="D68">
        <v>1.1057197553202541E-2</v>
      </c>
      <c r="E68"/>
      <c r="F68">
        <v>5.8180521595601253E-3</v>
      </c>
      <c r="G68"/>
      <c r="H68">
        <v>7.3956761198763033E-5</v>
      </c>
      <c r="I68"/>
      <c r="J68">
        <v>9.0557506083506316E-3</v>
      </c>
      <c r="K68"/>
      <c r="L68">
        <v>2.4577632769708229E-5</v>
      </c>
      <c r="M68"/>
    </row>
    <row r="69" spans="1:13" x14ac:dyDescent="0.35">
      <c r="A69" s="9">
        <v>45</v>
      </c>
      <c r="B69" s="8" t="s">
        <v>215</v>
      </c>
      <c r="C69" s="10" t="s">
        <v>180</v>
      </c>
      <c r="D69">
        <v>4.4228790212810162E-2</v>
      </c>
      <c r="E69"/>
      <c r="F69">
        <v>2.3272208638240501E-2</v>
      </c>
      <c r="G69"/>
      <c r="H69">
        <v>2.9582704479505213E-4</v>
      </c>
      <c r="I69"/>
      <c r="J69">
        <v>3.6223002433402526E-2</v>
      </c>
      <c r="K69"/>
      <c r="L69">
        <v>9.8310531078832914E-5</v>
      </c>
      <c r="M69"/>
    </row>
    <row r="70" spans="1:13" x14ac:dyDescent="0.35">
      <c r="A70" s="9">
        <v>46</v>
      </c>
      <c r="B70" s="8" t="s">
        <v>216</v>
      </c>
      <c r="C70" s="10" t="s">
        <v>180</v>
      </c>
      <c r="D70">
        <v>2.757783358898631E-5</v>
      </c>
      <c r="E70"/>
      <c r="F70">
        <v>1.2224613269129594E-3</v>
      </c>
      <c r="G70"/>
      <c r="H70">
        <v>1.916856721999398E-5</v>
      </c>
      <c r="I70"/>
      <c r="J70">
        <v>5.9973624029203087E-4</v>
      </c>
      <c r="K70"/>
      <c r="L70">
        <v>1.916856721999398E-5</v>
      </c>
      <c r="M70"/>
    </row>
    <row r="71" spans="1:13" x14ac:dyDescent="0.35">
      <c r="A71" s="9">
        <v>47</v>
      </c>
      <c r="B71" s="8" t="s">
        <v>217</v>
      </c>
      <c r="C71" s="10" t="s">
        <v>180</v>
      </c>
      <c r="D71">
        <v>1.1031133435594524E-4</v>
      </c>
      <c r="E71"/>
      <c r="F71">
        <v>4.8898453076518375E-3</v>
      </c>
      <c r="G71"/>
      <c r="H71">
        <v>7.667426887997592E-5</v>
      </c>
      <c r="I71"/>
      <c r="J71">
        <v>2.3989449611681235E-3</v>
      </c>
      <c r="K71"/>
      <c r="L71">
        <v>7.667426887997592E-5</v>
      </c>
      <c r="M71"/>
    </row>
    <row r="72" spans="1:13" x14ac:dyDescent="0.35">
      <c r="A72" s="9">
        <v>48</v>
      </c>
      <c r="B72" s="8" t="s">
        <v>154</v>
      </c>
      <c r="C72" s="10" t="s">
        <v>155</v>
      </c>
      <c r="D72" s="16">
        <v>555.38994216228696</v>
      </c>
      <c r="E72" s="16"/>
      <c r="F72" s="16">
        <v>384.66280015304699</v>
      </c>
      <c r="G72" s="16"/>
      <c r="H72" s="16">
        <v>317.083903009398</v>
      </c>
      <c r="I72" s="16"/>
      <c r="J72" s="16">
        <v>235.54478217396701</v>
      </c>
      <c r="K72" s="16"/>
      <c r="L72" s="16">
        <v>354.50234195540702</v>
      </c>
    </row>
    <row r="73" spans="1:13" x14ac:dyDescent="0.35">
      <c r="A73" s="9">
        <v>49</v>
      </c>
      <c r="B73" s="8" t="s">
        <v>156</v>
      </c>
      <c r="C73" s="10" t="s">
        <v>155</v>
      </c>
      <c r="D73" s="16">
        <v>1679.9187908255799</v>
      </c>
      <c r="E73" s="16"/>
      <c r="F73" s="16">
        <v>524.29391895270601</v>
      </c>
      <c r="G73" s="16"/>
      <c r="H73" s="16">
        <v>436.082019537897</v>
      </c>
      <c r="I73" s="16"/>
      <c r="J73" s="16">
        <v>308.87667068271998</v>
      </c>
      <c r="K73" s="16"/>
      <c r="L73" s="16">
        <v>627.79010109917101</v>
      </c>
    </row>
    <row r="74" spans="1:13" x14ac:dyDescent="0.35">
      <c r="A74" s="9">
        <v>50</v>
      </c>
      <c r="B74" s="8" t="s">
        <v>157</v>
      </c>
      <c r="C74" s="10" t="s">
        <v>155</v>
      </c>
      <c r="D74" s="16">
        <v>11749.864845948199</v>
      </c>
      <c r="E74" s="16"/>
      <c r="F74" s="16">
        <v>8239.8320490517999</v>
      </c>
      <c r="G74" s="16"/>
      <c r="H74" s="16">
        <v>10570.128463663599</v>
      </c>
      <c r="I74" s="16"/>
      <c r="J74" s="16">
        <v>23363.7795992069</v>
      </c>
      <c r="K74" s="16"/>
      <c r="L74" s="16">
        <v>11056.7363182476</v>
      </c>
    </row>
    <row r="75" spans="1:13" x14ac:dyDescent="0.35">
      <c r="A75" s="9">
        <v>51</v>
      </c>
      <c r="B75" s="8" t="s">
        <v>36</v>
      </c>
      <c r="C75" s="10" t="s">
        <v>37</v>
      </c>
      <c r="D75" s="13">
        <v>7.5640000000000004E-3</v>
      </c>
      <c r="E75" s="16"/>
      <c r="F75" s="13">
        <v>7.5640000000000004E-3</v>
      </c>
      <c r="G75" s="16"/>
      <c r="H75" s="13">
        <v>7.5640000000000004E-3</v>
      </c>
      <c r="I75" s="16"/>
      <c r="J75" s="13">
        <v>7.5640000000000004E-3</v>
      </c>
      <c r="K75" s="16"/>
      <c r="L75" s="13">
        <v>7.5640000000000004E-3</v>
      </c>
    </row>
    <row r="76" spans="1:13" x14ac:dyDescent="0.35">
      <c r="A76" s="9">
        <v>52</v>
      </c>
      <c r="B76" s="8" t="s">
        <v>38</v>
      </c>
      <c r="C76" s="10" t="s">
        <v>37</v>
      </c>
      <c r="D76" s="16">
        <v>0.46887499999999999</v>
      </c>
      <c r="E76" s="16"/>
      <c r="F76" s="16">
        <v>0.46887499999999999</v>
      </c>
      <c r="G76" s="16"/>
      <c r="H76" s="16">
        <v>0.46887499999999999</v>
      </c>
      <c r="I76" s="16"/>
      <c r="J76" s="16">
        <v>0.46887499999999999</v>
      </c>
      <c r="K76" s="16"/>
      <c r="L76" s="16">
        <v>0.46887499999999999</v>
      </c>
    </row>
    <row r="77" spans="1:13" x14ac:dyDescent="0.35">
      <c r="A77" s="9">
        <v>53</v>
      </c>
      <c r="B77" s="8" t="s">
        <v>150</v>
      </c>
      <c r="C77" s="10" t="s">
        <v>37</v>
      </c>
      <c r="D77" s="16">
        <v>0.96186859999999996</v>
      </c>
      <c r="E77" s="18"/>
      <c r="F77" s="16">
        <v>0.54815100000000005</v>
      </c>
      <c r="G77" s="16"/>
      <c r="H77" s="16">
        <v>2.8122100000000001E-2</v>
      </c>
      <c r="I77" s="16"/>
      <c r="J77" s="16">
        <v>7.6366180000000006E-2</v>
      </c>
      <c r="K77" s="16"/>
      <c r="L77" s="16">
        <v>6.09</v>
      </c>
    </row>
    <row r="78" spans="1:13" x14ac:dyDescent="0.35">
      <c r="A78" s="9">
        <v>54</v>
      </c>
      <c r="B78" s="8" t="s">
        <v>151</v>
      </c>
      <c r="C78" s="10" t="s">
        <v>37</v>
      </c>
      <c r="D78" s="30">
        <v>1.169837E-2</v>
      </c>
      <c r="E78" s="33"/>
      <c r="F78" s="30">
        <v>0.51856159999999996</v>
      </c>
      <c r="G78" s="30"/>
      <c r="H78" s="30">
        <v>8.1312050000000007E-3</v>
      </c>
      <c r="I78" s="30"/>
      <c r="J78" s="30">
        <v>1.084633E-3</v>
      </c>
      <c r="K78" s="30"/>
      <c r="L78" s="30">
        <v>3.0809380000000001E-2</v>
      </c>
    </row>
    <row r="79" spans="1:13" x14ac:dyDescent="0.35">
      <c r="A79" s="9">
        <v>55</v>
      </c>
      <c r="B79" s="8" t="s">
        <v>39</v>
      </c>
      <c r="C79" s="10" t="s">
        <v>40</v>
      </c>
      <c r="D79" s="16">
        <v>1300</v>
      </c>
      <c r="E79" s="18"/>
      <c r="F79" s="16">
        <v>1300</v>
      </c>
      <c r="G79" s="16"/>
      <c r="H79" s="16">
        <v>1300</v>
      </c>
      <c r="I79" s="16"/>
      <c r="J79" s="16">
        <v>1300</v>
      </c>
      <c r="K79" s="16"/>
      <c r="L79" s="16">
        <v>1300</v>
      </c>
    </row>
    <row r="80" spans="1:13" x14ac:dyDescent="0.35">
      <c r="A80" s="9">
        <v>56</v>
      </c>
      <c r="B80" s="8" t="s">
        <v>41</v>
      </c>
      <c r="C80" s="10" t="s">
        <v>40</v>
      </c>
      <c r="D80" s="16">
        <v>892000</v>
      </c>
      <c r="E80" s="18"/>
      <c r="F80" s="16">
        <v>892000</v>
      </c>
      <c r="G80" s="16"/>
      <c r="H80" s="16">
        <v>892000</v>
      </c>
      <c r="I80" s="16"/>
      <c r="J80" s="16">
        <v>892000</v>
      </c>
      <c r="K80" s="16"/>
      <c r="L80" s="16">
        <v>892000</v>
      </c>
    </row>
    <row r="81" spans="1:13" x14ac:dyDescent="0.35">
      <c r="A81" s="9">
        <v>57</v>
      </c>
      <c r="B81" s="8" t="s">
        <v>42</v>
      </c>
      <c r="C81" s="10" t="s">
        <v>40</v>
      </c>
      <c r="D81" s="16">
        <v>1257660</v>
      </c>
      <c r="E81" s="18"/>
      <c r="F81" s="16">
        <v>1257660</v>
      </c>
      <c r="G81" s="16"/>
      <c r="H81" s="16">
        <v>1257660</v>
      </c>
      <c r="I81" s="16"/>
      <c r="J81" s="16">
        <v>1257660</v>
      </c>
      <c r="K81" s="16"/>
      <c r="L81" s="16">
        <v>1257660</v>
      </c>
    </row>
    <row r="82" spans="1:13" x14ac:dyDescent="0.35">
      <c r="A82" s="9">
        <v>58</v>
      </c>
      <c r="B82" s="8" t="s">
        <v>182</v>
      </c>
      <c r="C82" s="10" t="s">
        <v>35</v>
      </c>
      <c r="D82" s="17">
        <v>2.9054885489814511E-2</v>
      </c>
      <c r="E82" s="17"/>
      <c r="F82" s="17">
        <v>1.2487660643774923E-2</v>
      </c>
      <c r="G82" s="17"/>
      <c r="H82" s="17">
        <v>1.7076904999999999E-4</v>
      </c>
      <c r="I82" s="17"/>
      <c r="J82" s="17">
        <v>2.3186058601375289E-2</v>
      </c>
      <c r="K82" s="17"/>
      <c r="L82" s="17">
        <v>1.258873E-4</v>
      </c>
      <c r="M82" s="15"/>
    </row>
    <row r="84" spans="1:13" ht="30" x14ac:dyDescent="0.6">
      <c r="A84" s="19" t="s">
        <v>43</v>
      </c>
      <c r="B84" s="20"/>
      <c r="C84" s="20"/>
      <c r="D84" s="21"/>
      <c r="E84" s="21"/>
      <c r="F84" s="21"/>
      <c r="G84" s="21"/>
      <c r="H84" s="21"/>
      <c r="I84" s="21"/>
      <c r="J84" s="21"/>
      <c r="K84" s="21"/>
      <c r="L84" s="21"/>
      <c r="M84" s="21"/>
    </row>
    <row r="85" spans="1:13" x14ac:dyDescent="0.35">
      <c r="A85" s="22">
        <v>1</v>
      </c>
      <c r="B85" s="22" t="s">
        <v>44</v>
      </c>
      <c r="C85" s="23" t="s">
        <v>45</v>
      </c>
      <c r="D85" s="24">
        <v>3.5960812008899148</v>
      </c>
      <c r="E85" s="24">
        <v>0.3805068304740048</v>
      </c>
      <c r="F85" s="24">
        <v>0.57160202258733517</v>
      </c>
      <c r="G85" s="24">
        <v>0.23901983245509709</v>
      </c>
      <c r="H85" s="24">
        <v>6.9638937860270778</v>
      </c>
      <c r="I85" s="24">
        <v>0.14862612609552778</v>
      </c>
      <c r="J85" s="24">
        <v>6.9932793679930461</v>
      </c>
      <c r="K85" s="24">
        <v>0.36404256906910959</v>
      </c>
      <c r="L85" s="24">
        <v>3.9811394148482839</v>
      </c>
      <c r="M85" s="24">
        <v>2.1858299757541513</v>
      </c>
    </row>
    <row r="86" spans="1:13" x14ac:dyDescent="0.35">
      <c r="A86" s="22">
        <v>2</v>
      </c>
      <c r="B86" s="22" t="s">
        <v>46</v>
      </c>
      <c r="C86" s="23" t="s">
        <v>45</v>
      </c>
      <c r="D86" s="24"/>
      <c r="E86" s="24"/>
      <c r="F86" s="24"/>
      <c r="G86" s="24"/>
      <c r="H86" s="24"/>
      <c r="I86" s="24"/>
      <c r="J86" s="24"/>
      <c r="K86" s="24"/>
      <c r="L86" s="24"/>
      <c r="M86" s="21"/>
    </row>
    <row r="87" spans="1:13" x14ac:dyDescent="0.35">
      <c r="A87" s="22">
        <v>3</v>
      </c>
      <c r="B87" s="22" t="s">
        <v>47</v>
      </c>
      <c r="C87" s="23" t="s">
        <v>45</v>
      </c>
      <c r="D87" s="24">
        <v>6.5344519999999999</v>
      </c>
      <c r="E87" s="24">
        <v>0.75064960000000003</v>
      </c>
      <c r="F87" s="21">
        <v>4.0130990000000004</v>
      </c>
      <c r="G87" s="21">
        <v>0.6753015</v>
      </c>
      <c r="H87" s="11">
        <v>9.1313420000000001</v>
      </c>
      <c r="I87" s="11">
        <v>0.45024690000000001</v>
      </c>
      <c r="J87" s="21">
        <v>9.7313410000000005</v>
      </c>
      <c r="K87" s="21">
        <v>0.35580620000000002</v>
      </c>
      <c r="L87" s="24">
        <v>4.5152340000000004</v>
      </c>
      <c r="M87" s="24">
        <v>0.33743719999999999</v>
      </c>
    </row>
    <row r="88" spans="1:13" x14ac:dyDescent="0.35">
      <c r="A88" s="22">
        <v>4</v>
      </c>
      <c r="B88" s="22" t="s">
        <v>48</v>
      </c>
      <c r="C88" s="23" t="s">
        <v>45</v>
      </c>
      <c r="D88" s="24">
        <v>6.0951810000000002</v>
      </c>
      <c r="E88" s="24">
        <v>1.4836384</v>
      </c>
      <c r="F88" s="21">
        <v>4.4330930000000004</v>
      </c>
      <c r="G88" s="21">
        <v>0.7529901</v>
      </c>
      <c r="H88" s="21">
        <v>8.9932130000000008</v>
      </c>
      <c r="I88" s="21">
        <v>0.57430250000000005</v>
      </c>
      <c r="J88" s="21">
        <v>10.505179</v>
      </c>
      <c r="K88" s="21">
        <v>0.38461450000000003</v>
      </c>
      <c r="L88" s="24">
        <v>6.5810570000000004</v>
      </c>
      <c r="M88" s="24">
        <v>1.1969808</v>
      </c>
    </row>
    <row r="89" spans="1:13" x14ac:dyDescent="0.35">
      <c r="A89" s="22">
        <v>5</v>
      </c>
      <c r="B89" s="22" t="s">
        <v>49</v>
      </c>
      <c r="C89" s="23" t="s">
        <v>45</v>
      </c>
      <c r="D89" s="24">
        <v>2.78</v>
      </c>
      <c r="E89" s="24">
        <v>1.33</v>
      </c>
      <c r="F89" s="21">
        <v>1.1299999999999999</v>
      </c>
      <c r="G89" s="21">
        <v>0.55000000000000004</v>
      </c>
      <c r="H89" s="21" t="s">
        <v>71</v>
      </c>
      <c r="I89" s="21" t="s">
        <v>71</v>
      </c>
      <c r="J89" s="21">
        <v>7.75</v>
      </c>
      <c r="K89" s="21">
        <v>0.47</v>
      </c>
      <c r="L89" s="24" t="s">
        <v>71</v>
      </c>
      <c r="M89" s="24" t="s">
        <v>71</v>
      </c>
    </row>
  </sheetData>
  <pageMargins left="0.7" right="0.7" top="0.75" bottom="0.75" header="0.3" footer="0.3"/>
  <pageSetup orientation="portrait" r:id="rId1"/>
  <legacyDrawing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06517A-889A-4E8D-B3FE-1AF1BA3EEC26}">
  <dimension ref="A1:M21"/>
  <sheetViews>
    <sheetView workbookViewId="0">
      <selection activeCell="I3" sqref="I3"/>
    </sheetView>
  </sheetViews>
  <sheetFormatPr defaultRowHeight="14.5" x14ac:dyDescent="0.35"/>
  <sheetData>
    <row r="1" spans="1:13" x14ac:dyDescent="0.35">
      <c r="C1" s="3" t="s">
        <v>1</v>
      </c>
      <c r="D1" s="3" t="s">
        <v>2</v>
      </c>
      <c r="E1" s="4" t="s">
        <v>3</v>
      </c>
      <c r="F1" s="3" t="s">
        <v>4</v>
      </c>
      <c r="G1" s="4" t="s">
        <v>3</v>
      </c>
      <c r="H1" s="3" t="s">
        <v>5</v>
      </c>
      <c r="I1" s="4" t="s">
        <v>3</v>
      </c>
      <c r="J1" s="3" t="s">
        <v>6</v>
      </c>
      <c r="K1" s="4" t="s">
        <v>3</v>
      </c>
      <c r="L1" s="3" t="s">
        <v>7</v>
      </c>
      <c r="M1" s="4" t="s">
        <v>3</v>
      </c>
    </row>
    <row r="2" spans="1:13" x14ac:dyDescent="0.35">
      <c r="A2" s="5"/>
      <c r="B2" s="5" t="s">
        <v>175</v>
      </c>
      <c r="C2" s="6" t="s">
        <v>8</v>
      </c>
      <c r="D2" s="15">
        <v>1.7962237700298131</v>
      </c>
      <c r="E2" s="15">
        <v>1.0500832947415339</v>
      </c>
      <c r="F2" s="15">
        <v>1.9411329585419772</v>
      </c>
      <c r="G2" s="15">
        <v>0.25928627909075069</v>
      </c>
      <c r="H2" s="15">
        <v>2.8889079490686491</v>
      </c>
      <c r="I2" s="15">
        <v>1.1663680163316625</v>
      </c>
      <c r="J2" s="15">
        <v>1.4407556885847825</v>
      </c>
      <c r="K2" s="15">
        <v>0.64308168711583713</v>
      </c>
      <c r="L2" s="15">
        <v>1.578713561764105</v>
      </c>
      <c r="M2" s="15">
        <v>0.93205887711323643</v>
      </c>
    </row>
    <row r="3" spans="1:13" x14ac:dyDescent="0.35">
      <c r="A3" s="5"/>
      <c r="B3" s="5" t="s">
        <v>176</v>
      </c>
      <c r="C3" s="6" t="s">
        <v>8</v>
      </c>
      <c r="D3" s="15">
        <v>1.3950297920209684</v>
      </c>
      <c r="E3" s="15">
        <v>0.3948414338279968</v>
      </c>
      <c r="F3" s="15">
        <v>0.21738205087269694</v>
      </c>
      <c r="G3" s="15">
        <v>0.30950426163560146</v>
      </c>
      <c r="H3" s="15">
        <v>1.2095219248052922</v>
      </c>
      <c r="I3" s="15">
        <v>1.2899133207846496</v>
      </c>
      <c r="J3" s="15">
        <v>0.82721749746743256</v>
      </c>
      <c r="K3" s="15">
        <v>0.72680912459169078</v>
      </c>
      <c r="L3" s="15">
        <v>9.0416853947339629E-2</v>
      </c>
      <c r="M3" s="15">
        <v>1.8964931652927046</v>
      </c>
    </row>
    <row r="4" spans="1:13" x14ac:dyDescent="0.35">
      <c r="A4" s="5"/>
      <c r="B4" s="5" t="s">
        <v>177</v>
      </c>
      <c r="C4" s="6" t="s">
        <v>8</v>
      </c>
      <c r="D4" s="15">
        <v>2.7027518933880659</v>
      </c>
      <c r="E4" s="15">
        <v>1.2972389875023116</v>
      </c>
      <c r="F4">
        <v>0.38416625898562273</v>
      </c>
      <c r="G4" s="15">
        <v>0.22715137098233198</v>
      </c>
      <c r="H4" s="15">
        <v>0.27498051645595195</v>
      </c>
      <c r="I4" s="15">
        <v>0.18507877493185934</v>
      </c>
      <c r="J4" s="15">
        <v>0.10310345023057137</v>
      </c>
      <c r="K4" s="15">
        <v>4.2943839223272474E-2</v>
      </c>
      <c r="L4" s="15">
        <v>9.1402288733881454E-2</v>
      </c>
      <c r="M4" s="15">
        <v>4.6373484822439213E-2</v>
      </c>
    </row>
    <row r="5" spans="1:13" x14ac:dyDescent="0.35">
      <c r="A5" s="5"/>
      <c r="B5" s="5" t="s">
        <v>178</v>
      </c>
      <c r="C5" s="6" t="s">
        <v>8</v>
      </c>
      <c r="D5" s="15">
        <f>SUM(D2:D4)</f>
        <v>5.8940054554388475</v>
      </c>
      <c r="E5" s="15">
        <f>SQRT((E2)^2+(E3)^2+(E4)^2)</f>
        <v>1.7150520908877978</v>
      </c>
      <c r="F5" s="15">
        <f>SUM(F2:F4)</f>
        <v>2.5426812684002971</v>
      </c>
      <c r="G5" s="15">
        <f>SQRT((G2)^2+(G3)^2+(G4)^2)</f>
        <v>0.46327098747329137</v>
      </c>
      <c r="H5" s="15">
        <f>SUM(H2:H4)</f>
        <v>4.3734103903298935</v>
      </c>
      <c r="I5" s="15">
        <f>SQRT((I2)^2+(I3)^2+(I4)^2)</f>
        <v>1.7488695999386052</v>
      </c>
      <c r="J5" s="15">
        <f>SUM(J2:J4)</f>
        <v>2.3710766362827864</v>
      </c>
      <c r="K5" s="15">
        <f>SQRT((K2)^2+(K3)^2+(K4)^2)</f>
        <v>0.9714163542069516</v>
      </c>
      <c r="L5" s="15">
        <f>SUM(L2:L4)</f>
        <v>1.7605327044453261</v>
      </c>
      <c r="M5" s="15">
        <f>SQRT((M2)^2+(M3)^2+(M4)^2)</f>
        <v>2.1136628341583021</v>
      </c>
    </row>
    <row r="6" spans="1:13" x14ac:dyDescent="0.35">
      <c r="A6" s="5"/>
      <c r="B6" s="5" t="s">
        <v>172</v>
      </c>
      <c r="C6" s="6"/>
      <c r="D6" s="15">
        <f>D2/D5</f>
        <v>0.30475434466595219</v>
      </c>
      <c r="E6" s="29">
        <f>D6*SQRT((E2/D2)^2+(E5/D5)^2)</f>
        <v>0.1990106591603486</v>
      </c>
      <c r="F6" s="15">
        <f>F2/F5</f>
        <v>0.76341969505411977</v>
      </c>
      <c r="G6" s="29">
        <f>F6*SQRT((G2/F2)^2+(G5/F5)^2)</f>
        <v>0.17246908062665067</v>
      </c>
      <c r="H6" s="15">
        <f>H2/H5</f>
        <v>0.66056182503621252</v>
      </c>
      <c r="I6" s="29">
        <f>H6*SQRT((I2/H2)^2+(I5/H5)^2)</f>
        <v>0.37536865204011444</v>
      </c>
      <c r="J6" s="15">
        <f>J2/J5</f>
        <v>0.60763775684766641</v>
      </c>
      <c r="K6" s="29">
        <f>J6*SQRT((K2/J2)^2+(K5/J5)^2)</f>
        <v>0.36814920940236884</v>
      </c>
      <c r="L6" s="15">
        <f>L2/L5</f>
        <v>0.89672492750510702</v>
      </c>
      <c r="M6" s="29">
        <f>L6*SQRT((M2/L2)^2+(M5/L5)^2)</f>
        <v>1.199722010081627</v>
      </c>
    </row>
    <row r="7" spans="1:13" x14ac:dyDescent="0.35">
      <c r="A7" s="5"/>
      <c r="B7" s="5" t="s">
        <v>173</v>
      </c>
      <c r="C7" s="6"/>
      <c r="D7" s="15">
        <f>D3/D5</f>
        <v>0.23668620644618987</v>
      </c>
      <c r="E7" s="15">
        <f>D7*SQRT((E3/D3)^2+(E5/D5)^2)</f>
        <v>9.6078058843497696E-2</v>
      </c>
      <c r="F7" s="15">
        <f>F3/F5</f>
        <v>8.5493236440704473E-2</v>
      </c>
      <c r="G7" s="15">
        <f>F7*SQRT((G3/F3)^2+(G5/F5)^2)</f>
        <v>0.12271618653900519</v>
      </c>
      <c r="H7" s="15">
        <f>H3/H5</f>
        <v>0.27656264033205813</v>
      </c>
      <c r="I7" s="15">
        <f>H7*SQRT((I3/H3)^2+(I5/H5)^2)</f>
        <v>0.31499720622566907</v>
      </c>
      <c r="J7" s="15">
        <f>J3/J5</f>
        <v>0.34887843134597629</v>
      </c>
      <c r="K7" s="15">
        <f>J7*SQRT((K3/J3)^2+(K5/J5)^2)</f>
        <v>0.33821796903446094</v>
      </c>
      <c r="L7" s="15">
        <f>L3/L5</f>
        <v>5.135766789167736E-2</v>
      </c>
      <c r="M7" s="15">
        <f>L7*SQRT((M3/L3)^2+(M5/L5)^2)</f>
        <v>1.0789900864565196</v>
      </c>
    </row>
    <row r="8" spans="1:13" x14ac:dyDescent="0.35">
      <c r="A8" s="5"/>
      <c r="B8" s="5" t="s">
        <v>174</v>
      </c>
      <c r="C8" s="6"/>
      <c r="D8" s="15">
        <f>D4/D5</f>
        <v>0.45855944888785793</v>
      </c>
      <c r="E8" s="15">
        <f>D8*SQRT((E4/D4)^2+(E5/D5)^2)</f>
        <v>0.25738288028172063</v>
      </c>
      <c r="F8" s="15">
        <f>G4/F5</f>
        <v>8.9335369637281378E-2</v>
      </c>
      <c r="G8" s="15">
        <f>F8*SQRT((G4/F4)^2+(G5/F5)^2)</f>
        <v>5.5273464619526667E-2</v>
      </c>
      <c r="H8" s="15">
        <f>H4/H5</f>
        <v>6.2875534631729291E-2</v>
      </c>
      <c r="I8" s="15">
        <f>H8*SQRT((I4/H4)^2+(I5/H5)^2)</f>
        <v>4.9224806413508682E-2</v>
      </c>
      <c r="J8" s="15">
        <f>J4/J5</f>
        <v>4.3483811806357291E-2</v>
      </c>
      <c r="K8" s="15">
        <f>J8*SQRT((K4/J4)^2+(K5/J5)^2)</f>
        <v>2.5404808415840006E-2</v>
      </c>
      <c r="L8" s="15">
        <f>L4/L5</f>
        <v>5.1917404603215644E-2</v>
      </c>
      <c r="M8" s="15">
        <f>L8*SQRT((M4/L4)^2+(M5/L5)^2)</f>
        <v>6.7668231107861881E-2</v>
      </c>
    </row>
    <row r="10" spans="1:13" x14ac:dyDescent="0.35">
      <c r="B10" s="5" t="s">
        <v>185</v>
      </c>
      <c r="C10" s="6" t="s">
        <v>8</v>
      </c>
      <c r="D10" s="15">
        <v>1.1064975664243539</v>
      </c>
      <c r="E10" s="15">
        <v>0.66792432120499978</v>
      </c>
      <c r="F10" s="15">
        <v>1.6410396410800587</v>
      </c>
      <c r="G10" s="15">
        <v>0.33256631850815027</v>
      </c>
      <c r="H10" s="15">
        <v>2.1673371140740763</v>
      </c>
      <c r="I10" s="15">
        <v>0.66886728442158405</v>
      </c>
      <c r="J10" s="15">
        <v>0.89024824812566605</v>
      </c>
      <c r="K10" s="15">
        <v>0.27890119679638797</v>
      </c>
      <c r="L10" s="15">
        <v>0.72705109862489981</v>
      </c>
      <c r="M10" s="15">
        <v>4.0511996781932326E-2</v>
      </c>
    </row>
    <row r="11" spans="1:13" x14ac:dyDescent="0.35">
      <c r="B11" s="5" t="s">
        <v>186</v>
      </c>
      <c r="C11" s="6" t="s">
        <v>8</v>
      </c>
      <c r="D11" s="15">
        <v>1.0642510738182931</v>
      </c>
      <c r="E11" s="15">
        <v>1.0655907990758369</v>
      </c>
      <c r="F11" s="15">
        <v>0.42058818851854973</v>
      </c>
      <c r="G11" s="15">
        <v>0.44320636337517283</v>
      </c>
      <c r="H11" s="15">
        <v>0.97553008316818701</v>
      </c>
      <c r="I11" s="15">
        <v>0.90753129565359059</v>
      </c>
      <c r="J11" s="15">
        <v>0.96425383040747514</v>
      </c>
      <c r="K11" s="15">
        <v>0.33148355895436821</v>
      </c>
      <c r="L11" s="15">
        <v>0.92636085003093882</v>
      </c>
      <c r="M11" s="15">
        <v>1.1905550054920626</v>
      </c>
    </row>
    <row r="12" spans="1:13" x14ac:dyDescent="0.35">
      <c r="B12" s="5" t="s">
        <v>187</v>
      </c>
      <c r="C12" s="6" t="s">
        <v>8</v>
      </c>
      <c r="D12" s="15">
        <v>1.840319640715254</v>
      </c>
      <c r="E12" s="15">
        <v>0.87628940007182943</v>
      </c>
      <c r="F12">
        <v>0.27736292299485826</v>
      </c>
      <c r="G12" s="15">
        <v>7.2192936457576157E-2</v>
      </c>
      <c r="H12" s="15">
        <v>0.18777832543071502</v>
      </c>
      <c r="I12" s="15">
        <v>0.11184921987473025</v>
      </c>
      <c r="J12" s="15">
        <v>7.8765655449163655E-2</v>
      </c>
      <c r="K12" s="15">
        <v>2.9703349841141764E-2</v>
      </c>
      <c r="L12" s="15">
        <v>7.9076927242800812E-2</v>
      </c>
      <c r="M12" s="15">
        <v>5.1489207430255639E-2</v>
      </c>
    </row>
    <row r="13" spans="1:13" x14ac:dyDescent="0.35">
      <c r="B13" s="5" t="s">
        <v>188</v>
      </c>
      <c r="C13" s="6" t="s">
        <v>8</v>
      </c>
      <c r="D13" s="15">
        <f>SUM(D10:D12)</f>
        <v>4.0110682809579012</v>
      </c>
      <c r="E13" s="15">
        <f>SQRT((E10)^2+(E11)^2+(E12)^2)</f>
        <v>1.5328045415546259</v>
      </c>
      <c r="F13" s="15">
        <f>SUM(F10:F12)</f>
        <v>2.338990752593467</v>
      </c>
      <c r="G13" s="15">
        <f>SQRT((G10)^2+(G11)^2+(G12)^2)</f>
        <v>0.55878802494029678</v>
      </c>
      <c r="H13" s="15">
        <f>SUM(H10:H12)</f>
        <v>3.3306455226729783</v>
      </c>
      <c r="I13" s="15">
        <f>SQRT((I10)^2+(I11)^2+(I12)^2)</f>
        <v>1.1329195667596066</v>
      </c>
      <c r="J13" s="15">
        <f>SUM(J10:J12)</f>
        <v>1.9332677339823048</v>
      </c>
      <c r="K13" s="15">
        <f>SQRT((K10)^2+(K11)^2+(K12)^2)</f>
        <v>0.43422288795421282</v>
      </c>
      <c r="L13" s="15">
        <f>SUM(L10:L12)</f>
        <v>1.7324888758986394</v>
      </c>
      <c r="M13" s="15">
        <f>SQRT((M10)^2+(M11)^2+(M12)^2)</f>
        <v>1.1923563148099903</v>
      </c>
    </row>
    <row r="14" spans="1:13" x14ac:dyDescent="0.35">
      <c r="B14" s="5" t="s">
        <v>172</v>
      </c>
      <c r="C14" s="6"/>
      <c r="D14" s="15">
        <f>D10/D13</f>
        <v>0.2758610646638272</v>
      </c>
      <c r="E14" s="29">
        <f>D14*SQRT((E10/D10)^2+(E13/D13)^2)</f>
        <v>0.19708396196295663</v>
      </c>
      <c r="F14" s="15">
        <f>F10/F13</f>
        <v>0.70160159430321734</v>
      </c>
      <c r="G14" s="29">
        <f>F14*SQRT((G10/F10)^2+(G13/F13)^2)</f>
        <v>0.21979650906014239</v>
      </c>
      <c r="H14" s="15">
        <f>H10/H13</f>
        <v>0.65072584257921873</v>
      </c>
      <c r="I14" s="29">
        <f>H14*SQRT((I10/H10)^2+(I13/H13)^2)</f>
        <v>0.29886938042028927</v>
      </c>
      <c r="J14" s="15">
        <f>J10/J13</f>
        <v>0.46048885649783183</v>
      </c>
      <c r="K14" s="29">
        <f>J14*SQRT((K10/J10)^2+(K13/J13)^2)</f>
        <v>0.17750936832022984</v>
      </c>
      <c r="L14" s="15">
        <f>L10/L13</f>
        <v>0.41965700833015707</v>
      </c>
      <c r="M14" s="29">
        <f>L14*SQRT((M10/L10)^2+(M13/L13)^2)</f>
        <v>0.28976692750342525</v>
      </c>
    </row>
    <row r="15" spans="1:13" x14ac:dyDescent="0.35">
      <c r="B15" s="5" t="s">
        <v>173</v>
      </c>
      <c r="C15" s="6"/>
      <c r="D15" s="15">
        <f>D11/D13</f>
        <v>0.2653285856216176</v>
      </c>
      <c r="E15" s="15">
        <f>D15*SQRT((E11/D11)^2+(E13/D13)^2)</f>
        <v>0.28435415561332167</v>
      </c>
      <c r="F15" s="15">
        <f>F11/F13</f>
        <v>0.179816097200129</v>
      </c>
      <c r="G15" s="15">
        <f>F15*SQRT((G11/F11)^2+(G13/F13)^2)</f>
        <v>0.1942946702604931</v>
      </c>
      <c r="H15" s="15">
        <f>H11/H13</f>
        <v>0.29289519900192934</v>
      </c>
      <c r="I15" s="15">
        <f>H15*SQRT((I11/H11)^2+(I13/H13)^2)</f>
        <v>0.29012181460276504</v>
      </c>
      <c r="J15" s="15">
        <f>J11/J13</f>
        <v>0.49876890482273001</v>
      </c>
      <c r="K15" s="15">
        <f>J15*SQRT((K11/J11)^2+(K13/J13)^2)</f>
        <v>0.20481552514547893</v>
      </c>
      <c r="L15" s="15">
        <f>L11/L13</f>
        <v>0.53469945055227952</v>
      </c>
      <c r="M15" s="15">
        <f>L15*SQRT((M11/L11)^2+(M13/L13)^2)</f>
        <v>0.77952375822419584</v>
      </c>
    </row>
    <row r="16" spans="1:13" x14ac:dyDescent="0.35">
      <c r="B16" s="5" t="s">
        <v>174</v>
      </c>
      <c r="C16" s="6"/>
      <c r="D16" s="15">
        <f>D12/D13</f>
        <v>0.45881034971455509</v>
      </c>
      <c r="E16" s="15">
        <f>D16*SQRT((E12/D12)^2+(E13/D13)^2)</f>
        <v>0.28012377048557752</v>
      </c>
      <c r="F16" s="15">
        <f>G12/F13</f>
        <v>3.0864994390221001E-2</v>
      </c>
      <c r="G16" s="15">
        <f>F16*SQRT((G12/F12)^2+(G13/F13)^2)</f>
        <v>1.0904618054135E-2</v>
      </c>
      <c r="H16" s="15">
        <f>H12/H13</f>
        <v>5.6378958418851877E-2</v>
      </c>
      <c r="I16" s="15">
        <f>H16*SQRT((I12/H12)^2+(I13/H13)^2)</f>
        <v>3.8671818364365208E-2</v>
      </c>
      <c r="J16" s="15">
        <f>J12/J13</f>
        <v>4.0742238679438179E-2</v>
      </c>
      <c r="K16" s="15">
        <f>J16*SQRT((K12/J12)^2+(K13/J13)^2)</f>
        <v>1.7883010945135652E-2</v>
      </c>
      <c r="L16" s="15">
        <f>L12/L13</f>
        <v>4.5643541117563441E-2</v>
      </c>
      <c r="M16" s="15">
        <f>L16*SQRT((M12/L12)^2+(M13/L13)^2)</f>
        <v>4.3244278512202125E-2</v>
      </c>
    </row>
    <row r="18" spans="2:13" x14ac:dyDescent="0.35">
      <c r="B18" t="s">
        <v>219</v>
      </c>
      <c r="C18" t="s">
        <v>189</v>
      </c>
      <c r="D18" s="36">
        <v>3.0641169999999999E-3</v>
      </c>
      <c r="E18" s="36">
        <v>3.7044780000000002E-3</v>
      </c>
      <c r="F18" s="36">
        <v>2.6426080000000001E-2</v>
      </c>
      <c r="G18" s="36">
        <v>3.6593269999999997E-2</v>
      </c>
      <c r="H18" s="36">
        <v>4.389118E-4</v>
      </c>
      <c r="I18" s="36">
        <v>6.2071499999999998E-4</v>
      </c>
      <c r="J18" s="36">
        <v>2.9676170000000002E-2</v>
      </c>
      <c r="K18" s="36">
        <v>1.790841E-2</v>
      </c>
      <c r="L18" s="36">
        <v>1.8629349999999999E-2</v>
      </c>
      <c r="M18" s="36">
        <v>1.426321E-2</v>
      </c>
    </row>
    <row r="19" spans="2:13" x14ac:dyDescent="0.35">
      <c r="B19" t="s">
        <v>221</v>
      </c>
      <c r="C19" t="s">
        <v>189</v>
      </c>
      <c r="D19" s="36">
        <v>0.64132259999999996</v>
      </c>
      <c r="E19" s="36">
        <v>0.84643550000000001</v>
      </c>
      <c r="F19" s="36">
        <v>1.6563179999999999E-4</v>
      </c>
      <c r="G19" s="36">
        <v>1.841023E-4</v>
      </c>
      <c r="H19" s="36">
        <v>2.7392669999999999E-4</v>
      </c>
      <c r="I19" s="36">
        <v>3.8739079999999999E-4</v>
      </c>
      <c r="J19" s="36">
        <v>3.7615799999999998E-2</v>
      </c>
      <c r="L19" s="36">
        <v>0.62804470000000001</v>
      </c>
      <c r="M19" s="36">
        <v>0.23199819999999999</v>
      </c>
    </row>
    <row r="20" spans="2:13" x14ac:dyDescent="0.35">
      <c r="B20" t="s">
        <v>220</v>
      </c>
      <c r="C20" t="s">
        <v>189</v>
      </c>
      <c r="D20" s="36">
        <v>3.4621890000000002E-2</v>
      </c>
      <c r="E20" s="36">
        <v>3.0757839999999998E-3</v>
      </c>
      <c r="F20" s="36">
        <v>5.992981E-2</v>
      </c>
      <c r="G20" s="36">
        <v>1.704847E-3</v>
      </c>
      <c r="H20" s="36">
        <v>6.9362389999999996E-2</v>
      </c>
      <c r="I20" s="36">
        <v>2.8129959999999999E-3</v>
      </c>
      <c r="J20" s="36">
        <v>0.1060024</v>
      </c>
      <c r="K20" s="36">
        <v>2.2214969999999998E-3</v>
      </c>
      <c r="L20" s="36">
        <v>5.5005230000000002E-2</v>
      </c>
      <c r="M20" s="36">
        <v>3.580171E-3</v>
      </c>
    </row>
    <row r="21" spans="2:13" x14ac:dyDescent="0.35">
      <c r="B21" t="s">
        <v>222</v>
      </c>
      <c r="C21" t="s">
        <v>189</v>
      </c>
      <c r="D21" s="36">
        <v>3.799193E-2</v>
      </c>
      <c r="E21" s="36">
        <v>1.50482E-3</v>
      </c>
      <c r="F21" s="36">
        <v>3.0527319999999998</v>
      </c>
      <c r="G21" s="36">
        <v>3.5219050000000002E-2</v>
      </c>
      <c r="H21" s="36">
        <v>1.0930499999999999E-2</v>
      </c>
      <c r="I21" s="36">
        <v>3.7289970000000002E-4</v>
      </c>
      <c r="J21" s="36">
        <v>0.10943269999999999</v>
      </c>
      <c r="L21" s="36">
        <v>0.101454</v>
      </c>
      <c r="M21" s="36">
        <v>8.1023810000000005E-3</v>
      </c>
    </row>
  </sheetData>
  <pageMargins left="0.7" right="0.7" top="0.75" bottom="0.75" header="0.3" footer="0.3"/>
  <legacyDrawing r:id="rId1"/>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7C93F1-FD95-4E8F-8993-2DFCA07D4B54}">
  <dimension ref="A1:L35"/>
  <sheetViews>
    <sheetView topLeftCell="A16" workbookViewId="0">
      <selection activeCell="K16" sqref="K16"/>
    </sheetView>
  </sheetViews>
  <sheetFormatPr defaultRowHeight="14.5" x14ac:dyDescent="0.35"/>
  <sheetData>
    <row r="1" spans="1:10" x14ac:dyDescent="0.35">
      <c r="A1" t="s">
        <v>274</v>
      </c>
    </row>
    <row r="2" spans="1:10" x14ac:dyDescent="0.35">
      <c r="B2" t="s">
        <v>256</v>
      </c>
      <c r="C2" t="s">
        <v>257</v>
      </c>
      <c r="D2" t="s">
        <v>258</v>
      </c>
      <c r="E2" t="s">
        <v>259</v>
      </c>
      <c r="J2" t="s">
        <v>273</v>
      </c>
    </row>
    <row r="3" spans="1:10" x14ac:dyDescent="0.35">
      <c r="A3" s="43">
        <v>35704</v>
      </c>
    </row>
    <row r="4" spans="1:10" x14ac:dyDescent="0.35">
      <c r="A4" t="s">
        <v>261</v>
      </c>
      <c r="B4">
        <v>1391</v>
      </c>
      <c r="C4">
        <v>320</v>
      </c>
      <c r="D4">
        <v>193</v>
      </c>
      <c r="E4">
        <f>1228*0.47</f>
        <v>577.16</v>
      </c>
      <c r="J4">
        <f>E4</f>
        <v>577.16</v>
      </c>
    </row>
    <row r="5" spans="1:10" x14ac:dyDescent="0.35">
      <c r="A5" t="s">
        <v>260</v>
      </c>
      <c r="B5">
        <v>439</v>
      </c>
      <c r="C5">
        <v>183</v>
      </c>
      <c r="D5">
        <v>170</v>
      </c>
      <c r="E5">
        <f>566*0.47</f>
        <v>266.02</v>
      </c>
      <c r="J5">
        <f>E5</f>
        <v>266.02</v>
      </c>
    </row>
    <row r="6" spans="1:10" x14ac:dyDescent="0.35">
      <c r="A6" s="43">
        <v>36008</v>
      </c>
    </row>
    <row r="7" spans="1:10" x14ac:dyDescent="0.35">
      <c r="A7" t="s">
        <v>261</v>
      </c>
      <c r="B7">
        <v>602</v>
      </c>
      <c r="C7">
        <v>372</v>
      </c>
      <c r="D7">
        <v>98</v>
      </c>
      <c r="E7">
        <f>634*0.47</f>
        <v>297.97999999999996</v>
      </c>
      <c r="J7">
        <f>E7</f>
        <v>297.97999999999996</v>
      </c>
    </row>
    <row r="8" spans="1:10" x14ac:dyDescent="0.35">
      <c r="A8" t="s">
        <v>260</v>
      </c>
      <c r="B8">
        <v>317</v>
      </c>
      <c r="C8">
        <v>750</v>
      </c>
      <c r="D8">
        <v>128</v>
      </c>
      <c r="E8">
        <v>594</v>
      </c>
      <c r="J8">
        <f>E8</f>
        <v>594</v>
      </c>
    </row>
    <row r="10" spans="1:10" x14ac:dyDescent="0.35">
      <c r="A10" t="s">
        <v>278</v>
      </c>
    </row>
    <row r="11" spans="1:10" x14ac:dyDescent="0.35">
      <c r="B11" t="s">
        <v>256</v>
      </c>
      <c r="C11" t="s">
        <v>257</v>
      </c>
      <c r="D11" t="s">
        <v>258</v>
      </c>
      <c r="E11" t="s">
        <v>259</v>
      </c>
    </row>
    <row r="12" spans="1:10" x14ac:dyDescent="0.35">
      <c r="A12" t="s">
        <v>261</v>
      </c>
      <c r="B12">
        <f>(625+1317)/2</f>
        <v>971</v>
      </c>
      <c r="D12">
        <v>1014</v>
      </c>
      <c r="E12">
        <f>(14365+8646)/2*0.47</f>
        <v>5407.585</v>
      </c>
    </row>
    <row r="13" spans="1:10" x14ac:dyDescent="0.35">
      <c r="A13" t="s">
        <v>277</v>
      </c>
      <c r="B13">
        <f>(977+995)/2</f>
        <v>986</v>
      </c>
      <c r="D13">
        <f>(506+436)/2</f>
        <v>471</v>
      </c>
      <c r="E13">
        <f>(2295+1224)/2*0.47</f>
        <v>826.96499999999992</v>
      </c>
      <c r="F13">
        <f>(11.7+11.9)/2</f>
        <v>11.8</v>
      </c>
      <c r="G13">
        <f>F13/E13*365</f>
        <v>5.2082010725967853</v>
      </c>
    </row>
    <row r="14" spans="1:10" x14ac:dyDescent="0.35">
      <c r="A14" t="s">
        <v>260</v>
      </c>
      <c r="B14">
        <f>(230+271)/2</f>
        <v>250.5</v>
      </c>
      <c r="D14">
        <f>(621+652)/2</f>
        <v>636.5</v>
      </c>
      <c r="E14">
        <f>(889+568)/2*0.47</f>
        <v>342.39499999999998</v>
      </c>
    </row>
    <row r="16" spans="1:10" x14ac:dyDescent="0.35">
      <c r="A16" t="s">
        <v>275</v>
      </c>
    </row>
    <row r="17" spans="1:12" x14ac:dyDescent="0.35">
      <c r="B17" t="s">
        <v>256</v>
      </c>
      <c r="C17" t="s">
        <v>257</v>
      </c>
      <c r="D17" t="s">
        <v>258</v>
      </c>
      <c r="E17" t="s">
        <v>259</v>
      </c>
    </row>
    <row r="18" spans="1:12" x14ac:dyDescent="0.35">
      <c r="A18" t="s">
        <v>260</v>
      </c>
      <c r="B18">
        <v>812</v>
      </c>
      <c r="C18">
        <v>125</v>
      </c>
      <c r="D18">
        <v>187</v>
      </c>
      <c r="E18">
        <v>45</v>
      </c>
    </row>
    <row r="19" spans="1:12" x14ac:dyDescent="0.35">
      <c r="A19" t="s">
        <v>261</v>
      </c>
      <c r="B19">
        <v>519</v>
      </c>
      <c r="C19">
        <v>81</v>
      </c>
      <c r="D19">
        <v>204</v>
      </c>
      <c r="E19">
        <v>44</v>
      </c>
    </row>
    <row r="21" spans="1:12" x14ac:dyDescent="0.35">
      <c r="A21" t="s">
        <v>262</v>
      </c>
    </row>
    <row r="22" spans="1:12" x14ac:dyDescent="0.35">
      <c r="B22" t="s">
        <v>256</v>
      </c>
      <c r="C22" t="s">
        <v>257</v>
      </c>
      <c r="D22" t="s">
        <v>258</v>
      </c>
      <c r="E22" t="s">
        <v>259</v>
      </c>
      <c r="F22" t="s">
        <v>264</v>
      </c>
      <c r="J22" t="s">
        <v>273</v>
      </c>
    </row>
    <row r="23" spans="1:12" x14ac:dyDescent="0.35">
      <c r="A23" t="s">
        <v>263</v>
      </c>
      <c r="B23">
        <v>851</v>
      </c>
      <c r="C23">
        <v>301</v>
      </c>
      <c r="D23">
        <v>167</v>
      </c>
      <c r="E23">
        <v>1058</v>
      </c>
      <c r="F23">
        <v>311</v>
      </c>
      <c r="J23">
        <f>SUM(E23,F23,H23)</f>
        <v>1369</v>
      </c>
    </row>
    <row r="25" spans="1:12" x14ac:dyDescent="0.35">
      <c r="A25" t="s">
        <v>265</v>
      </c>
    </row>
    <row r="26" spans="1:12" x14ac:dyDescent="0.35">
      <c r="B26" t="s">
        <v>256</v>
      </c>
      <c r="C26" t="s">
        <v>257</v>
      </c>
      <c r="D26" t="s">
        <v>258</v>
      </c>
      <c r="E26" t="s">
        <v>259</v>
      </c>
      <c r="F26" t="s">
        <v>264</v>
      </c>
      <c r="G26" t="s">
        <v>266</v>
      </c>
      <c r="H26" t="s">
        <v>267</v>
      </c>
      <c r="J26" t="s">
        <v>273</v>
      </c>
    </row>
    <row r="27" spans="1:12" x14ac:dyDescent="0.35">
      <c r="A27" t="s">
        <v>263</v>
      </c>
      <c r="B27">
        <v>305</v>
      </c>
      <c r="C27">
        <v>480</v>
      </c>
      <c r="D27">
        <v>260</v>
      </c>
      <c r="E27">
        <v>1700</v>
      </c>
      <c r="F27">
        <v>310</v>
      </c>
      <c r="G27">
        <v>120</v>
      </c>
      <c r="H27">
        <v>50</v>
      </c>
      <c r="J27">
        <f>SUM(E27,F27,H27)</f>
        <v>2060</v>
      </c>
    </row>
    <row r="29" spans="1:12" x14ac:dyDescent="0.35">
      <c r="A29" t="s">
        <v>255</v>
      </c>
    </row>
    <row r="30" spans="1:12" x14ac:dyDescent="0.35">
      <c r="B30" t="s">
        <v>256</v>
      </c>
      <c r="C30" t="s">
        <v>257</v>
      </c>
      <c r="D30" t="s">
        <v>258</v>
      </c>
      <c r="E30" t="s">
        <v>259</v>
      </c>
      <c r="F30" t="s">
        <v>264</v>
      </c>
      <c r="G30" t="s">
        <v>266</v>
      </c>
      <c r="H30" t="s">
        <v>267</v>
      </c>
      <c r="J30" t="s">
        <v>273</v>
      </c>
      <c r="L30" t="s">
        <v>276</v>
      </c>
    </row>
    <row r="31" spans="1:12" x14ac:dyDescent="0.35">
      <c r="A31" t="s">
        <v>268</v>
      </c>
      <c r="B31">
        <f>InputsNZ_C!D3</f>
        <v>554.5235963771072</v>
      </c>
      <c r="C31">
        <f>InputsNZ_C!D46</f>
        <v>72.186731084907663</v>
      </c>
      <c r="D31">
        <f>InputsNZ_C!D47</f>
        <v>83.644271333430652</v>
      </c>
      <c r="E31">
        <f>InputsNZ_C!D48</f>
        <v>788.14543049999997</v>
      </c>
      <c r="F31">
        <f>InputsNZ_C!D51</f>
        <v>328.48664624999992</v>
      </c>
      <c r="G31">
        <f>InputsNZ_C!D56</f>
        <v>425.71597088078136</v>
      </c>
      <c r="H31">
        <f>InputsNZ_C!D55</f>
        <v>2006.8058944712614</v>
      </c>
      <c r="J31">
        <f>SUM(E31,F31,H31)</f>
        <v>3123.4379712212613</v>
      </c>
      <c r="L31">
        <f>SUM(E31:F31)/E5</f>
        <v>4.1975493449740622</v>
      </c>
    </row>
    <row r="32" spans="1:12" x14ac:dyDescent="0.35">
      <c r="A32" t="s">
        <v>269</v>
      </c>
      <c r="B32">
        <f>InputsNZ_C!F3</f>
        <v>321.44476727056463</v>
      </c>
      <c r="C32">
        <f>InputsNZ_C!F46</f>
        <v>88.788444038681959</v>
      </c>
      <c r="D32">
        <f>InputsNZ_C!F47</f>
        <v>16.612850986200122</v>
      </c>
      <c r="E32">
        <f>InputsNZ_C!F49</f>
        <v>1628.6542515000001</v>
      </c>
      <c r="F32">
        <f>InputsNZ_C!F51</f>
        <v>311.35041330000001</v>
      </c>
      <c r="G32">
        <f>InputsNZ_C!F56</f>
        <v>424.76795997145183</v>
      </c>
      <c r="H32">
        <f>InputsNZ_C!F55</f>
        <v>1021.857183501</v>
      </c>
      <c r="J32">
        <f>SUM(E32,F32,H32)</f>
        <v>2961.8618483010005</v>
      </c>
      <c r="L32">
        <f>SUM(E32:F32)/E5</f>
        <v>7.2927022960679659</v>
      </c>
    </row>
    <row r="33" spans="1:12" x14ac:dyDescent="0.35">
      <c r="A33" t="s">
        <v>270</v>
      </c>
      <c r="B33">
        <f>InputsNZ_C!H3</f>
        <v>780.99323730827223</v>
      </c>
      <c r="C33">
        <f>InputsNZ_C!H46</f>
        <v>160.76737577047558</v>
      </c>
      <c r="D33">
        <f>InputsNZ_C!H47</f>
        <v>21.220128984539716</v>
      </c>
      <c r="E33">
        <f>InputsNZ_C!H49</f>
        <v>2341.0294245</v>
      </c>
      <c r="F33">
        <f>InputsNZ_C!H51</f>
        <v>217.54892774999996</v>
      </c>
      <c r="G33">
        <f>InputsNZ_C!H56</f>
        <v>353.8620185146616</v>
      </c>
      <c r="H33">
        <f>InputsNZ_C!H55</f>
        <v>9.5990045819999992</v>
      </c>
      <c r="J33">
        <f>SUM(E33,F33,H33)</f>
        <v>2568.177356832</v>
      </c>
      <c r="L33">
        <f>SUM(E33:F33)/E4</f>
        <v>4.4330486385924184</v>
      </c>
    </row>
    <row r="34" spans="1:12" x14ac:dyDescent="0.35">
      <c r="A34" t="s">
        <v>271</v>
      </c>
      <c r="B34">
        <f>InputsNZ_C!J3</f>
        <v>452.30789270241735</v>
      </c>
      <c r="C34">
        <f>InputsNZ_C!J46</f>
        <v>139.80213503702868</v>
      </c>
      <c r="D34">
        <f>InputsNZ_C!J47</f>
        <v>184.98603985840194</v>
      </c>
      <c r="E34">
        <f>InputsNZ_C!J49</f>
        <v>899.7542085</v>
      </c>
      <c r="F34">
        <f>InputsNZ_C!J51</f>
        <v>117.77200754999998</v>
      </c>
      <c r="G34">
        <f>InputsNZ_C!J56</f>
        <v>327.26485481779815</v>
      </c>
      <c r="H34">
        <f>InputsNZ_C!J55</f>
        <v>1349.3599945935002</v>
      </c>
      <c r="J34">
        <f>SUM(E34,F34,H34)</f>
        <v>2366.8862106435004</v>
      </c>
      <c r="L34">
        <f>SUM(E34:F34)/E4</f>
        <v>1.7629881073705733</v>
      </c>
    </row>
    <row r="35" spans="1:12" x14ac:dyDescent="0.35">
      <c r="A35" t="s">
        <v>272</v>
      </c>
      <c r="B35">
        <f>InputsNZ_C!L3</f>
        <v>251.38060926168887</v>
      </c>
      <c r="C35">
        <f>InputsNZ_C!L46</f>
        <v>65.149318905399397</v>
      </c>
      <c r="D35">
        <f>InputsNZ_C!L47</f>
        <v>44.026255125438041</v>
      </c>
      <c r="E35">
        <f>InputsNZ_C!L49</f>
        <v>913.90640099999996</v>
      </c>
      <c r="F35">
        <f>InputsNZ_C!L51</f>
        <v>98.681728199999995</v>
      </c>
      <c r="G35">
        <f>InputsNZ_C!L56</f>
        <v>144.53439628376145</v>
      </c>
      <c r="H35">
        <f>InputsNZ_C!L55</f>
        <v>5.7706025820000004</v>
      </c>
      <c r="J35">
        <f>SUM(E35,F35,H35)</f>
        <v>1018.3587317819999</v>
      </c>
      <c r="L35">
        <f>SUM(E35:F35)/E5</f>
        <v>3.8064360920231559</v>
      </c>
    </row>
  </sheetData>
  <pageMargins left="0.7" right="0.7" top="0.75" bottom="0.75" header="0.3" footer="0.3"/>
  <legacy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P108"/>
  <sheetViews>
    <sheetView topLeftCell="A68" workbookViewId="0">
      <selection activeCell="P19" sqref="P19"/>
    </sheetView>
  </sheetViews>
  <sheetFormatPr defaultRowHeight="14.5" x14ac:dyDescent="0.35"/>
  <cols>
    <col min="1" max="1" width="2.81640625" bestFit="1" customWidth="1"/>
    <col min="2" max="2" width="38.81640625" bestFit="1" customWidth="1"/>
    <col min="3" max="3" width="11.453125" bestFit="1" customWidth="1"/>
    <col min="4" max="5" width="12" bestFit="1" customWidth="1"/>
    <col min="6" max="6" width="9.26953125" bestFit="1" customWidth="1"/>
    <col min="7" max="7" width="7.54296875" bestFit="1" customWidth="1"/>
    <col min="8" max="8" width="9.26953125" bestFit="1" customWidth="1"/>
    <col min="9" max="9" width="7.54296875" bestFit="1" customWidth="1"/>
    <col min="10" max="10" width="9.54296875" bestFit="1" customWidth="1"/>
    <col min="11" max="11" width="7.54296875" bestFit="1" customWidth="1"/>
    <col min="12" max="13" width="12" bestFit="1" customWidth="1"/>
  </cols>
  <sheetData>
    <row r="1" spans="1:13" ht="26" x14ac:dyDescent="0.6">
      <c r="A1" s="1" t="s">
        <v>0</v>
      </c>
      <c r="B1" s="2"/>
      <c r="C1" s="2"/>
      <c r="D1" s="12"/>
      <c r="E1" s="12"/>
      <c r="F1" s="12"/>
      <c r="G1" s="12"/>
      <c r="H1" s="12"/>
      <c r="I1" s="12"/>
      <c r="J1" s="12"/>
      <c r="K1" s="12"/>
      <c r="L1" s="12"/>
      <c r="M1" s="12"/>
    </row>
    <row r="2" spans="1:13" x14ac:dyDescent="0.35">
      <c r="A2" s="2"/>
      <c r="B2" s="2"/>
      <c r="C2" s="3" t="s">
        <v>1</v>
      </c>
      <c r="D2" s="3" t="s">
        <v>2</v>
      </c>
      <c r="E2" s="4" t="s">
        <v>3</v>
      </c>
      <c r="F2" s="3" t="s">
        <v>4</v>
      </c>
      <c r="G2" s="4" t="s">
        <v>3</v>
      </c>
      <c r="H2" s="3" t="s">
        <v>5</v>
      </c>
      <c r="I2" s="4" t="s">
        <v>3</v>
      </c>
      <c r="J2" s="3" t="s">
        <v>6</v>
      </c>
      <c r="K2" s="4" t="s">
        <v>3</v>
      </c>
      <c r="L2" s="3" t="s">
        <v>7</v>
      </c>
      <c r="M2" s="4" t="s">
        <v>3</v>
      </c>
    </row>
    <row r="3" spans="1:13" x14ac:dyDescent="0.35">
      <c r="A3" s="5">
        <v>1</v>
      </c>
      <c r="B3" s="5" t="s">
        <v>50</v>
      </c>
      <c r="C3" s="6" t="s">
        <v>8</v>
      </c>
      <c r="D3" s="15">
        <v>2.2329247737615283</v>
      </c>
      <c r="E3" s="15">
        <v>0.13172254372293579</v>
      </c>
      <c r="F3" s="15">
        <v>1.9283162131811777</v>
      </c>
      <c r="G3" s="15">
        <v>0.14673387146277467</v>
      </c>
      <c r="H3" s="15">
        <v>2.4606588507433109</v>
      </c>
      <c r="I3" s="15">
        <v>0.25933510879766969</v>
      </c>
      <c r="J3" s="15">
        <v>2.3995214753173819</v>
      </c>
      <c r="K3" s="15">
        <v>0.11430695804473337</v>
      </c>
      <c r="L3" s="15">
        <v>3.0786663750401408</v>
      </c>
      <c r="M3" s="15">
        <v>0.1443573881529254</v>
      </c>
    </row>
    <row r="4" spans="1:13" x14ac:dyDescent="0.35">
      <c r="A4" s="5">
        <v>2</v>
      </c>
      <c r="B4" s="5" t="s">
        <v>51</v>
      </c>
      <c r="C4" s="6" t="s">
        <v>8</v>
      </c>
      <c r="D4" s="15">
        <v>1.6382197544835757</v>
      </c>
      <c r="E4" s="15">
        <v>6.9593665720110817E-2</v>
      </c>
      <c r="F4" s="15">
        <v>1.7470765811994102</v>
      </c>
      <c r="G4" s="15">
        <v>8.0316617568275572E-2</v>
      </c>
      <c r="H4" s="15">
        <v>1.3029278508196087</v>
      </c>
      <c r="I4" s="15">
        <v>7.9118248733090618E-2</v>
      </c>
      <c r="J4" s="15">
        <v>1.9238949102527667</v>
      </c>
      <c r="K4" s="15">
        <v>5.3269011577982368E-2</v>
      </c>
      <c r="L4" s="15">
        <v>1.3401134619948027</v>
      </c>
      <c r="M4" s="15">
        <v>4.9844448813038365E-2</v>
      </c>
    </row>
    <row r="5" spans="1:13" x14ac:dyDescent="0.35">
      <c r="A5" s="5">
        <v>3</v>
      </c>
      <c r="B5" s="5" t="s">
        <v>52</v>
      </c>
      <c r="C5" s="6" t="s">
        <v>8</v>
      </c>
      <c r="D5" s="15">
        <v>6.2294146108707343E-2</v>
      </c>
      <c r="E5" s="15">
        <v>4.1992261048101082E-2</v>
      </c>
      <c r="F5" s="15">
        <v>1.219571016729336E-2</v>
      </c>
      <c r="G5" s="15">
        <v>4.4924266339863147E-3</v>
      </c>
      <c r="H5" s="15">
        <v>3.8778994773887465E-2</v>
      </c>
      <c r="I5" s="15">
        <v>3.8778994773887465E-2</v>
      </c>
      <c r="J5" s="15">
        <v>5.5621528343023856E-2</v>
      </c>
      <c r="K5" s="15">
        <v>1.7305130194955737E-2</v>
      </c>
      <c r="L5" s="15">
        <v>0.13742101233169585</v>
      </c>
      <c r="M5" s="15">
        <v>3.6897240471500954E-2</v>
      </c>
    </row>
    <row r="6" spans="1:13" x14ac:dyDescent="0.35">
      <c r="A6" s="5">
        <v>4</v>
      </c>
      <c r="B6" s="5" t="s">
        <v>53</v>
      </c>
      <c r="C6" s="6" t="s">
        <v>8</v>
      </c>
      <c r="D6" s="15">
        <v>0.43983739219277729</v>
      </c>
      <c r="E6" s="15">
        <v>0.2964928126544053</v>
      </c>
      <c r="F6" s="15">
        <v>2.6383356801257505E-2</v>
      </c>
      <c r="G6" s="15">
        <v>9.7186054081373745E-3</v>
      </c>
      <c r="H6" s="15">
        <v>7.2350571538432967E-2</v>
      </c>
      <c r="I6" s="15">
        <v>7.2350571538432967E-2</v>
      </c>
      <c r="J6" s="15">
        <v>6.771492192276006E-2</v>
      </c>
      <c r="K6" s="15">
        <v>2.1067661657693314E-2</v>
      </c>
      <c r="L6" s="15">
        <v>8.7939730118583873E-2</v>
      </c>
      <c r="M6" s="15">
        <v>2.3611624700831099E-2</v>
      </c>
    </row>
    <row r="7" spans="1:13" x14ac:dyDescent="0.35">
      <c r="A7" s="5">
        <v>5</v>
      </c>
      <c r="B7" s="5" t="s">
        <v>54</v>
      </c>
      <c r="C7" s="6" t="s">
        <v>8</v>
      </c>
      <c r="D7" s="15">
        <v>1.7230720357119709</v>
      </c>
      <c r="E7" s="15">
        <v>0.601882758631065</v>
      </c>
      <c r="F7" s="15">
        <v>1.8606081128131473</v>
      </c>
      <c r="G7" s="15">
        <v>0.91678692127341099</v>
      </c>
      <c r="H7" s="15">
        <v>1.98436538469972</v>
      </c>
      <c r="I7" s="15">
        <v>0.53716302683577755</v>
      </c>
      <c r="J7" s="15">
        <v>1.7533189517951797</v>
      </c>
      <c r="K7" s="15">
        <v>0.36945194957533273</v>
      </c>
      <c r="L7" s="15">
        <v>2.5784523532181387</v>
      </c>
      <c r="M7" s="15">
        <v>0.14195562807020892</v>
      </c>
    </row>
    <row r="8" spans="1:13" x14ac:dyDescent="0.35">
      <c r="A8" s="5">
        <v>6</v>
      </c>
      <c r="B8" s="5" t="s">
        <v>55</v>
      </c>
      <c r="C8" s="6" t="s">
        <v>8</v>
      </c>
      <c r="D8" s="15">
        <v>1.4401792371795099</v>
      </c>
      <c r="E8" s="15">
        <v>0.48465547495652184</v>
      </c>
      <c r="F8" s="15">
        <v>2.8732687948876898</v>
      </c>
      <c r="G8" s="15">
        <v>1.4157603819502356</v>
      </c>
      <c r="H8" s="15">
        <v>0.61118339557056844</v>
      </c>
      <c r="I8" s="15">
        <v>0.17647198412944523</v>
      </c>
      <c r="J8" s="15">
        <v>1.1788914046633112</v>
      </c>
      <c r="K8" s="15">
        <v>0.21341762498029196</v>
      </c>
      <c r="L8" s="15">
        <v>0.65577444079041014</v>
      </c>
      <c r="M8" s="15">
        <v>0.18287541051691719</v>
      </c>
    </row>
    <row r="9" spans="1:13" x14ac:dyDescent="0.35">
      <c r="A9" s="5">
        <v>7</v>
      </c>
      <c r="B9" s="5" t="s">
        <v>56</v>
      </c>
      <c r="C9" s="6" t="s">
        <v>8</v>
      </c>
      <c r="D9" s="15">
        <v>1.147708991174482</v>
      </c>
      <c r="E9" s="15">
        <v>0.21039801789602461</v>
      </c>
      <c r="F9" s="15"/>
      <c r="G9" s="15"/>
      <c r="H9" s="15"/>
      <c r="I9" s="15"/>
      <c r="J9" s="15"/>
      <c r="K9" s="15"/>
      <c r="L9" s="15">
        <v>2.3767990948628479</v>
      </c>
      <c r="M9" s="15">
        <v>0.3726291223213527</v>
      </c>
    </row>
    <row r="10" spans="1:13" x14ac:dyDescent="0.35">
      <c r="A10" s="5">
        <v>8</v>
      </c>
      <c r="B10" s="5" t="s">
        <v>57</v>
      </c>
      <c r="C10" s="6" t="s">
        <v>8</v>
      </c>
      <c r="D10" s="15">
        <v>0.78221535806088238</v>
      </c>
      <c r="E10" s="15">
        <v>0.15006334734749424</v>
      </c>
      <c r="F10" s="15"/>
      <c r="G10" s="15"/>
      <c r="H10" s="15"/>
      <c r="I10" s="15"/>
      <c r="J10" s="15"/>
      <c r="K10" s="15"/>
      <c r="L10" s="15">
        <v>1.0164363077487157</v>
      </c>
      <c r="M10" s="15">
        <v>0.17072998708137666</v>
      </c>
    </row>
    <row r="11" spans="1:13" x14ac:dyDescent="0.35">
      <c r="A11" s="5">
        <v>9</v>
      </c>
      <c r="B11" s="5" t="s">
        <v>58</v>
      </c>
      <c r="C11" s="6" t="s">
        <v>8</v>
      </c>
      <c r="D11" s="15">
        <v>1.0075774517592047</v>
      </c>
      <c r="E11" s="15">
        <v>0.37100501350275567</v>
      </c>
      <c r="F11" s="15"/>
      <c r="G11" s="15"/>
      <c r="H11" s="15"/>
      <c r="I11" s="15"/>
      <c r="J11" s="15"/>
      <c r="K11" s="15"/>
      <c r="L11" s="15">
        <v>0.69307864879999015</v>
      </c>
      <c r="M11" s="15">
        <v>0.17378771432662946</v>
      </c>
    </row>
    <row r="12" spans="1:13" x14ac:dyDescent="0.35">
      <c r="A12" s="5">
        <v>10</v>
      </c>
      <c r="B12" s="5" t="s">
        <v>59</v>
      </c>
      <c r="C12" s="6" t="s">
        <v>8</v>
      </c>
      <c r="D12" s="15">
        <v>0.83287424986134695</v>
      </c>
      <c r="E12" s="15">
        <v>0.34955765823889984</v>
      </c>
      <c r="F12" s="15"/>
      <c r="G12" s="15"/>
      <c r="H12" s="15"/>
      <c r="I12" s="15"/>
      <c r="J12" s="15"/>
      <c r="K12" s="15"/>
      <c r="L12" s="15">
        <v>0.32034753897789808</v>
      </c>
      <c r="M12" s="15">
        <v>0.13453466365544745</v>
      </c>
    </row>
    <row r="13" spans="1:13" x14ac:dyDescent="0.35">
      <c r="A13" s="5">
        <v>11</v>
      </c>
      <c r="B13" s="5" t="s">
        <v>60</v>
      </c>
      <c r="C13" s="6" t="s">
        <v>8</v>
      </c>
      <c r="D13" s="15">
        <v>7.7638330827841634E-2</v>
      </c>
      <c r="E13" s="15">
        <v>2.7224847038365762E-2</v>
      </c>
      <c r="F13" s="15"/>
      <c r="G13" s="15"/>
      <c r="H13" s="15"/>
      <c r="I13" s="15"/>
      <c r="J13" s="15"/>
      <c r="K13" s="15"/>
      <c r="L13" s="15">
        <v>8.788631377303022E-3</v>
      </c>
      <c r="M13" s="15">
        <v>1.9691453271605762E-3</v>
      </c>
    </row>
    <row r="14" spans="1:13" x14ac:dyDescent="0.35">
      <c r="A14" s="5">
        <v>12</v>
      </c>
      <c r="B14" s="5" t="s">
        <v>61</v>
      </c>
      <c r="C14" s="6" t="s">
        <v>8</v>
      </c>
      <c r="D14" s="15">
        <v>2.3130146561346366E-2</v>
      </c>
      <c r="E14" s="15">
        <v>1.705173334603283E-2</v>
      </c>
      <c r="F14" s="15"/>
      <c r="G14" s="15"/>
      <c r="H14" s="15"/>
      <c r="I14" s="15"/>
      <c r="J14" s="15"/>
      <c r="K14" s="15"/>
      <c r="L14" s="15">
        <v>3.3296152681888671E-3</v>
      </c>
      <c r="M14" s="15">
        <v>1.5514090055973155E-3</v>
      </c>
    </row>
    <row r="15" spans="1:13" x14ac:dyDescent="0.35">
      <c r="A15" s="5">
        <v>13</v>
      </c>
      <c r="B15" s="5" t="s">
        <v>62</v>
      </c>
      <c r="C15" s="6" t="s">
        <v>8</v>
      </c>
      <c r="D15" s="15">
        <v>0.70857998241975984</v>
      </c>
      <c r="E15" s="15">
        <v>0.31922055862683146</v>
      </c>
      <c r="F15" s="15"/>
      <c r="G15" s="15"/>
      <c r="H15" s="15"/>
      <c r="I15" s="15"/>
      <c r="J15" s="15"/>
      <c r="K15" s="15"/>
      <c r="L15" s="15">
        <v>1.6032266466544933</v>
      </c>
      <c r="M15" s="15">
        <v>0.12427732790389846</v>
      </c>
    </row>
    <row r="16" spans="1:13" x14ac:dyDescent="0.35">
      <c r="A16" s="5">
        <v>14</v>
      </c>
      <c r="B16" s="5" t="s">
        <v>63</v>
      </c>
      <c r="C16" s="6" t="s">
        <v>8</v>
      </c>
      <c r="D16" s="15">
        <v>0.43324558269838781</v>
      </c>
      <c r="E16" s="15">
        <v>6.8085925803483688E-2</v>
      </c>
      <c r="F16" s="15"/>
      <c r="G16" s="15"/>
      <c r="H16" s="15"/>
      <c r="I16" s="15"/>
      <c r="J16" s="15"/>
      <c r="K16" s="15"/>
      <c r="L16" s="15">
        <v>0.34152828386918871</v>
      </c>
      <c r="M16" s="15">
        <v>9.4361057451851041E-2</v>
      </c>
    </row>
    <row r="17" spans="1:16" x14ac:dyDescent="0.35">
      <c r="A17" s="5">
        <v>15</v>
      </c>
      <c r="B17" s="5" t="s">
        <v>64</v>
      </c>
      <c r="C17" s="6" t="s">
        <v>8</v>
      </c>
      <c r="D17" s="15">
        <v>0.85893447890287045</v>
      </c>
      <c r="E17" s="15">
        <v>0.2619764299915453</v>
      </c>
      <c r="F17" s="15"/>
      <c r="G17" s="15"/>
      <c r="H17" s="15"/>
      <c r="I17" s="15"/>
      <c r="J17" s="15"/>
      <c r="K17" s="15"/>
      <c r="L17" s="15">
        <v>0.18742380523565785</v>
      </c>
      <c r="M17" s="15">
        <v>0.11148251062680754</v>
      </c>
    </row>
    <row r="18" spans="1:16" x14ac:dyDescent="0.35">
      <c r="A18" s="5">
        <v>16</v>
      </c>
      <c r="B18" s="5" t="s">
        <v>65</v>
      </c>
      <c r="C18" s="6" t="s">
        <v>8</v>
      </c>
      <c r="D18" s="15">
        <v>0.6003187917254772</v>
      </c>
      <c r="E18" s="15">
        <v>0.16713771077968692</v>
      </c>
      <c r="F18" s="15"/>
      <c r="G18" s="15"/>
      <c r="H18" s="15"/>
      <c r="I18" s="15"/>
      <c r="J18" s="15"/>
      <c r="K18" s="15"/>
      <c r="L18" s="15">
        <v>3.5968036722215928E-2</v>
      </c>
      <c r="M18" s="15">
        <v>2.1486961134588787E-2</v>
      </c>
      <c r="P18" s="32">
        <f>SUM(D15,D17,D19)</f>
        <v>1.6088600491656793</v>
      </c>
    </row>
    <row r="19" spans="1:16" x14ac:dyDescent="0.35">
      <c r="A19" s="5">
        <v>17</v>
      </c>
      <c r="B19" s="5" t="s">
        <v>66</v>
      </c>
      <c r="C19" s="6" t="s">
        <v>8</v>
      </c>
      <c r="D19" s="15">
        <v>4.1345587843048856E-2</v>
      </c>
      <c r="E19" s="15">
        <v>1.5944956988501142E-2</v>
      </c>
      <c r="F19" s="15"/>
      <c r="G19" s="15"/>
      <c r="H19" s="15"/>
      <c r="I19" s="15"/>
      <c r="J19" s="15"/>
      <c r="K19" s="15"/>
      <c r="L19" s="15">
        <v>9.784763579658887E-3</v>
      </c>
      <c r="M19" s="15">
        <v>4.4883973265183244E-3</v>
      </c>
      <c r="P19" s="32">
        <f>SUM(D16,D18,D20)</f>
        <v>1.0410445616360404</v>
      </c>
    </row>
    <row r="20" spans="1:16" x14ac:dyDescent="0.35">
      <c r="A20" s="5">
        <v>18</v>
      </c>
      <c r="B20" s="5" t="s">
        <v>67</v>
      </c>
      <c r="C20" s="6" t="s">
        <v>8</v>
      </c>
      <c r="D20" s="15">
        <v>7.480187212175555E-3</v>
      </c>
      <c r="E20" s="15">
        <v>5.7976765515138431E-3</v>
      </c>
      <c r="F20" s="15"/>
      <c r="G20" s="15"/>
      <c r="H20" s="15"/>
      <c r="I20" s="15"/>
      <c r="J20" s="15"/>
      <c r="K20" s="15"/>
      <c r="L20" s="15">
        <v>3.7504793666247368E-3</v>
      </c>
      <c r="M20" s="15">
        <v>8.8941516566908225E-4</v>
      </c>
    </row>
    <row r="21" spans="1:16" x14ac:dyDescent="0.35">
      <c r="A21" s="5">
        <v>19</v>
      </c>
      <c r="B21" s="5" t="s">
        <v>68</v>
      </c>
      <c r="C21" s="6" t="s">
        <v>8</v>
      </c>
      <c r="D21" s="15">
        <v>0.39262737392064256</v>
      </c>
      <c r="E21" s="15">
        <v>0.1041063099441807</v>
      </c>
      <c r="F21" s="15">
        <v>0.14526120880966362</v>
      </c>
      <c r="G21" s="15">
        <v>1.6449862214922933E-2</v>
      </c>
      <c r="H21" s="15">
        <v>0.45533492489299876</v>
      </c>
      <c r="I21" s="15">
        <v>5.3561541724506369E-2</v>
      </c>
      <c r="J21" s="15">
        <v>0.20755596894503686</v>
      </c>
      <c r="K21" s="15">
        <v>4.0408163158055919E-2</v>
      </c>
      <c r="L21" s="15">
        <v>0.52233099308486775</v>
      </c>
      <c r="M21" s="15">
        <v>0.10268710700733985</v>
      </c>
    </row>
    <row r="22" spans="1:16" x14ac:dyDescent="0.35">
      <c r="A22" s="5">
        <v>20</v>
      </c>
      <c r="B22" s="5" t="s">
        <v>69</v>
      </c>
      <c r="C22" s="6" t="s">
        <v>8</v>
      </c>
      <c r="D22" s="15">
        <v>2.8318440844570414E-2</v>
      </c>
      <c r="E22" s="15">
        <v>5.7888280291968783E-2</v>
      </c>
      <c r="F22" s="15">
        <v>0.13048975870222027</v>
      </c>
      <c r="G22" s="15">
        <v>6.2108398472200205E-2</v>
      </c>
      <c r="H22" s="15">
        <v>8.5662919768011714E-2</v>
      </c>
      <c r="I22" s="15">
        <v>4.6799842593441041E-2</v>
      </c>
      <c r="J22" s="15">
        <v>2.4474080370581391E-2</v>
      </c>
      <c r="K22" s="15">
        <v>2.2821176417803398E-2</v>
      </c>
      <c r="L22" s="15">
        <v>0.14570470218632889</v>
      </c>
      <c r="M22" s="15">
        <v>8.0998093542974825E-2</v>
      </c>
    </row>
    <row r="23" spans="1:16" x14ac:dyDescent="0.35">
      <c r="A23" s="5">
        <v>21</v>
      </c>
      <c r="B23" s="5" t="s">
        <v>9</v>
      </c>
      <c r="C23" s="6" t="s">
        <v>8</v>
      </c>
      <c r="D23" s="15">
        <v>1.5254872244289484</v>
      </c>
      <c r="E23" s="15">
        <v>0.54896818714162643</v>
      </c>
      <c r="F23" s="15">
        <v>0.82116704012944119</v>
      </c>
      <c r="G23" s="15">
        <v>4.8665045607618522E-2</v>
      </c>
      <c r="H23" s="15">
        <v>0.97972776864880806</v>
      </c>
      <c r="I23" s="15">
        <v>0.25826531451741053</v>
      </c>
      <c r="J23" s="15">
        <v>0.58671110173991659</v>
      </c>
      <c r="K23" s="15">
        <v>4.1525241211827331E-2</v>
      </c>
      <c r="L23" s="15">
        <v>1.0789254179606764</v>
      </c>
      <c r="M23" s="15">
        <v>7.2986394489366876E-2</v>
      </c>
    </row>
    <row r="24" spans="1:16" x14ac:dyDescent="0.35">
      <c r="A24" s="5">
        <v>22</v>
      </c>
      <c r="B24" s="5" t="s">
        <v>70</v>
      </c>
      <c r="C24" s="6" t="s">
        <v>8</v>
      </c>
      <c r="D24" s="15">
        <v>0.4622036130440188</v>
      </c>
      <c r="E24" s="15">
        <v>2.3855849057341918E-2</v>
      </c>
      <c r="F24" s="15">
        <v>0.51737967288310105</v>
      </c>
      <c r="G24" s="15">
        <v>0.17613659106447727</v>
      </c>
      <c r="H24" s="15">
        <v>1.1437933067629589</v>
      </c>
      <c r="I24" s="15">
        <v>0.17605707259977299</v>
      </c>
      <c r="J24" s="15">
        <v>0.47090312425433206</v>
      </c>
      <c r="K24" s="15">
        <v>9.5136530807960556E-2</v>
      </c>
      <c r="L24" s="15">
        <v>0.8709946250793229</v>
      </c>
      <c r="M24" s="15">
        <v>0.18499251942661418</v>
      </c>
    </row>
    <row r="25" spans="1:16" x14ac:dyDescent="0.35">
      <c r="A25" s="5">
        <v>23</v>
      </c>
      <c r="B25" s="5" t="s">
        <v>10</v>
      </c>
      <c r="C25" s="6" t="s">
        <v>8</v>
      </c>
      <c r="D25" s="15" t="s">
        <v>71</v>
      </c>
      <c r="E25" s="15" t="s">
        <v>71</v>
      </c>
      <c r="F25" s="15" t="s">
        <v>71</v>
      </c>
      <c r="G25" s="15" t="s">
        <v>71</v>
      </c>
      <c r="H25" s="15" t="s">
        <v>71</v>
      </c>
      <c r="I25" s="15" t="s">
        <v>71</v>
      </c>
      <c r="J25" s="15" t="s">
        <v>71</v>
      </c>
      <c r="K25" s="15" t="s">
        <v>71</v>
      </c>
      <c r="L25" s="15" t="s">
        <v>71</v>
      </c>
      <c r="M25" s="15" t="s">
        <v>71</v>
      </c>
    </row>
    <row r="26" spans="1:16" x14ac:dyDescent="0.35">
      <c r="A26" s="5">
        <v>24</v>
      </c>
      <c r="B26" s="5" t="s">
        <v>72</v>
      </c>
      <c r="C26" s="6" t="s">
        <v>8</v>
      </c>
      <c r="D26" s="15" t="s">
        <v>71</v>
      </c>
      <c r="E26" s="15" t="s">
        <v>71</v>
      </c>
      <c r="F26" s="15" t="s">
        <v>71</v>
      </c>
      <c r="G26" s="15" t="s">
        <v>71</v>
      </c>
      <c r="H26" s="15" t="s">
        <v>71</v>
      </c>
      <c r="I26" s="15" t="s">
        <v>71</v>
      </c>
      <c r="J26" s="15" t="s">
        <v>71</v>
      </c>
      <c r="K26" s="15" t="s">
        <v>71</v>
      </c>
      <c r="L26" s="15" t="s">
        <v>71</v>
      </c>
      <c r="M26" s="15" t="s">
        <v>71</v>
      </c>
    </row>
    <row r="27" spans="1:16" x14ac:dyDescent="0.35">
      <c r="A27" s="5">
        <v>25</v>
      </c>
      <c r="B27" s="5" t="s">
        <v>73</v>
      </c>
      <c r="C27" s="6" t="s">
        <v>8</v>
      </c>
      <c r="D27" s="15">
        <v>2.4215546721574329E-2</v>
      </c>
      <c r="E27" s="15">
        <v>1.6283247095556799E-2</v>
      </c>
      <c r="F27" s="15">
        <v>2.1892051246671047E-2</v>
      </c>
      <c r="G27" s="15">
        <v>9.824213726439263E-3</v>
      </c>
      <c r="H27" s="15" t="s">
        <v>71</v>
      </c>
      <c r="I27" s="15" t="s">
        <v>71</v>
      </c>
      <c r="J27" s="15">
        <v>6.269357354241732E-3</v>
      </c>
      <c r="K27" s="15">
        <v>4.3683520138910773E-3</v>
      </c>
      <c r="L27" s="15">
        <v>2.6825777102612202E-2</v>
      </c>
      <c r="M27" s="15">
        <v>1.7142775307071641E-2</v>
      </c>
    </row>
    <row r="28" spans="1:16" x14ac:dyDescent="0.35">
      <c r="A28" s="5">
        <v>26</v>
      </c>
      <c r="B28" s="5" t="s">
        <v>74</v>
      </c>
      <c r="C28" s="6" t="s">
        <v>8</v>
      </c>
      <c r="D28" s="15">
        <v>1.9431071218320047E-2</v>
      </c>
      <c r="E28" s="15">
        <v>1.0732780483481658E-2</v>
      </c>
      <c r="F28" s="15">
        <v>6.0639852630033741E-2</v>
      </c>
      <c r="G28" s="15">
        <v>2.3479796588754855E-2</v>
      </c>
      <c r="H28" s="15" t="s">
        <v>71</v>
      </c>
      <c r="I28" s="15" t="s">
        <v>71</v>
      </c>
      <c r="J28" s="15">
        <v>1.5659180624932965E-2</v>
      </c>
      <c r="K28" s="15">
        <v>2.0799846444721749E-2</v>
      </c>
      <c r="L28" s="15">
        <v>4.549709565762803E-2</v>
      </c>
      <c r="M28" s="15">
        <v>3.5031315841645774E-2</v>
      </c>
    </row>
    <row r="29" spans="1:16" x14ac:dyDescent="0.35">
      <c r="A29" s="5">
        <v>27</v>
      </c>
      <c r="B29" s="5" t="s">
        <v>75</v>
      </c>
      <c r="C29" s="6" t="s">
        <v>8</v>
      </c>
      <c r="D29" s="15">
        <v>3.2490633330492874E-2</v>
      </c>
      <c r="E29" s="15">
        <v>3.1548741395128838E-2</v>
      </c>
      <c r="F29" s="15">
        <v>6.1614050111918235E-3</v>
      </c>
      <c r="G29" s="15">
        <v>5.3418971658286685E-3</v>
      </c>
      <c r="H29" s="15" t="s">
        <v>71</v>
      </c>
      <c r="I29" s="15" t="s">
        <v>71</v>
      </c>
      <c r="J29" s="15">
        <v>4.2087847131661894E-3</v>
      </c>
      <c r="K29" s="15">
        <v>2.8798977446531731E-3</v>
      </c>
      <c r="L29" s="15">
        <v>1.9904470764195447E-2</v>
      </c>
      <c r="M29" s="15">
        <v>1.705159130939431E-2</v>
      </c>
    </row>
    <row r="30" spans="1:16" x14ac:dyDescent="0.35">
      <c r="A30" s="5">
        <v>28</v>
      </c>
      <c r="B30" s="5" t="s">
        <v>76</v>
      </c>
      <c r="C30" s="6" t="s">
        <v>8</v>
      </c>
      <c r="D30" s="15">
        <v>0.13285092665628825</v>
      </c>
      <c r="E30" s="15">
        <v>6.3483055307129208E-2</v>
      </c>
      <c r="F30" s="15">
        <v>8.8514768889887824E-2</v>
      </c>
      <c r="G30" s="15">
        <v>6.0200143108532916E-2</v>
      </c>
      <c r="H30" s="15" t="s">
        <v>71</v>
      </c>
      <c r="I30" s="15" t="s">
        <v>71</v>
      </c>
      <c r="J30" s="15">
        <v>0.14496991260475767</v>
      </c>
      <c r="K30" s="15">
        <v>0.1373381972079292</v>
      </c>
      <c r="L30" s="15">
        <v>0.24599805336501265</v>
      </c>
      <c r="M30" s="15">
        <v>0.19890877709445509</v>
      </c>
    </row>
    <row r="31" spans="1:16" x14ac:dyDescent="0.35">
      <c r="A31" s="5">
        <v>29</v>
      </c>
      <c r="B31" s="5" t="s">
        <v>77</v>
      </c>
      <c r="C31" s="6" t="s">
        <v>8</v>
      </c>
      <c r="D31" s="26">
        <v>3.4022641509433966E-7</v>
      </c>
      <c r="E31" s="26">
        <v>1.6323076292413727E-7</v>
      </c>
      <c r="F31" s="12"/>
      <c r="G31" s="26"/>
      <c r="H31" s="12"/>
      <c r="I31" s="26"/>
      <c r="J31" s="12"/>
      <c r="K31" s="12"/>
      <c r="L31" s="26">
        <v>0</v>
      </c>
      <c r="M31" s="26">
        <v>1E-8</v>
      </c>
    </row>
    <row r="32" spans="1:16" x14ac:dyDescent="0.35">
      <c r="A32" s="5">
        <v>30</v>
      </c>
      <c r="B32" s="5" t="s">
        <v>78</v>
      </c>
      <c r="C32" s="6" t="s">
        <v>8</v>
      </c>
      <c r="D32" s="12">
        <v>5.4470125786163522E-6</v>
      </c>
      <c r="E32" s="12">
        <v>8.8447287352063359E-7</v>
      </c>
      <c r="F32" s="12"/>
      <c r="G32" s="26"/>
      <c r="H32" s="12"/>
      <c r="I32" s="26"/>
      <c r="J32" s="12"/>
      <c r="K32" s="12"/>
      <c r="L32" s="26">
        <v>0</v>
      </c>
      <c r="M32" s="26">
        <v>1E-8</v>
      </c>
    </row>
    <row r="33" spans="1:13" x14ac:dyDescent="0.35">
      <c r="A33" s="5">
        <v>31</v>
      </c>
      <c r="B33" s="5" t="s">
        <v>79</v>
      </c>
      <c r="C33" s="6" t="s">
        <v>8</v>
      </c>
      <c r="D33" s="26">
        <v>7.6550943396226419E-7</v>
      </c>
      <c r="E33" s="26">
        <v>3.1597125924338973E-7</v>
      </c>
      <c r="F33" s="12"/>
      <c r="G33" s="26"/>
      <c r="H33" s="12"/>
      <c r="I33" s="26"/>
      <c r="J33" s="12"/>
      <c r="K33" s="12"/>
      <c r="L33" s="26">
        <v>4.2528301886792457E-8</v>
      </c>
      <c r="M33" s="26">
        <v>3.0265243311871464E-8</v>
      </c>
    </row>
    <row r="34" spans="1:13" x14ac:dyDescent="0.35">
      <c r="A34" s="5">
        <v>32</v>
      </c>
      <c r="B34" s="5" t="s">
        <v>80</v>
      </c>
      <c r="C34" s="6" t="s">
        <v>8</v>
      </c>
      <c r="D34" s="12">
        <v>6.7542955974842783E-6</v>
      </c>
      <c r="E34" s="12">
        <v>4.710763646108557E-7</v>
      </c>
      <c r="F34" s="12"/>
      <c r="G34" s="26"/>
      <c r="H34" s="12"/>
      <c r="I34" s="26"/>
      <c r="J34" s="12"/>
      <c r="K34" s="12"/>
      <c r="L34" s="12">
        <v>1.8845849056603773E-6</v>
      </c>
      <c r="M34" s="12">
        <v>1.9865269152867814E-7</v>
      </c>
    </row>
    <row r="35" spans="1:13" x14ac:dyDescent="0.35">
      <c r="A35" s="5">
        <v>33</v>
      </c>
      <c r="B35" s="5" t="s">
        <v>81</v>
      </c>
      <c r="C35" s="6" t="s">
        <v>8</v>
      </c>
      <c r="D35" s="26">
        <v>2.9769811320754717E-7</v>
      </c>
      <c r="E35" s="26">
        <v>2.9769811320754717E-7</v>
      </c>
      <c r="F35" s="12"/>
      <c r="G35" s="26"/>
      <c r="H35" s="12"/>
      <c r="I35" s="26"/>
      <c r="J35" s="12"/>
      <c r="K35" s="12"/>
      <c r="L35" s="26">
        <v>1.3183773584905661E-6</v>
      </c>
      <c r="M35" s="26">
        <v>4.2011609625364307E-7</v>
      </c>
    </row>
    <row r="36" spans="1:13" x14ac:dyDescent="0.35">
      <c r="A36" s="5">
        <v>34</v>
      </c>
      <c r="B36" s="5" t="s">
        <v>82</v>
      </c>
      <c r="C36" s="6" t="s">
        <v>8</v>
      </c>
      <c r="D36" s="12">
        <v>5.2509201257861635E-5</v>
      </c>
      <c r="E36" s="12">
        <v>5.0610971351590652E-6</v>
      </c>
      <c r="F36" s="12"/>
      <c r="G36" s="26"/>
      <c r="H36" s="12"/>
      <c r="I36" s="26"/>
      <c r="J36" s="12"/>
      <c r="K36" s="12"/>
      <c r="L36" s="12">
        <v>4.9991094339622644E-5</v>
      </c>
      <c r="M36" s="12">
        <v>5.2695240279186209E-6</v>
      </c>
    </row>
    <row r="37" spans="1:13" x14ac:dyDescent="0.35">
      <c r="A37" s="5">
        <v>35</v>
      </c>
      <c r="B37" s="5" t="s">
        <v>83</v>
      </c>
      <c r="C37" s="6" t="s">
        <v>8</v>
      </c>
      <c r="D37" s="26">
        <v>3.6149056603773584E-6</v>
      </c>
      <c r="E37" s="26">
        <v>1.3393527082270593E-6</v>
      </c>
      <c r="F37" s="12"/>
      <c r="G37" s="26"/>
      <c r="H37" s="12"/>
      <c r="I37" s="26"/>
      <c r="J37" s="12"/>
      <c r="K37" s="12"/>
      <c r="L37" s="26">
        <v>1.8712452830188681E-6</v>
      </c>
      <c r="M37" s="26">
        <v>3.471473292804132E-7</v>
      </c>
    </row>
    <row r="38" spans="1:13" x14ac:dyDescent="0.35">
      <c r="A38" s="5">
        <v>36</v>
      </c>
      <c r="B38" s="5" t="s">
        <v>84</v>
      </c>
      <c r="C38" s="6" t="s">
        <v>8</v>
      </c>
      <c r="D38" s="12">
        <v>6.3621106918239012E-5</v>
      </c>
      <c r="E38" s="12">
        <v>9.5883951452217867E-7</v>
      </c>
      <c r="F38" s="12"/>
      <c r="G38" s="26"/>
      <c r="H38" s="12"/>
      <c r="I38" s="26"/>
      <c r="J38" s="12"/>
      <c r="K38" s="12"/>
      <c r="L38" s="12">
        <v>1.3489660377358488E-5</v>
      </c>
      <c r="M38" s="12">
        <v>3.1841641979621928E-7</v>
      </c>
    </row>
    <row r="39" spans="1:13" x14ac:dyDescent="0.35">
      <c r="A39" s="5">
        <v>37</v>
      </c>
      <c r="B39" s="5" t="s">
        <v>85</v>
      </c>
      <c r="C39" s="6" t="s">
        <v>8</v>
      </c>
      <c r="D39" s="26">
        <v>0</v>
      </c>
      <c r="E39" s="26">
        <v>1E-8</v>
      </c>
      <c r="F39" s="12"/>
      <c r="G39" s="26"/>
      <c r="H39" s="12"/>
      <c r="I39" s="26"/>
      <c r="J39" s="12"/>
      <c r="K39" s="12"/>
      <c r="L39" s="26">
        <v>0</v>
      </c>
      <c r="M39" s="26">
        <v>1E-8</v>
      </c>
    </row>
    <row r="40" spans="1:13" x14ac:dyDescent="0.35">
      <c r="A40" s="5">
        <v>38</v>
      </c>
      <c r="B40" s="5" t="s">
        <v>86</v>
      </c>
      <c r="C40" s="6" t="s">
        <v>8</v>
      </c>
      <c r="D40" s="12">
        <v>1.7430440251572326E-6</v>
      </c>
      <c r="E40" s="12">
        <v>2.6262841441340394E-6</v>
      </c>
      <c r="F40" s="12"/>
      <c r="G40" s="26"/>
      <c r="H40" s="12"/>
      <c r="I40" s="26"/>
      <c r="J40" s="12"/>
      <c r="K40" s="12"/>
      <c r="L40" s="12">
        <v>8.9269811320754719E-7</v>
      </c>
      <c r="M40" s="12">
        <v>3.1366214451896551E-8</v>
      </c>
    </row>
    <row r="42" spans="1:13" ht="26" x14ac:dyDescent="0.6">
      <c r="A42" s="7" t="s">
        <v>19</v>
      </c>
      <c r="B42" s="8"/>
      <c r="C42" s="8"/>
      <c r="D42" s="13"/>
    </row>
    <row r="43" spans="1:13" x14ac:dyDescent="0.35">
      <c r="A43" s="9">
        <v>1</v>
      </c>
      <c r="B43" s="9" t="s">
        <v>87</v>
      </c>
      <c r="C43" s="10" t="s">
        <v>21</v>
      </c>
      <c r="D43" s="17">
        <v>24.306686448806801</v>
      </c>
      <c r="E43" s="17">
        <v>0.42293134990938203</v>
      </c>
      <c r="F43" s="17">
        <v>25.1557229286392</v>
      </c>
      <c r="G43" s="17">
        <v>0.31024037947358601</v>
      </c>
      <c r="H43" s="17">
        <v>26.176377264656701</v>
      </c>
      <c r="I43" s="17">
        <v>0.61854269072943302</v>
      </c>
      <c r="J43" s="17">
        <v>25.220240301436998</v>
      </c>
      <c r="K43" s="17">
        <v>0.46828918575359402</v>
      </c>
      <c r="L43" s="17">
        <v>24.443924556848199</v>
      </c>
      <c r="M43" s="17">
        <v>0.77965954494973999</v>
      </c>
    </row>
    <row r="44" spans="1:13" x14ac:dyDescent="0.35">
      <c r="A44" s="9">
        <v>2</v>
      </c>
      <c r="B44" s="9" t="s">
        <v>88</v>
      </c>
      <c r="C44" s="10" t="s">
        <v>21</v>
      </c>
      <c r="D44" s="17">
        <v>22.139011394354</v>
      </c>
      <c r="E44" s="17">
        <v>0.45138660605653202</v>
      </c>
      <c r="F44" s="17">
        <v>23.8713741163896</v>
      </c>
      <c r="G44" s="17">
        <v>0.40281286217304701</v>
      </c>
      <c r="H44" s="17">
        <v>23.960761114209099</v>
      </c>
      <c r="I44" s="17">
        <v>0.67243091749497397</v>
      </c>
      <c r="J44" s="17">
        <v>24.3961600552792</v>
      </c>
      <c r="K44" s="17">
        <v>0.20145672447572299</v>
      </c>
      <c r="L44" s="17">
        <v>21.682161164634898</v>
      </c>
      <c r="M44" s="17">
        <v>0.90749798988283803</v>
      </c>
    </row>
    <row r="45" spans="1:13" x14ac:dyDescent="0.35">
      <c r="A45" s="9">
        <v>3</v>
      </c>
      <c r="B45" s="9" t="s">
        <v>89</v>
      </c>
      <c r="C45" s="10" t="s">
        <v>21</v>
      </c>
      <c r="D45" s="17">
        <v>16.413680132539898</v>
      </c>
      <c r="E45" s="17">
        <v>2.3560580232850099</v>
      </c>
      <c r="F45" s="17">
        <v>19.280662172196202</v>
      </c>
      <c r="G45" s="17">
        <v>2.8147558676175701</v>
      </c>
      <c r="H45" s="17">
        <v>18.987997850368199</v>
      </c>
      <c r="I45" s="17">
        <v>2.46119088541248</v>
      </c>
      <c r="J45" s="17">
        <v>18.906565035592401</v>
      </c>
      <c r="K45" s="17">
        <v>2.4842801179421299</v>
      </c>
      <c r="L45" s="17">
        <v>16.4566109889568</v>
      </c>
      <c r="M45" s="17">
        <v>1.98668484724817</v>
      </c>
    </row>
    <row r="46" spans="1:13" x14ac:dyDescent="0.35">
      <c r="A46" s="9">
        <v>4</v>
      </c>
      <c r="B46" s="8" t="s">
        <v>90</v>
      </c>
      <c r="C46" s="10" t="s">
        <v>23</v>
      </c>
      <c r="D46" s="17">
        <v>2.3244760773607633E-2</v>
      </c>
      <c r="E46" s="17" t="s">
        <v>71</v>
      </c>
      <c r="F46" s="17" t="s">
        <v>71</v>
      </c>
      <c r="G46" s="17" t="s">
        <v>71</v>
      </c>
      <c r="H46" s="17" t="s">
        <v>71</v>
      </c>
      <c r="I46" s="17" t="s">
        <v>71</v>
      </c>
      <c r="J46" s="17" t="s">
        <v>71</v>
      </c>
      <c r="K46" s="17" t="s">
        <v>71</v>
      </c>
      <c r="L46" s="17">
        <v>4.5631694921950045E-2</v>
      </c>
      <c r="M46" s="17" t="s">
        <v>71</v>
      </c>
    </row>
    <row r="47" spans="1:13" x14ac:dyDescent="0.35">
      <c r="A47" s="9">
        <v>5</v>
      </c>
      <c r="B47" s="8" t="s">
        <v>91</v>
      </c>
      <c r="C47" s="10" t="s">
        <v>23</v>
      </c>
      <c r="D47" s="17">
        <v>2.1734874553622072E-4</v>
      </c>
      <c r="E47" s="17" t="s">
        <v>71</v>
      </c>
      <c r="F47" s="17" t="s">
        <v>71</v>
      </c>
      <c r="G47" s="17" t="s">
        <v>71</v>
      </c>
      <c r="H47" s="17" t="s">
        <v>71</v>
      </c>
      <c r="I47" s="17" t="s">
        <v>71</v>
      </c>
      <c r="J47" s="17" t="s">
        <v>71</v>
      </c>
      <c r="K47" s="17" t="s">
        <v>71</v>
      </c>
      <c r="L47" s="17">
        <v>3.24816318297895E-4</v>
      </c>
      <c r="M47" s="17" t="s">
        <v>71</v>
      </c>
    </row>
    <row r="48" spans="1:13" x14ac:dyDescent="0.35">
      <c r="A48" s="9">
        <v>6</v>
      </c>
      <c r="B48" s="8" t="s">
        <v>92</v>
      </c>
      <c r="C48" s="10" t="s">
        <v>23</v>
      </c>
      <c r="D48" s="17">
        <v>2.4984618639406042E-4</v>
      </c>
      <c r="E48" s="17" t="s">
        <v>71</v>
      </c>
      <c r="F48" s="17" t="s">
        <v>71</v>
      </c>
      <c r="G48" s="17" t="s">
        <v>71</v>
      </c>
      <c r="H48" s="17" t="s">
        <v>71</v>
      </c>
      <c r="I48" s="17" t="s">
        <v>71</v>
      </c>
      <c r="J48" s="17" t="s">
        <v>71</v>
      </c>
      <c r="K48" s="17" t="s">
        <v>71</v>
      </c>
      <c r="L48" s="17">
        <v>3.442342332827692E-4</v>
      </c>
      <c r="M48" s="17" t="s">
        <v>71</v>
      </c>
    </row>
    <row r="49" spans="1:13" x14ac:dyDescent="0.35">
      <c r="A49" s="9">
        <v>7</v>
      </c>
      <c r="B49" s="8" t="s">
        <v>93</v>
      </c>
      <c r="C49" s="10" t="s">
        <v>23</v>
      </c>
      <c r="D49" s="17">
        <v>0.1030864585897461</v>
      </c>
      <c r="E49" s="17" t="s">
        <v>71</v>
      </c>
      <c r="F49" s="17" t="s">
        <v>71</v>
      </c>
      <c r="G49" s="17" t="s">
        <v>71</v>
      </c>
      <c r="H49" s="17" t="s">
        <v>71</v>
      </c>
      <c r="I49" s="17" t="s">
        <v>71</v>
      </c>
      <c r="J49" s="17" t="s">
        <v>71</v>
      </c>
      <c r="K49" s="17" t="s">
        <v>71</v>
      </c>
      <c r="L49" s="17">
        <v>0.12689054192529309</v>
      </c>
      <c r="M49" s="17" t="s">
        <v>71</v>
      </c>
    </row>
    <row r="50" spans="1:13" x14ac:dyDescent="0.35">
      <c r="A50" s="9">
        <v>8</v>
      </c>
      <c r="B50" s="8" t="s">
        <v>94</v>
      </c>
      <c r="C50" s="10" t="s">
        <v>23</v>
      </c>
      <c r="D50" s="17">
        <v>0.10704004785199939</v>
      </c>
      <c r="E50" s="17" t="s">
        <v>71</v>
      </c>
      <c r="F50" s="17" t="s">
        <v>71</v>
      </c>
      <c r="G50" s="17" t="s">
        <v>71</v>
      </c>
      <c r="H50" s="17" t="s">
        <v>71</v>
      </c>
      <c r="I50" s="17" t="s">
        <v>71</v>
      </c>
      <c r="J50" s="17" t="s">
        <v>71</v>
      </c>
      <c r="K50" s="17" t="s">
        <v>71</v>
      </c>
      <c r="L50" s="17">
        <v>0.130131032096578</v>
      </c>
      <c r="M50" s="17" t="s">
        <v>71</v>
      </c>
    </row>
    <row r="51" spans="1:13" x14ac:dyDescent="0.35">
      <c r="A51" s="9">
        <v>9</v>
      </c>
      <c r="B51" s="8" t="s">
        <v>95</v>
      </c>
      <c r="C51" s="10" t="s">
        <v>23</v>
      </c>
      <c r="D51" s="17">
        <v>2.865047253231591E-2</v>
      </c>
      <c r="E51" s="17" t="s">
        <v>71</v>
      </c>
      <c r="F51" s="17" t="s">
        <v>71</v>
      </c>
      <c r="G51" s="17" t="s">
        <v>71</v>
      </c>
      <c r="H51" s="17" t="s">
        <v>71</v>
      </c>
      <c r="I51" s="17" t="s">
        <v>71</v>
      </c>
      <c r="J51" s="17" t="s">
        <v>71</v>
      </c>
      <c r="K51" s="17" t="s">
        <v>71</v>
      </c>
      <c r="L51" s="17">
        <v>1.8532008055355469E-2</v>
      </c>
      <c r="M51" s="17" t="s">
        <v>71</v>
      </c>
    </row>
    <row r="52" spans="1:13" x14ac:dyDescent="0.35">
      <c r="A52" s="9">
        <v>10</v>
      </c>
      <c r="B52" s="8" t="s">
        <v>96</v>
      </c>
      <c r="C52" s="10" t="s">
        <v>23</v>
      </c>
      <c r="D52" s="17"/>
      <c r="E52" s="17"/>
      <c r="F52" s="17"/>
      <c r="G52" s="17"/>
      <c r="H52" s="17"/>
      <c r="I52" s="17"/>
      <c r="J52" s="17"/>
      <c r="K52" s="17"/>
      <c r="L52" s="17"/>
      <c r="M52" s="17"/>
    </row>
    <row r="53" spans="1:13" x14ac:dyDescent="0.35">
      <c r="A53" s="9">
        <v>11</v>
      </c>
      <c r="B53" s="8" t="s">
        <v>97</v>
      </c>
      <c r="C53" s="10" t="s">
        <v>23</v>
      </c>
      <c r="D53" s="17">
        <v>5.6330059091621967E-5</v>
      </c>
      <c r="E53" s="17" t="s">
        <v>71</v>
      </c>
      <c r="F53" s="17" t="s">
        <v>71</v>
      </c>
      <c r="G53" s="17" t="s">
        <v>71</v>
      </c>
      <c r="H53" s="17" t="s">
        <v>71</v>
      </c>
      <c r="I53" s="17" t="s">
        <v>71</v>
      </c>
      <c r="J53" s="17" t="s">
        <v>71</v>
      </c>
      <c r="K53" s="17" t="s">
        <v>71</v>
      </c>
      <c r="L53" s="17">
        <v>1.176061216704853E-3</v>
      </c>
      <c r="M53" s="17" t="s">
        <v>71</v>
      </c>
    </row>
    <row r="54" spans="1:13" x14ac:dyDescent="0.35">
      <c r="A54" s="9">
        <v>12</v>
      </c>
      <c r="B54" s="8" t="s">
        <v>98</v>
      </c>
      <c r="C54" s="10" t="s">
        <v>23</v>
      </c>
      <c r="D54" s="17">
        <v>6.1992006274459721E-4</v>
      </c>
      <c r="E54" s="17" t="s">
        <v>71</v>
      </c>
      <c r="F54" s="17" t="s">
        <v>71</v>
      </c>
      <c r="G54" s="17" t="s">
        <v>71</v>
      </c>
      <c r="H54" s="17" t="s">
        <v>71</v>
      </c>
      <c r="I54" s="17" t="s">
        <v>71</v>
      </c>
      <c r="J54" s="17" t="s">
        <v>71</v>
      </c>
      <c r="K54" s="17" t="s">
        <v>71</v>
      </c>
      <c r="L54" s="17">
        <v>1.908079075558428E-3</v>
      </c>
      <c r="M54" s="17" t="s">
        <v>71</v>
      </c>
    </row>
    <row r="55" spans="1:13" x14ac:dyDescent="0.35">
      <c r="A55" s="9">
        <v>13</v>
      </c>
      <c r="B55" s="8" t="s">
        <v>99</v>
      </c>
      <c r="C55" s="10" t="s">
        <v>23</v>
      </c>
      <c r="D55" s="17">
        <v>8.8620245184445529E-2</v>
      </c>
      <c r="E55" s="17" t="s">
        <v>71</v>
      </c>
      <c r="F55" s="17" t="s">
        <v>71</v>
      </c>
      <c r="G55" s="17" t="s">
        <v>71</v>
      </c>
      <c r="H55" s="17" t="s">
        <v>71</v>
      </c>
      <c r="I55" s="17" t="s">
        <v>71</v>
      </c>
      <c r="J55" s="17" t="s">
        <v>71</v>
      </c>
      <c r="K55" s="17" t="s">
        <v>71</v>
      </c>
      <c r="L55" s="17" t="s">
        <v>71</v>
      </c>
      <c r="M55" s="17" t="s">
        <v>71</v>
      </c>
    </row>
    <row r="56" spans="1:13" x14ac:dyDescent="0.35">
      <c r="A56" s="9">
        <v>14</v>
      </c>
      <c r="B56" s="8" t="s">
        <v>100</v>
      </c>
      <c r="C56" s="10" t="s">
        <v>23</v>
      </c>
      <c r="D56" s="17">
        <v>7.8290219687768239E-2</v>
      </c>
      <c r="E56" s="17" t="s">
        <v>71</v>
      </c>
      <c r="F56" s="17" t="s">
        <v>71</v>
      </c>
      <c r="G56" s="17" t="s">
        <v>71</v>
      </c>
      <c r="H56" s="17" t="s">
        <v>71</v>
      </c>
      <c r="I56" s="17" t="s">
        <v>71</v>
      </c>
      <c r="J56" s="17" t="s">
        <v>71</v>
      </c>
      <c r="K56" s="17" t="s">
        <v>71</v>
      </c>
      <c r="L56" s="17" t="s">
        <v>71</v>
      </c>
      <c r="M56" s="17" t="s">
        <v>71</v>
      </c>
    </row>
    <row r="57" spans="1:13" x14ac:dyDescent="0.35">
      <c r="A57" s="9">
        <v>15</v>
      </c>
      <c r="B57" s="8" t="s">
        <v>101</v>
      </c>
      <c r="C57" s="10" t="s">
        <v>23</v>
      </c>
      <c r="D57" s="13"/>
    </row>
    <row r="58" spans="1:13" x14ac:dyDescent="0.35">
      <c r="A58" s="9">
        <v>16</v>
      </c>
      <c r="B58" s="8" t="s">
        <v>102</v>
      </c>
      <c r="C58" s="10" t="s">
        <v>23</v>
      </c>
      <c r="D58" s="13"/>
    </row>
    <row r="59" spans="1:13" x14ac:dyDescent="0.35">
      <c r="A59" s="9">
        <v>17</v>
      </c>
      <c r="B59" s="8" t="s">
        <v>103</v>
      </c>
      <c r="C59" s="10" t="s">
        <v>23</v>
      </c>
      <c r="D59" s="13"/>
    </row>
    <row r="60" spans="1:13" x14ac:dyDescent="0.35">
      <c r="A60" s="9">
        <v>18</v>
      </c>
      <c r="B60" s="8" t="s">
        <v>104</v>
      </c>
      <c r="C60" s="10" t="s">
        <v>23</v>
      </c>
      <c r="D60" s="13"/>
    </row>
    <row r="61" spans="1:13" x14ac:dyDescent="0.35">
      <c r="A61" s="9">
        <v>19</v>
      </c>
      <c r="B61" s="8" t="s">
        <v>105</v>
      </c>
      <c r="C61" s="10" t="s">
        <v>23</v>
      </c>
      <c r="D61" s="13"/>
    </row>
    <row r="62" spans="1:13" x14ac:dyDescent="0.35">
      <c r="A62" s="9">
        <v>20</v>
      </c>
      <c r="B62" s="8" t="s">
        <v>106</v>
      </c>
      <c r="C62" s="10" t="s">
        <v>23</v>
      </c>
      <c r="D62" s="13"/>
    </row>
    <row r="63" spans="1:13" x14ac:dyDescent="0.35">
      <c r="A63" s="9">
        <v>21</v>
      </c>
      <c r="B63" s="8" t="s">
        <v>107</v>
      </c>
      <c r="C63" s="10" t="s">
        <v>23</v>
      </c>
      <c r="D63" s="13"/>
    </row>
    <row r="64" spans="1:13" x14ac:dyDescent="0.35">
      <c r="A64" s="9">
        <v>22</v>
      </c>
      <c r="B64" s="8" t="s">
        <v>108</v>
      </c>
      <c r="C64" s="10" t="s">
        <v>23</v>
      </c>
      <c r="D64" s="16">
        <v>9.3854156446540884</v>
      </c>
      <c r="E64" s="16"/>
      <c r="F64" s="16">
        <v>7.4497384433962273</v>
      </c>
      <c r="G64" s="16"/>
      <c r="H64" s="16">
        <v>7.7125763364779871</v>
      </c>
      <c r="I64" s="16"/>
      <c r="J64" s="16">
        <v>12.864162500000001</v>
      </c>
      <c r="K64" s="16"/>
      <c r="L64" s="16">
        <v>18.38821464622642</v>
      </c>
    </row>
    <row r="65" spans="1:12" x14ac:dyDescent="0.35">
      <c r="A65" s="9">
        <v>23</v>
      </c>
      <c r="B65" s="8" t="s">
        <v>109</v>
      </c>
      <c r="C65" s="10" t="s">
        <v>23</v>
      </c>
      <c r="D65" s="16">
        <v>2.7229538990616725E-2</v>
      </c>
      <c r="E65" s="16"/>
      <c r="F65" s="16">
        <v>5.1520432913583986E-3</v>
      </c>
      <c r="G65" s="16"/>
      <c r="H65" s="16">
        <v>1.7045684564132222E-2</v>
      </c>
      <c r="I65" s="16"/>
      <c r="J65" s="16">
        <v>3.5009416666666668E-3</v>
      </c>
      <c r="K65" s="16"/>
      <c r="L65" s="16">
        <v>9.7051833333333312E-4</v>
      </c>
    </row>
    <row r="66" spans="1:12" x14ac:dyDescent="0.35">
      <c r="A66" s="9">
        <v>24</v>
      </c>
      <c r="B66" s="8" t="s">
        <v>110</v>
      </c>
      <c r="C66" s="10" t="s">
        <v>23</v>
      </c>
      <c r="D66" s="16">
        <v>0.12890854719024891</v>
      </c>
      <c r="E66" s="16"/>
      <c r="F66" s="16">
        <v>3.1836143777513393E-3</v>
      </c>
      <c r="G66" s="16"/>
      <c r="H66" s="16">
        <v>1.1154792431797655</v>
      </c>
      <c r="I66" s="16"/>
      <c r="J66" s="16">
        <v>2.8887377309199543E-2</v>
      </c>
      <c r="K66" s="16"/>
      <c r="L66" s="16">
        <v>7.723346306523482E-2</v>
      </c>
    </row>
    <row r="67" spans="1:12" x14ac:dyDescent="0.35">
      <c r="A67" s="9">
        <v>25</v>
      </c>
      <c r="B67" s="8" t="s">
        <v>111</v>
      </c>
      <c r="C67" s="10" t="s">
        <v>23</v>
      </c>
      <c r="D67" s="16">
        <v>4.8398984912602563</v>
      </c>
      <c r="E67" s="16"/>
      <c r="F67" s="16">
        <v>2.8196422536875887</v>
      </c>
      <c r="G67" s="16"/>
      <c r="H67" s="16">
        <v>6.7409834241004978</v>
      </c>
      <c r="I67" s="16"/>
      <c r="J67" s="16">
        <v>1.6091475085367584</v>
      </c>
      <c r="K67" s="16"/>
      <c r="L67" s="16">
        <v>2.7372328743512173</v>
      </c>
    </row>
    <row r="68" spans="1:12" x14ac:dyDescent="0.35">
      <c r="A68" s="9">
        <v>26</v>
      </c>
      <c r="B68" s="8" t="s">
        <v>112</v>
      </c>
      <c r="C68" s="10" t="s">
        <v>23</v>
      </c>
      <c r="D68" s="16"/>
      <c r="E68" s="16"/>
      <c r="F68" s="16"/>
      <c r="G68" s="16"/>
      <c r="H68" s="16"/>
      <c r="I68" s="16"/>
      <c r="J68" s="16"/>
      <c r="K68" s="16"/>
      <c r="L68" s="16"/>
    </row>
    <row r="69" spans="1:12" x14ac:dyDescent="0.35">
      <c r="A69" s="9">
        <v>27</v>
      </c>
      <c r="B69" s="8" t="s">
        <v>113</v>
      </c>
      <c r="C69" s="10" t="s">
        <v>23</v>
      </c>
      <c r="D69" s="16"/>
      <c r="E69" s="16"/>
      <c r="F69" s="16"/>
      <c r="G69" s="16"/>
      <c r="H69" s="16"/>
      <c r="I69" s="16"/>
      <c r="J69" s="16"/>
      <c r="K69" s="16"/>
      <c r="L69" s="16"/>
    </row>
    <row r="70" spans="1:12" x14ac:dyDescent="0.35">
      <c r="A70" s="9">
        <v>28</v>
      </c>
      <c r="B70" s="8" t="s">
        <v>114</v>
      </c>
      <c r="C70" s="10" t="s">
        <v>23</v>
      </c>
      <c r="D70" s="16">
        <v>8.2216144654088055</v>
      </c>
      <c r="E70" s="16"/>
      <c r="F70" s="16">
        <v>8.9313759433962261</v>
      </c>
      <c r="G70" s="16"/>
      <c r="H70" s="16">
        <v>8.9968622641509448</v>
      </c>
      <c r="I70" s="16"/>
      <c r="J70" s="16">
        <v>15.413626886792455</v>
      </c>
      <c r="K70" s="16"/>
      <c r="L70" s="16">
        <v>6.773402570754719</v>
      </c>
    </row>
    <row r="71" spans="1:12" x14ac:dyDescent="0.35">
      <c r="A71" s="9">
        <v>29</v>
      </c>
      <c r="B71" s="8" t="s">
        <v>115</v>
      </c>
      <c r="C71" s="10" t="s">
        <v>23</v>
      </c>
      <c r="D71" s="16">
        <v>7.7361925911553797E-4</v>
      </c>
      <c r="E71" s="16"/>
      <c r="F71" s="16">
        <v>3.0301978531612649E-4</v>
      </c>
      <c r="G71" s="16"/>
      <c r="H71" s="16">
        <v>1.6247506311757628E-3</v>
      </c>
      <c r="I71" s="16"/>
      <c r="J71" s="16">
        <v>7.6124999999999885E-5</v>
      </c>
      <c r="K71" s="16"/>
      <c r="L71" s="16">
        <v>1.1318333333333335E-4</v>
      </c>
    </row>
    <row r="72" spans="1:12" x14ac:dyDescent="0.35">
      <c r="A72" s="9">
        <v>30</v>
      </c>
      <c r="B72" s="8" t="s">
        <v>116</v>
      </c>
      <c r="C72" s="10" t="s">
        <v>23</v>
      </c>
      <c r="D72" s="16">
        <v>0.12183767286069036</v>
      </c>
      <c r="E72" s="16"/>
      <c r="F72" s="27">
        <v>-3.1836143777513393E-3</v>
      </c>
      <c r="G72" s="16"/>
      <c r="H72" s="27">
        <v>-1.1154792431797655</v>
      </c>
      <c r="I72" s="16"/>
      <c r="J72" s="16">
        <v>3.2023540437769012E-2</v>
      </c>
      <c r="K72" s="16"/>
      <c r="L72" s="16">
        <v>4.373541875662542E-2</v>
      </c>
    </row>
    <row r="73" spans="1:12" x14ac:dyDescent="0.35">
      <c r="A73" s="9">
        <v>31</v>
      </c>
      <c r="B73" s="8" t="s">
        <v>117</v>
      </c>
      <c r="C73" s="10" t="s">
        <v>23</v>
      </c>
      <c r="D73" s="16">
        <v>6.9663239854642311</v>
      </c>
      <c r="E73" s="16"/>
      <c r="F73" s="16">
        <v>8.9679970950689256</v>
      </c>
      <c r="G73" s="16"/>
      <c r="H73" s="16">
        <v>5.4277509337427015</v>
      </c>
      <c r="I73" s="16"/>
      <c r="J73" s="16">
        <v>1.6345063078051103</v>
      </c>
      <c r="K73" s="16"/>
      <c r="L73" s="16">
        <v>3.6344949219843441</v>
      </c>
    </row>
    <row r="74" spans="1:12" x14ac:dyDescent="0.35">
      <c r="A74" s="9">
        <v>32</v>
      </c>
      <c r="B74" s="8" t="s">
        <v>118</v>
      </c>
      <c r="C74" s="10" t="s">
        <v>23</v>
      </c>
      <c r="D74" s="16"/>
      <c r="E74" s="18"/>
      <c r="F74" s="18"/>
      <c r="G74" s="18"/>
      <c r="H74" s="18"/>
      <c r="I74" s="18"/>
      <c r="J74" s="18"/>
      <c r="K74" s="18"/>
      <c r="L74" s="18"/>
    </row>
    <row r="75" spans="1:12" x14ac:dyDescent="0.35">
      <c r="A75" s="9">
        <v>33</v>
      </c>
      <c r="B75" s="8" t="s">
        <v>119</v>
      </c>
      <c r="C75" s="10" t="s">
        <v>23</v>
      </c>
      <c r="D75" s="16"/>
      <c r="E75" s="18"/>
      <c r="F75" s="18"/>
      <c r="G75" s="18"/>
      <c r="H75" s="18"/>
      <c r="I75" s="18"/>
      <c r="J75" s="18"/>
      <c r="K75" s="18"/>
      <c r="L75" s="18"/>
    </row>
    <row r="76" spans="1:12" x14ac:dyDescent="0.35">
      <c r="A76" s="9">
        <v>34</v>
      </c>
      <c r="B76" s="8" t="s">
        <v>120</v>
      </c>
      <c r="C76" s="10" t="s">
        <v>37</v>
      </c>
      <c r="D76" s="16">
        <v>1.351142910663318E-3</v>
      </c>
      <c r="E76" s="18"/>
      <c r="F76" s="16">
        <v>1.351142910663318E-3</v>
      </c>
      <c r="G76" s="16"/>
      <c r="H76" s="16">
        <v>1.351142910663318E-3</v>
      </c>
      <c r="I76" s="16"/>
      <c r="J76" s="16">
        <v>1.351142910663318E-3</v>
      </c>
      <c r="K76" s="16"/>
      <c r="L76" s="16">
        <v>1.351142910663318E-3</v>
      </c>
    </row>
    <row r="77" spans="1:12" x14ac:dyDescent="0.35">
      <c r="A77" s="9">
        <v>35</v>
      </c>
      <c r="B77" s="8" t="s">
        <v>121</v>
      </c>
      <c r="C77" s="10" t="s">
        <v>37</v>
      </c>
      <c r="D77" s="16">
        <v>7.1374286163616103E-5</v>
      </c>
      <c r="E77" s="18"/>
      <c r="F77" s="16">
        <v>7.1374286163616103E-5</v>
      </c>
      <c r="G77" s="16"/>
      <c r="H77" s="16">
        <v>7.1374286163616103E-5</v>
      </c>
      <c r="I77" s="16"/>
      <c r="J77" s="16">
        <v>7.1374286163616103E-5</v>
      </c>
      <c r="K77" s="16"/>
      <c r="L77" s="16">
        <v>7.1374286163616103E-5</v>
      </c>
    </row>
    <row r="78" spans="1:12" x14ac:dyDescent="0.35">
      <c r="A78" s="9">
        <v>36</v>
      </c>
      <c r="B78" s="8" t="s">
        <v>122</v>
      </c>
      <c r="C78" s="10" t="s">
        <v>37</v>
      </c>
      <c r="D78" s="16">
        <v>2.6309115351630199E-3</v>
      </c>
      <c r="E78" s="18"/>
      <c r="F78" s="16">
        <v>2.6309115351630199E-3</v>
      </c>
      <c r="G78" s="16"/>
      <c r="H78" s="16">
        <v>2.6309115351630199E-3</v>
      </c>
      <c r="I78" s="16"/>
      <c r="J78" s="16">
        <v>2.6309115351630199E-3</v>
      </c>
      <c r="K78" s="16"/>
      <c r="L78" s="16">
        <v>2.6309115351630199E-3</v>
      </c>
    </row>
    <row r="79" spans="1:12" x14ac:dyDescent="0.35">
      <c r="A79" s="9">
        <v>37</v>
      </c>
      <c r="B79" s="8" t="s">
        <v>123</v>
      </c>
      <c r="C79" s="10" t="s">
        <v>37</v>
      </c>
      <c r="D79" s="16">
        <v>4.4398393045606598E-3</v>
      </c>
      <c r="E79" s="18"/>
      <c r="F79" s="16">
        <v>4.4398393045606607E-3</v>
      </c>
      <c r="G79" s="16"/>
      <c r="H79" s="16">
        <v>4.4398393045606607E-3</v>
      </c>
      <c r="I79" s="16"/>
      <c r="J79" s="16">
        <v>4.4398393045606607E-3</v>
      </c>
      <c r="K79" s="16"/>
      <c r="L79" s="16">
        <v>4.4398393045606607E-3</v>
      </c>
    </row>
    <row r="80" spans="1:12" x14ac:dyDescent="0.35">
      <c r="A80" s="9">
        <v>38</v>
      </c>
      <c r="B80" s="8" t="s">
        <v>124</v>
      </c>
      <c r="C80" s="10" t="s">
        <v>37</v>
      </c>
      <c r="D80" s="16">
        <v>2.0830069186439801E-2</v>
      </c>
      <c r="E80" s="18"/>
      <c r="F80" s="16">
        <v>2.0830069186439801E-2</v>
      </c>
      <c r="G80" s="16"/>
      <c r="H80" s="16">
        <v>2.0830069186439801E-2</v>
      </c>
      <c r="I80" s="16"/>
      <c r="J80" s="16">
        <v>2.0830069186439801E-2</v>
      </c>
      <c r="K80" s="16"/>
      <c r="L80" s="16">
        <v>2.0830069186439801E-2</v>
      </c>
    </row>
    <row r="81" spans="1:13" x14ac:dyDescent="0.35">
      <c r="A81" s="9">
        <v>39</v>
      </c>
      <c r="B81" s="8" t="s">
        <v>125</v>
      </c>
      <c r="C81" s="10" t="s">
        <v>37</v>
      </c>
      <c r="D81" s="16">
        <v>5.3333941139341199E-3</v>
      </c>
      <c r="E81" s="18"/>
      <c r="F81" s="16">
        <v>5.3333941139341199E-3</v>
      </c>
      <c r="G81" s="16"/>
      <c r="H81" s="16">
        <v>5.3333941139341199E-3</v>
      </c>
      <c r="I81" s="16"/>
      <c r="J81" s="16">
        <v>5.3333941139341199E-3</v>
      </c>
      <c r="K81" s="16"/>
      <c r="L81" s="16">
        <v>5.3333941139341199E-3</v>
      </c>
    </row>
    <row r="82" spans="1:13" x14ac:dyDescent="0.35">
      <c r="A82" s="9">
        <v>40</v>
      </c>
      <c r="B82" s="8" t="s">
        <v>126</v>
      </c>
      <c r="C82" s="10" t="s">
        <v>37</v>
      </c>
      <c r="D82" s="16"/>
      <c r="E82" s="18"/>
      <c r="F82" s="16"/>
      <c r="G82" s="16"/>
      <c r="H82" s="16"/>
      <c r="I82" s="16"/>
      <c r="J82" s="16"/>
      <c r="K82" s="16"/>
      <c r="L82" s="16"/>
    </row>
    <row r="83" spans="1:13" x14ac:dyDescent="0.35">
      <c r="A83" s="9">
        <v>41</v>
      </c>
      <c r="B83" s="8" t="s">
        <v>127</v>
      </c>
      <c r="C83" s="10" t="s">
        <v>37</v>
      </c>
      <c r="D83" s="16">
        <v>8.3708186139003438E-2</v>
      </c>
      <c r="E83" s="18"/>
      <c r="F83" s="16">
        <v>8.3708186139003438E-2</v>
      </c>
      <c r="G83" s="16"/>
      <c r="H83" s="16">
        <v>8.3708186139003438E-2</v>
      </c>
      <c r="I83" s="16"/>
      <c r="J83" s="16">
        <v>8.3708186139003438E-2</v>
      </c>
      <c r="K83" s="16"/>
      <c r="L83" s="16">
        <v>8.3708186139003438E-2</v>
      </c>
    </row>
    <row r="84" spans="1:13" x14ac:dyDescent="0.35">
      <c r="A84" s="9">
        <v>42</v>
      </c>
      <c r="B84" s="8" t="s">
        <v>128</v>
      </c>
      <c r="C84" s="10" t="s">
        <v>37</v>
      </c>
      <c r="D84" s="16">
        <v>0.17975026803595939</v>
      </c>
      <c r="E84" s="18"/>
      <c r="F84" s="16">
        <v>0.17975026803595939</v>
      </c>
      <c r="G84" s="16"/>
      <c r="H84" s="16">
        <v>0.17975026803595939</v>
      </c>
      <c r="I84" s="16"/>
      <c r="J84" s="16">
        <v>0.17975026803595939</v>
      </c>
      <c r="K84" s="16"/>
      <c r="L84" s="16">
        <v>0.17975026803595939</v>
      </c>
    </row>
    <row r="85" spans="1:13" x14ac:dyDescent="0.35">
      <c r="A85" s="9">
        <v>43</v>
      </c>
      <c r="B85" s="8" t="s">
        <v>129</v>
      </c>
      <c r="C85" s="10" t="s">
        <v>37</v>
      </c>
      <c r="D85" s="16">
        <v>4.4398393045606607E-3</v>
      </c>
      <c r="E85" s="18"/>
      <c r="F85" s="16">
        <v>4.4398393045606607E-3</v>
      </c>
      <c r="G85" s="16"/>
      <c r="H85" s="16">
        <v>4.4398393045606607E-3</v>
      </c>
      <c r="I85" s="16"/>
      <c r="J85" s="16">
        <v>4.4398393045606607E-3</v>
      </c>
      <c r="K85" s="16"/>
      <c r="L85" s="16">
        <v>4.4398393045606607E-3</v>
      </c>
    </row>
    <row r="86" spans="1:13" x14ac:dyDescent="0.35">
      <c r="A86" s="9">
        <v>44</v>
      </c>
      <c r="B86" s="8" t="s">
        <v>130</v>
      </c>
      <c r="C86" s="10" t="s">
        <v>37</v>
      </c>
      <c r="D86" s="16">
        <v>4.4398393045606607E-3</v>
      </c>
      <c r="E86" s="18"/>
      <c r="F86" s="16">
        <v>4.4398393045606607E-3</v>
      </c>
      <c r="G86" s="16"/>
      <c r="H86" s="16">
        <v>4.4398393045606607E-3</v>
      </c>
      <c r="I86" s="16"/>
      <c r="J86" s="16">
        <v>4.4398393045606607E-3</v>
      </c>
      <c r="K86" s="16"/>
      <c r="L86" s="16">
        <v>4.4398393045606607E-3</v>
      </c>
    </row>
    <row r="87" spans="1:13" x14ac:dyDescent="0.35">
      <c r="A87" s="9">
        <v>45</v>
      </c>
      <c r="B87" s="8" t="s">
        <v>131</v>
      </c>
      <c r="C87" s="10" t="s">
        <v>35</v>
      </c>
      <c r="D87" s="14">
        <v>8.6400000000000013E-5</v>
      </c>
      <c r="E87" s="14"/>
      <c r="F87" s="14">
        <v>8.6400000000000013E-5</v>
      </c>
      <c r="G87" s="14"/>
      <c r="H87" s="14">
        <v>8.6400000000000013E-5</v>
      </c>
      <c r="I87" s="14"/>
      <c r="J87" s="14">
        <v>8.6400000000000013E-5</v>
      </c>
      <c r="K87" s="14"/>
      <c r="L87" s="14">
        <v>8.6400000000000013E-5</v>
      </c>
    </row>
    <row r="88" spans="1:13" x14ac:dyDescent="0.35">
      <c r="A88" s="9">
        <v>46</v>
      </c>
      <c r="B88" s="8" t="s">
        <v>132</v>
      </c>
      <c r="C88" s="10" t="s">
        <v>35</v>
      </c>
      <c r="D88" s="25">
        <v>0.36679016931856134</v>
      </c>
      <c r="E88" s="25"/>
      <c r="F88" s="25">
        <v>1.1429027321143996</v>
      </c>
      <c r="G88" s="25"/>
      <c r="H88" s="25">
        <v>1.2004429626948472</v>
      </c>
      <c r="I88" s="25"/>
      <c r="J88" s="25">
        <v>1.0202791514306</v>
      </c>
      <c r="K88" s="25"/>
      <c r="L88" s="25">
        <v>1.5433292733750461</v>
      </c>
    </row>
    <row r="89" spans="1:13" x14ac:dyDescent="0.35">
      <c r="A89" s="9">
        <v>47</v>
      </c>
      <c r="B89" s="8" t="s">
        <v>133</v>
      </c>
      <c r="C89" s="10" t="s">
        <v>35</v>
      </c>
      <c r="D89" s="25">
        <v>3.2160000000000002</v>
      </c>
      <c r="E89" s="25"/>
      <c r="F89" s="25">
        <v>3.2160000000000002</v>
      </c>
      <c r="G89" s="25"/>
      <c r="H89" s="25">
        <v>3.2160000000000002</v>
      </c>
      <c r="I89" s="25"/>
      <c r="J89" s="25">
        <v>3.2160000000000002</v>
      </c>
      <c r="K89" s="25"/>
      <c r="L89" s="25">
        <v>3.2160000000000002</v>
      </c>
    </row>
    <row r="90" spans="1:13" x14ac:dyDescent="0.35">
      <c r="A90" s="9">
        <v>48</v>
      </c>
      <c r="B90" s="8" t="s">
        <v>134</v>
      </c>
      <c r="C90" s="10" t="s">
        <v>35</v>
      </c>
      <c r="D90" s="25">
        <v>1.5549999999999999</v>
      </c>
      <c r="E90" s="25"/>
      <c r="F90" s="25">
        <v>1.5549999999999999</v>
      </c>
      <c r="G90" s="25"/>
      <c r="H90" s="25">
        <v>1.5549999999999999</v>
      </c>
      <c r="I90" s="25"/>
      <c r="J90" s="25">
        <v>1.5549999999999999</v>
      </c>
      <c r="K90" s="25"/>
      <c r="L90" s="25">
        <v>1.5549999999999999</v>
      </c>
    </row>
    <row r="92" spans="1:13" ht="30" x14ac:dyDescent="0.6">
      <c r="A92" s="19" t="s">
        <v>43</v>
      </c>
      <c r="B92" s="20"/>
      <c r="C92" s="20"/>
      <c r="D92" s="21"/>
      <c r="E92" s="21"/>
      <c r="F92" s="21"/>
      <c r="G92" s="21"/>
      <c r="H92" s="21"/>
      <c r="I92" s="21"/>
      <c r="J92" s="21"/>
      <c r="K92" s="21"/>
      <c r="L92" s="21"/>
      <c r="M92" s="21"/>
    </row>
    <row r="93" spans="1:13" x14ac:dyDescent="0.35">
      <c r="A93" s="22">
        <v>1</v>
      </c>
      <c r="B93" s="22" t="s">
        <v>135</v>
      </c>
      <c r="C93" s="23" t="s">
        <v>45</v>
      </c>
      <c r="D93" s="24">
        <v>3.2</v>
      </c>
      <c r="E93" s="24"/>
      <c r="F93" s="24">
        <v>3.1</v>
      </c>
      <c r="G93" s="24"/>
      <c r="H93" s="24">
        <v>2.8</v>
      </c>
      <c r="I93" s="24"/>
      <c r="J93" s="24">
        <v>2</v>
      </c>
      <c r="K93" s="24"/>
      <c r="L93" s="24">
        <v>2.9</v>
      </c>
      <c r="M93" s="24"/>
    </row>
    <row r="94" spans="1:13" x14ac:dyDescent="0.35">
      <c r="A94" s="22">
        <v>2</v>
      </c>
      <c r="B94" s="22" t="s">
        <v>136</v>
      </c>
      <c r="C94" s="23" t="s">
        <v>45</v>
      </c>
      <c r="D94" s="24">
        <v>4.6280975999999985</v>
      </c>
      <c r="E94" s="24"/>
      <c r="F94" s="24"/>
      <c r="G94" s="24"/>
      <c r="H94" s="24"/>
      <c r="I94" s="24"/>
      <c r="J94" s="24"/>
      <c r="K94" s="24"/>
      <c r="L94" s="24">
        <v>7.4989307999999992</v>
      </c>
      <c r="M94" s="24"/>
    </row>
    <row r="95" spans="1:13" x14ac:dyDescent="0.35">
      <c r="A95" s="22">
        <v>3</v>
      </c>
      <c r="B95" s="22" t="s">
        <v>137</v>
      </c>
      <c r="C95" s="23" t="s">
        <v>45</v>
      </c>
      <c r="D95" s="24">
        <v>4.2060815999999992</v>
      </c>
      <c r="E95" s="24"/>
      <c r="F95" s="24"/>
      <c r="G95" s="24"/>
      <c r="H95" s="24"/>
      <c r="I95" s="24"/>
      <c r="J95" s="24"/>
      <c r="K95" s="24"/>
      <c r="L95" s="24">
        <v>6.1609768000000003</v>
      </c>
      <c r="M95" s="24"/>
    </row>
    <row r="96" spans="1:13" x14ac:dyDescent="0.35">
      <c r="A96" s="22">
        <v>4</v>
      </c>
      <c r="B96" s="22" t="s">
        <v>44</v>
      </c>
      <c r="C96" s="23" t="s">
        <v>45</v>
      </c>
      <c r="D96" s="24">
        <v>2.8984638380534515</v>
      </c>
      <c r="E96" s="24">
        <v>0.24776556885313203</v>
      </c>
      <c r="F96" s="24">
        <v>2.5117191102537251</v>
      </c>
      <c r="G96" s="24">
        <v>0.56708380021613047</v>
      </c>
      <c r="H96" s="24">
        <v>1.6797156856257465</v>
      </c>
      <c r="I96" s="24">
        <v>0.25022394812552823</v>
      </c>
      <c r="J96" s="24">
        <v>2.5033010992558471</v>
      </c>
      <c r="K96" s="24">
        <v>0.17250249886575417</v>
      </c>
      <c r="L96" s="24">
        <v>3.801035436920897</v>
      </c>
      <c r="M96" s="24">
        <v>0.19569166838507523</v>
      </c>
    </row>
    <row r="97" spans="1:13" x14ac:dyDescent="0.35">
      <c r="A97" s="22">
        <v>5</v>
      </c>
      <c r="B97" s="22" t="s">
        <v>138</v>
      </c>
      <c r="C97" s="23" t="s">
        <v>45</v>
      </c>
      <c r="D97" s="24">
        <v>4.8895584831622392</v>
      </c>
      <c r="E97" s="24">
        <v>0.31520625773720573</v>
      </c>
      <c r="F97" s="24">
        <v>2.8645595852562296</v>
      </c>
      <c r="G97" s="24">
        <v>8.7942150008758005E-2</v>
      </c>
      <c r="H97" s="24">
        <v>3.7126300663200484</v>
      </c>
      <c r="I97" s="24">
        <v>1.4991552455813348</v>
      </c>
      <c r="J97" s="24">
        <v>3.7274590768826772</v>
      </c>
      <c r="K97" s="24">
        <v>0.3815364148273982</v>
      </c>
      <c r="L97" s="24">
        <v>4.5526551536492743</v>
      </c>
      <c r="M97" s="24">
        <v>9.0836214803064988E-2</v>
      </c>
    </row>
    <row r="98" spans="1:13" x14ac:dyDescent="0.35">
      <c r="A98" s="22">
        <v>6</v>
      </c>
      <c r="B98" s="22" t="s">
        <v>139</v>
      </c>
      <c r="C98" s="23" t="s">
        <v>45</v>
      </c>
      <c r="D98" s="24">
        <v>3.37</v>
      </c>
      <c r="E98" s="24"/>
      <c r="F98" s="24">
        <v>3.37</v>
      </c>
      <c r="G98" s="24"/>
      <c r="H98" s="24">
        <v>3.37</v>
      </c>
      <c r="I98" s="24"/>
      <c r="J98" s="24">
        <v>3.45</v>
      </c>
      <c r="K98" s="24"/>
      <c r="L98" s="24">
        <v>3.27</v>
      </c>
      <c r="M98" s="24"/>
    </row>
    <row r="99" spans="1:13" x14ac:dyDescent="0.35">
      <c r="A99" s="22">
        <v>7</v>
      </c>
      <c r="B99" s="22" t="s">
        <v>140</v>
      </c>
      <c r="C99" s="23" t="s">
        <v>45</v>
      </c>
      <c r="D99" s="24">
        <v>3.31</v>
      </c>
      <c r="E99" s="24"/>
      <c r="F99" s="24">
        <v>3.31</v>
      </c>
      <c r="G99" s="24"/>
      <c r="H99" s="24">
        <v>3.31</v>
      </c>
      <c r="I99" s="24"/>
      <c r="J99" s="24">
        <v>3.33</v>
      </c>
      <c r="K99" s="24"/>
      <c r="L99" s="24">
        <v>3.39</v>
      </c>
      <c r="M99" s="24"/>
    </row>
    <row r="100" spans="1:13" x14ac:dyDescent="0.35">
      <c r="A100" s="22">
        <v>8</v>
      </c>
      <c r="B100" s="22" t="s">
        <v>141</v>
      </c>
      <c r="C100" s="23" t="s">
        <v>45</v>
      </c>
      <c r="D100" s="24">
        <v>1.437656050523809</v>
      </c>
      <c r="E100" s="24"/>
      <c r="F100" s="24">
        <v>1.2024978917820215</v>
      </c>
      <c r="G100" s="24"/>
      <c r="H100" s="24">
        <v>1.1115223525473936</v>
      </c>
      <c r="I100" s="24"/>
      <c r="J100" s="24">
        <v>2.1253535474168546</v>
      </c>
      <c r="K100" s="24"/>
      <c r="L100" s="24">
        <v>2.6563576141604202</v>
      </c>
      <c r="M100" s="21"/>
    </row>
    <row r="101" spans="1:13" x14ac:dyDescent="0.35">
      <c r="A101" s="22">
        <v>9</v>
      </c>
      <c r="B101" s="22" t="s">
        <v>142</v>
      </c>
      <c r="C101" s="23" t="s">
        <v>45</v>
      </c>
      <c r="D101" s="24">
        <v>1.7985296211578348</v>
      </c>
      <c r="E101" s="24"/>
      <c r="F101" s="24">
        <v>1.5718030805220895</v>
      </c>
      <c r="G101" s="24"/>
      <c r="H101" s="24">
        <v>2.4526659704404454</v>
      </c>
      <c r="I101" s="24"/>
      <c r="J101" s="24">
        <v>1.7776604686136703</v>
      </c>
      <c r="K101" s="24"/>
      <c r="L101" s="24">
        <v>1.6289609681590542</v>
      </c>
      <c r="M101" s="21"/>
    </row>
    <row r="102" spans="1:13" x14ac:dyDescent="0.35">
      <c r="A102" s="22">
        <v>10</v>
      </c>
      <c r="B102" s="22" t="s">
        <v>143</v>
      </c>
      <c r="C102" s="23" t="s">
        <v>45</v>
      </c>
      <c r="D102" s="24">
        <v>2.4225186379123786</v>
      </c>
      <c r="E102" s="24">
        <v>0.24354168280715935</v>
      </c>
      <c r="F102" s="21"/>
      <c r="G102" s="21"/>
      <c r="H102" s="21"/>
      <c r="I102" s="21"/>
      <c r="J102" s="21"/>
      <c r="K102" s="21"/>
      <c r="L102" s="24">
        <v>5.1191532802262856</v>
      </c>
      <c r="M102" s="24">
        <v>0.13328111755853836</v>
      </c>
    </row>
    <row r="103" spans="1:13" x14ac:dyDescent="0.35">
      <c r="A103" s="22">
        <v>11</v>
      </c>
      <c r="B103" s="22" t="s">
        <v>144</v>
      </c>
      <c r="C103" s="23" t="s">
        <v>45</v>
      </c>
      <c r="D103" s="24">
        <v>3.123522288511039</v>
      </c>
      <c r="E103" s="24">
        <v>0.21894837410934914</v>
      </c>
      <c r="F103" s="21"/>
      <c r="G103" s="21"/>
      <c r="H103" s="21"/>
      <c r="I103" s="21"/>
      <c r="J103" s="21"/>
      <c r="K103" s="21"/>
      <c r="L103" s="24">
        <v>4.6685771230963793</v>
      </c>
      <c r="M103" s="24">
        <v>0.21866823136803154</v>
      </c>
    </row>
    <row r="104" spans="1:13" x14ac:dyDescent="0.35">
      <c r="A104" s="22">
        <v>12</v>
      </c>
      <c r="B104" s="22" t="s">
        <v>145</v>
      </c>
      <c r="C104" s="23" t="s">
        <v>45</v>
      </c>
      <c r="D104" s="24">
        <v>5.6973006578341794</v>
      </c>
      <c r="E104" s="24">
        <v>0.11572101139742995</v>
      </c>
      <c r="F104" s="21"/>
      <c r="G104" s="21"/>
      <c r="H104" s="21"/>
      <c r="I104" s="21"/>
      <c r="J104" s="21"/>
      <c r="K104" s="21"/>
      <c r="L104" s="24">
        <v>7.581330396587922</v>
      </c>
      <c r="M104" s="24">
        <v>0.11215830879206709</v>
      </c>
    </row>
    <row r="105" spans="1:13" x14ac:dyDescent="0.35">
      <c r="A105" s="22">
        <v>13</v>
      </c>
      <c r="B105" s="22" t="s">
        <v>146</v>
      </c>
      <c r="C105" s="23" t="s">
        <v>45</v>
      </c>
      <c r="D105" s="24">
        <v>4.733392065353784</v>
      </c>
      <c r="E105" s="24">
        <v>0.30523219270159196</v>
      </c>
      <c r="F105" s="21"/>
      <c r="G105" s="21"/>
      <c r="H105" s="21"/>
      <c r="I105" s="21"/>
      <c r="J105" s="21"/>
      <c r="K105" s="21"/>
      <c r="L105" s="24">
        <v>5.8800598501748214</v>
      </c>
      <c r="M105" s="24">
        <v>7.2483084369126788E-2</v>
      </c>
    </row>
    <row r="106" spans="1:13" x14ac:dyDescent="0.35">
      <c r="A106" s="22">
        <v>14</v>
      </c>
      <c r="B106" s="22" t="s">
        <v>147</v>
      </c>
      <c r="C106" s="23" t="s">
        <v>45</v>
      </c>
      <c r="D106" s="24">
        <v>3.2176301521963628</v>
      </c>
      <c r="E106" s="24">
        <v>0.59083242620705712</v>
      </c>
      <c r="F106" s="21"/>
      <c r="G106" s="21"/>
      <c r="H106" s="21"/>
      <c r="I106" s="21"/>
      <c r="J106" s="21"/>
      <c r="K106" s="21"/>
      <c r="L106" s="24">
        <v>3.9796128853301442</v>
      </c>
      <c r="M106" s="24">
        <v>0.94348954785331907</v>
      </c>
    </row>
    <row r="107" spans="1:13" x14ac:dyDescent="0.35">
      <c r="A107" s="22">
        <v>15</v>
      </c>
      <c r="B107" s="22" t="s">
        <v>148</v>
      </c>
      <c r="C107" s="23" t="s">
        <v>45</v>
      </c>
      <c r="D107" s="24" t="s">
        <v>71</v>
      </c>
      <c r="E107" s="24" t="s">
        <v>71</v>
      </c>
      <c r="F107" s="21"/>
      <c r="G107" s="21"/>
      <c r="H107" s="21"/>
      <c r="I107" s="21"/>
      <c r="J107" s="21"/>
      <c r="K107" s="21"/>
      <c r="L107" s="24">
        <v>6.2899742142696526</v>
      </c>
      <c r="M107" s="24">
        <v>8.9567230677471923E-2</v>
      </c>
    </row>
    <row r="108" spans="1:13" x14ac:dyDescent="0.35">
      <c r="A108" s="22">
        <v>16</v>
      </c>
      <c r="B108" s="22" t="s">
        <v>149</v>
      </c>
      <c r="C108" s="23" t="s">
        <v>45</v>
      </c>
      <c r="D108" s="24">
        <v>1.4794195387316684</v>
      </c>
      <c r="E108" s="24">
        <v>0.38</v>
      </c>
      <c r="F108" s="21"/>
      <c r="G108" s="21"/>
      <c r="H108" s="21"/>
      <c r="I108" s="21"/>
      <c r="J108" s="21"/>
      <c r="K108" s="21"/>
      <c r="L108" s="24">
        <v>5.1566705663495194</v>
      </c>
      <c r="M108" s="24">
        <v>0.12374379002656545</v>
      </c>
    </row>
  </sheetData>
  <pageMargins left="0.7" right="0.7" top="0.75" bottom="0.75" header="0.3" footer="0.3"/>
  <pageSetup orientation="portrait"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8F4F16-FA04-4CB1-8D30-2293B776B4A2}">
  <dimension ref="A1"/>
  <sheetViews>
    <sheetView workbookViewId="0">
      <selection activeCell="A2" sqref="A2"/>
    </sheetView>
  </sheetViews>
  <sheetFormatPr defaultRowHeight="14.5" x14ac:dyDescent="0.35"/>
  <sheetData>
    <row r="1" spans="1:1" x14ac:dyDescent="0.35">
      <c r="A1" t="s">
        <v>165</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8C8E71F4C809694A8FE86E6AAA0E1148" ma:contentTypeVersion="13" ma:contentTypeDescription="Create a new document." ma:contentTypeScope="" ma:versionID="94beb93621939fc6e4326df9aee8e0fc">
  <xsd:schema xmlns:xsd="http://www.w3.org/2001/XMLSchema" xmlns:xs="http://www.w3.org/2001/XMLSchema" xmlns:p="http://schemas.microsoft.com/office/2006/metadata/properties" xmlns:ns3="c0ea4c96-c916-4356-b97d-707632d919c2" xmlns:ns4="631de70e-6607-43af-ba40-c3d3dc8be270" targetNamespace="http://schemas.microsoft.com/office/2006/metadata/properties" ma:root="true" ma:fieldsID="327279aef5722a45a27ab0e20fb5a350" ns3:_="" ns4:_="">
    <xsd:import namespace="c0ea4c96-c916-4356-b97d-707632d919c2"/>
    <xsd:import namespace="631de70e-6607-43af-ba40-c3d3dc8be270"/>
    <xsd:element name="properties">
      <xsd:complexType>
        <xsd:sequence>
          <xsd:element name="documentManagement">
            <xsd:complexType>
              <xsd:all>
                <xsd:element ref="ns3:MediaServiceMetadata" minOccurs="0"/>
                <xsd:element ref="ns3:MediaServiceFastMetadata" minOccurs="0"/>
                <xsd:element ref="ns3:MediaServiceAutoTags" minOccurs="0"/>
                <xsd:element ref="ns3:MediaServiceOCR" minOccurs="0"/>
                <xsd:element ref="ns3:MediaServiceDateTaken" minOccurs="0"/>
                <xsd:element ref="ns3:MediaServiceLocation" minOccurs="0"/>
                <xsd:element ref="ns3:MediaServiceEventHashCode" minOccurs="0"/>
                <xsd:element ref="ns3:MediaServiceGenerationTime" minOccurs="0"/>
                <xsd:element ref="ns3:MediaServiceAutoKeyPoints" minOccurs="0"/>
                <xsd:element ref="ns3:MediaServiceKeyPoints" minOccurs="0"/>
                <xsd:element ref="ns4:SharedWithUsers" minOccurs="0"/>
                <xsd:element ref="ns4:SharedWithDetails" minOccurs="0"/>
                <xsd:element ref="ns4:SharingHintHash"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c0ea4c96-c916-4356-b97d-707632d919c2"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0" nillable="true" ma:displayName="MediaServiceAutoTags" ma:internalName="MediaServiceAutoTags" ma:readOnly="true">
      <xsd:simpleType>
        <xsd:restriction base="dms:Text"/>
      </xsd:simpleType>
    </xsd:element>
    <xsd:element name="MediaServiceOCR" ma:index="11" nillable="true" ma:displayName="MediaServiceOCR" ma:internalName="MediaServiceOCR" ma:readOnly="true">
      <xsd:simpleType>
        <xsd:restriction base="dms:Note">
          <xsd:maxLength value="255"/>
        </xsd:restriction>
      </xsd:simpleType>
    </xsd:element>
    <xsd:element name="MediaServiceDateTaken" ma:index="12" nillable="true" ma:displayName="MediaServiceDateTaken" ma:hidden="true" ma:internalName="MediaServiceDateTaken" ma:readOnly="true">
      <xsd:simpleType>
        <xsd:restriction base="dms:Text"/>
      </xsd:simpleType>
    </xsd:element>
    <xsd:element name="MediaServiceLocation" ma:index="13" nillable="true" ma:displayName="MediaServiceLocation" ma:internalName="MediaServiceLocation"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AutoKeyPoints" ma:index="16" nillable="true" ma:displayName="MediaServiceAutoKeyPoints" ma:hidden="true" ma:internalName="MediaServiceAutoKeyPoints" ma:readOnly="true">
      <xsd:simpleType>
        <xsd:restriction base="dms:Note"/>
      </xsd:simpleType>
    </xsd:element>
    <xsd:element name="MediaServiceKeyPoints" ma:index="17" nillable="true" ma:displayName="KeyPoints" ma:internalName="MediaServiceKeyPoint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631de70e-6607-43af-ba40-c3d3dc8be270" elementFormDefault="qualified">
    <xsd:import namespace="http://schemas.microsoft.com/office/2006/documentManagement/types"/>
    <xsd:import namespace="http://schemas.microsoft.com/office/infopath/2007/PartnerControls"/>
    <xsd:element name="SharedWithUsers" ma:index="1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9" nillable="true" ma:displayName="Shared With Details" ma:internalName="SharedWithDetails" ma:readOnly="true">
      <xsd:simpleType>
        <xsd:restriction base="dms:Note">
          <xsd:maxLength value="255"/>
        </xsd:restriction>
      </xsd:simpleType>
    </xsd:element>
    <xsd:element name="SharingHintHash" ma:index="20" nillable="true" ma:displayName="Sharing Hint Hash" ma:hidden="true" ma:internalName="SharingHintHash"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B30D2A3D-20DE-4904-807F-7C349A6C3187}">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c0ea4c96-c916-4356-b97d-707632d919c2"/>
    <ds:schemaRef ds:uri="631de70e-6607-43af-ba40-c3d3dc8be270"/>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882B8D2C-BD89-4C4B-93DE-80ACE2197E01}">
  <ds:schemaRefs>
    <ds:schemaRef ds:uri="http://schemas.microsoft.com/sharepoint/v3/contenttype/forms"/>
  </ds:schemaRefs>
</ds:datastoreItem>
</file>

<file path=customXml/itemProps3.xml><?xml version="1.0" encoding="utf-8"?>
<ds:datastoreItem xmlns:ds="http://schemas.openxmlformats.org/officeDocument/2006/customXml" ds:itemID="{DACDBFD4-BEDF-4252-A1EF-52C313A796DE}">
  <ds:schemaRefs>
    <ds:schemaRef ds:uri="http://schemas.microsoft.com/office/2006/metadata/properties"/>
    <ds:schemaRef ds:uri="http://schemas.microsoft.com/office/infopath/2007/PartnerControl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11</vt:i4>
      </vt:variant>
    </vt:vector>
  </HeadingPairs>
  <TitlesOfParts>
    <vt:vector size="11" baseType="lpstr">
      <vt:lpstr>InputsNZ</vt:lpstr>
      <vt:lpstr>InputsNZ (2)</vt:lpstr>
      <vt:lpstr>Sheet1</vt:lpstr>
      <vt:lpstr>InputsNZ_C</vt:lpstr>
      <vt:lpstr>Sheet3</vt:lpstr>
      <vt:lpstr>InputsNZ_C_paper</vt:lpstr>
      <vt:lpstr>InputsNZ Old</vt:lpstr>
      <vt:lpstr>NZ_Extra</vt:lpstr>
      <vt:lpstr>Biom_comp</vt:lpstr>
      <vt:lpstr>InputsGoM</vt:lpstr>
      <vt:lpstr>InputCRD</vt:lpstr>
    </vt:vector>
  </TitlesOfParts>
  <Manager/>
  <Company>Florida State University</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Mike Stukel</dc:creator>
  <cp:keywords/>
  <dc:description/>
  <cp:lastModifiedBy>Christian Fender</cp:lastModifiedBy>
  <cp:revision/>
  <dcterms:created xsi:type="dcterms:W3CDTF">2019-10-24T15:53:48Z</dcterms:created>
  <dcterms:modified xsi:type="dcterms:W3CDTF">2024-11-19T21:02:55Z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0x0101008C8E71F4C809694A8FE86E6AAA0E1148</vt:lpwstr>
  </property>
</Properties>
</file>