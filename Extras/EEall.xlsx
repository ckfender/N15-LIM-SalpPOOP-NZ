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5B8CA17F-81AA-4D4A-9320-0C6064831F81}" xr6:coauthVersionLast="47" xr6:coauthVersionMax="47" xr10:uidLastSave="{00000000-0000-0000-0000-000000000000}"/>
  <bookViews>
    <workbookView xWindow="-110" yWindow="-110" windowWidth="19420" windowHeight="10420"/>
  </bookViews>
  <sheets>
    <sheet name="Mean" sheetId="2" r:id="rId1"/>
    <sheet name="LCI" sheetId="3" r:id="rId2"/>
    <sheet name="UCI" sheetId="4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<sst xmlns="http://schemas.openxmlformats.org/spreadsheetml/2006/main" xmlns:r="http://schemas.openxmlformats.org/officeDocument/2006/relationships" xmlns:xdr="http://schemas.openxmlformats.org/drawingml/2006/spreadsheetDrawing" count="36" uniqueCount="4">
  <si>
    <t>Myct</t>
  </si>
  <si>
    <t>Pisciv</t>
  </si>
  <si>
    <t>Gelativ</t>
  </si>
  <si>
    <t>Terminal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</si>
</sst>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1"/>
  <sheetViews>
    <sheetView tabSelected="true" workbookViewId="0">
      <selection activeCell="C12" sqref="C12"/>
    </sheetView>
  </sheetViews>
  <sheetFormatPr xmlns:x14ac="http://schemas.microsoft.com/office/spreadsheetml/2009/9/ac" defaultRowHeight="14.5" x14ac:dyDescent="0.35"/>
  <cols>
    <col min="1" max="1" width="14.453125" customWidth="true"/>
    <col min="2" max="2" width="15.453125" customWidth="true"/>
    <col min="3" max="3" width="14.453125" customWidth="true"/>
    <col min="4" max="4" width="14.453125" customWidth="true"/>
  </cols>
  <sheetData>
    <row xmlns:x14ac="http://schemas.microsoft.com/office/spreadsheetml/2009/9/ac" r="1" x14ac:dyDescent="0.3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35">
      <c r="A2" s="0">
        <v>0.0043016603370708961</v>
      </c>
      <c r="B2" s="0">
        <v>0.00026397182477755154</v>
      </c>
      <c r="C2" s="0">
        <v>0.0015879722314562886</v>
      </c>
      <c r="D2" s="0">
        <v>0.012358132994190658</v>
      </c>
    </row>
    <row xmlns:x14ac="http://schemas.microsoft.com/office/spreadsheetml/2009/9/ac" r="3" x14ac:dyDescent="0.35">
      <c r="A3" s="0">
        <v>0.0061743303570007887</v>
      </c>
      <c r="B3" s="0">
        <v>0.00039719228092162639</v>
      </c>
      <c r="C3" s="0">
        <v>0.0014077783435008711</v>
      </c>
      <c r="D3" s="0">
        <v>0.014714270541004158</v>
      </c>
    </row>
    <row xmlns:x14ac="http://schemas.microsoft.com/office/spreadsheetml/2009/9/ac" r="4" x14ac:dyDescent="0.35">
      <c r="A4" s="0">
        <v>0.0035986464327139537</v>
      </c>
      <c r="B4" s="0">
        <v>0.0002329334371021102</v>
      </c>
      <c r="C4" s="0">
        <v>1.6361036797732994e-05</v>
      </c>
      <c r="D4" s="0">
        <v>0.0051769167347926765</v>
      </c>
    </row>
    <row xmlns:x14ac="http://schemas.microsoft.com/office/spreadsheetml/2009/9/ac" r="5" x14ac:dyDescent="0.35">
      <c r="A5" s="0">
        <v>0.0041140340792810695</v>
      </c>
      <c r="B5" s="0">
        <v>0.00025700566912438539</v>
      </c>
      <c r="C5" s="0">
        <v>0.0014443847237896735</v>
      </c>
      <c r="D5" s="0">
        <v>0.011202540653350572</v>
      </c>
    </row>
    <row xmlns:x14ac="http://schemas.microsoft.com/office/spreadsheetml/2009/9/ac" r="6" x14ac:dyDescent="0.35">
      <c r="A6" s="0">
        <v>0.0043101304627317285</v>
      </c>
      <c r="B6" s="0">
        <v>0.0002202523774716911</v>
      </c>
      <c r="C6" s="0">
        <v>2.1249340692023037e-05</v>
      </c>
      <c r="D6" s="0">
        <v>0.0059391414177836352</v>
      </c>
    </row>
    <row xmlns:x14ac="http://schemas.microsoft.com/office/spreadsheetml/2009/9/ac" r="8" x14ac:dyDescent="0.35">
      <c r="A8">
        <f>AVERAGE(A2:A3,A5)</f>
        <v>4.8505376373357599E-3</v>
      </c>
      <c r="B8">
        <f t="shared" ref="B8:D8" si="0">AVERAGE(B2:B3,B5)</f>
        <v>3.0170875994650658E-4</v>
      </c>
      <c r="C8">
        <f t="shared" si="0"/>
        <v>1.477266500295258E-3</v>
      </c>
      <c r="D8">
        <f t="shared" si="0"/>
        <v>1.2749348669400648E-2</v>
      </c>
    </row>
    <row xmlns:x14ac="http://schemas.microsoft.com/office/spreadsheetml/2009/9/ac" r="9" x14ac:dyDescent="0.35">
      <c r="A9">
        <f>AVERAGE(A4,A6)</f>
        <v>4.0152628808007938E-3</v>
      </c>
      <c r="B9">
        <f t="shared" ref="B9:D9" si="1">AVERAGE(B4,B6)</f>
        <v>2.290112556251577E-4</v>
      </c>
      <c r="C9" s="1">
        <f t="shared" si="1"/>
        <v>1.8914834271156788E-5</v>
      </c>
      <c r="D9">
        <f t="shared" si="1"/>
        <v>5.6317653085047083E-3</v>
      </c>
    </row>
    <row xmlns:x14ac="http://schemas.microsoft.com/office/spreadsheetml/2009/9/ac" r="11" x14ac:dyDescent="0.35">
      <c r="A11">
        <f>(A8-A9)/A9*100</f>
        <v>20.802492422821921</v>
      </c>
      <c r="B11">
        <f t="shared" ref="B11:D11" si="2">(B8-B9)/B9*100</f>
        <v>31.744074815405188</v>
      </c>
      <c r="C11">
        <f t="shared" si="2"/>
        <v>7710.0948658479138</v>
      </c>
      <c r="D11">
        <f t="shared" si="2"/>
        <v>126.38281197811014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6"/>
  <sheetViews>
    <sheetView workbookViewId="0"/>
  </sheetViews>
  <sheetFormatPr xmlns:x14ac="http://schemas.microsoft.com/office/spreadsheetml/2009/9/ac" defaultRowHeight="14.5" x14ac:dyDescent="0.35"/>
  <cols>
    <col min="1" max="1" width="14.453125" customWidth="true"/>
    <col min="2" max="2" width="15.453125" customWidth="true"/>
    <col min="3" max="3" width="15.453125" customWidth="true"/>
    <col min="4" max="4" width="14.453125" customWidth="true"/>
  </cols>
  <sheetData>
    <row xmlns:x14ac="http://schemas.microsoft.com/office/spreadsheetml/2009/9/ac" r="1" x14ac:dyDescent="0.3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35">
      <c r="A2" s="0">
        <v>0.0015276404624319133</v>
      </c>
      <c r="B2" s="0">
        <v>7.3192786431261258e-05</v>
      </c>
      <c r="C2" s="0">
        <v>0.00042249435413309452</v>
      </c>
      <c r="D2" s="0">
        <v>0.0055919173814018815</v>
      </c>
    </row>
    <row xmlns:x14ac="http://schemas.microsoft.com/office/spreadsheetml/2009/9/ac" r="3" x14ac:dyDescent="0.35">
      <c r="A3" s="0">
        <v>0.0022665635289703129</v>
      </c>
      <c r="B3" s="0">
        <v>0.00010950077019089216</v>
      </c>
      <c r="C3" s="0">
        <v>0.00039832034690384627</v>
      </c>
      <c r="D3" s="0">
        <v>0.0080559965323561602</v>
      </c>
    </row>
    <row xmlns:x14ac="http://schemas.microsoft.com/office/spreadsheetml/2009/9/ac" r="4" x14ac:dyDescent="0.35">
      <c r="A4" s="0">
        <v>0.0013576708525862766</v>
      </c>
      <c r="B4" s="0">
        <v>6.45593462933193e-05</v>
      </c>
      <c r="C4" s="0">
        <v>5.2392897814415558e-06</v>
      </c>
      <c r="D4" s="0">
        <v>0.00239954462714344</v>
      </c>
    </row>
    <row xmlns:x14ac="http://schemas.microsoft.com/office/spreadsheetml/2009/9/ac" r="5" x14ac:dyDescent="0.35">
      <c r="A5" s="0">
        <v>0.0015457439304643866</v>
      </c>
      <c r="B5" s="0">
        <v>7.0498903173863404e-05</v>
      </c>
      <c r="C5" s="0">
        <v>0.00039339324063112198</v>
      </c>
      <c r="D5" s="0">
        <v>0.0051516291752052024</v>
      </c>
    </row>
    <row xmlns:x14ac="http://schemas.microsoft.com/office/spreadsheetml/2009/9/ac" r="6" x14ac:dyDescent="0.35">
      <c r="A6" s="0">
        <v>0.0014923282347826187</v>
      </c>
      <c r="B6" s="0">
        <v>6.0165808896726054e-05</v>
      </c>
      <c r="C6" s="0">
        <v>6.1428670980328682e-06</v>
      </c>
      <c r="D6" s="0">
        <v>0.0024718970134307485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6"/>
  <sheetViews>
    <sheetView workbookViewId="0"/>
  </sheetViews>
  <sheetFormatPr xmlns:x14ac="http://schemas.microsoft.com/office/spreadsheetml/2009/9/ac" defaultRowHeight="14.5" x14ac:dyDescent="0.35"/>
  <cols>
    <col min="1" max="1" width="14.453125" customWidth="true"/>
    <col min="2" max="2" width="15.453125" customWidth="true"/>
    <col min="3" max="3" width="15.08984375" customWidth="true"/>
    <col min="4" max="4" width="14.453125" customWidth="true"/>
  </cols>
  <sheetData>
    <row xmlns:x14ac="http://schemas.microsoft.com/office/spreadsheetml/2009/9/ac" r="1" x14ac:dyDescent="0.3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35">
      <c r="A2" s="0">
        <v>0.0093027763665652803</v>
      </c>
      <c r="B2" s="0">
        <v>0.00060191548965621365</v>
      </c>
      <c r="C2" s="0">
        <v>0.0036646384225175938</v>
      </c>
      <c r="D2" s="0">
        <v>0.020635694990881494</v>
      </c>
    </row>
    <row xmlns:x14ac="http://schemas.microsoft.com/office/spreadsheetml/2009/9/ac" r="3" x14ac:dyDescent="0.35">
      <c r="A3" s="0">
        <v>0.012720786909886936</v>
      </c>
      <c r="B3" s="0">
        <v>0.00089631524037740761</v>
      </c>
      <c r="C3" s="0">
        <v>0.0031285879839197837</v>
      </c>
      <c r="D3" s="0">
        <v>0.023032824779788089</v>
      </c>
    </row>
    <row xmlns:x14ac="http://schemas.microsoft.com/office/spreadsheetml/2009/9/ac" r="4" x14ac:dyDescent="0.35">
      <c r="A4" s="0">
        <v>0.0079535125948686208</v>
      </c>
      <c r="B4" s="0">
        <v>0.00052609616760373437</v>
      </c>
      <c r="C4" s="0">
        <v>3.3631776616588282e-05</v>
      </c>
      <c r="D4" s="0">
        <v>0.0097478137692239408</v>
      </c>
    </row>
    <row xmlns:x14ac="http://schemas.microsoft.com/office/spreadsheetml/2009/9/ac" r="5" x14ac:dyDescent="0.35">
      <c r="A5" s="0">
        <v>0.0087954045267750504</v>
      </c>
      <c r="B5" s="0">
        <v>0.00057829969169056604</v>
      </c>
      <c r="C5" s="0">
        <v>0.0032709945039218888</v>
      </c>
      <c r="D5" s="0">
        <v>0.0184191198851789</v>
      </c>
    </row>
    <row xmlns:x14ac="http://schemas.microsoft.com/office/spreadsheetml/2009/9/ac" r="6" x14ac:dyDescent="0.35">
      <c r="A6" s="0">
        <v>0.0094394575050309685</v>
      </c>
      <c r="B6" s="0">
        <v>0.00050140580288820342</v>
      </c>
      <c r="C6" s="0">
        <v>4.6981962857306604e-05</v>
      </c>
      <c r="D6" s="0">
        <v>0.011351505933730442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</vt:lpstr>
      <vt:lpstr>LCI</vt:lpstr>
      <vt:lpstr>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Fender</cp:lastModifiedBy>
  <dcterms:modified xsi:type="dcterms:W3CDTF">2025-01-13T18:06:48Z</dcterms:modified>
</cp:coreProperties>
</file>