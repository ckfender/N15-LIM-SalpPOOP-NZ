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SalpLIM\N15-LIM-SalpPOOP-main\"/>
    </mc:Choice>
  </mc:AlternateContent>
  <xr:revisionPtr revIDLastSave="0" documentId="13_ncr:1_{80850D1E-4D78-4EDF-B26A-39B6CD5B2F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an" sheetId="2" r:id="rId1"/>
    <sheet name="Std" sheetId="3" r:id="rId2"/>
    <sheet name="LCI" sheetId="4" r:id="rId3"/>
    <sheet name="UCI" sheetId="5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  <c r="H12" i="2"/>
  <c r="J11" i="2"/>
  <c r="H11" i="2"/>
  <c r="J10" i="2"/>
  <c r="H10" i="2"/>
  <c r="J9" i="2"/>
  <c r="H9" i="2"/>
  <c r="J8" i="2"/>
  <c r="H8" i="2"/>
  <c r="J12" i="5"/>
  <c r="H12" i="5"/>
  <c r="J11" i="5"/>
  <c r="H11" i="5"/>
  <c r="J10" i="5"/>
  <c r="H10" i="5"/>
  <c r="J9" i="5"/>
  <c r="H9" i="5"/>
  <c r="J8" i="5"/>
  <c r="H8" i="5"/>
  <c r="J12" i="4"/>
  <c r="H12" i="4"/>
  <c r="J11" i="4"/>
  <c r="H11" i="4"/>
  <c r="J10" i="4"/>
  <c r="H10" i="4"/>
  <c r="J9" i="4"/>
  <c r="H9" i="4"/>
  <c r="J8" i="4"/>
  <c r="H8" i="4"/>
  <c r="J12" i="3"/>
  <c r="H12" i="3"/>
  <c r="J11" i="3"/>
  <c r="H11" i="3"/>
  <c r="J10" i="3"/>
  <c r="H10" i="3"/>
  <c r="J9" i="3"/>
  <c r="H9" i="3"/>
  <c r="J8" i="3"/>
  <c r="H8" i="3"/>
</calcChain>
</file>

<file path=xl/sharedStrings.xml><?xml version="1.0" encoding="utf-8"?>
<sst xmlns="http://schemas.openxmlformats.org/spreadsheetml/2006/main" count="96" uniqueCount="24">
  <si>
    <t>NO3</t>
  </si>
  <si>
    <t>NH4</t>
  </si>
  <si>
    <t>Pico</t>
  </si>
  <si>
    <t>Dtm</t>
  </si>
  <si>
    <t>Flag</t>
  </si>
  <si>
    <t>HNF</t>
  </si>
  <si>
    <t>Mic</t>
  </si>
  <si>
    <t>nvmMeso</t>
  </si>
  <si>
    <t>VMMeso</t>
  </si>
  <si>
    <t>nvmMacro</t>
  </si>
  <si>
    <t>vmMacro</t>
  </si>
  <si>
    <t>Gel</t>
  </si>
  <si>
    <t>Salp</t>
  </si>
  <si>
    <t>Amph</t>
  </si>
  <si>
    <t>PiscFish</t>
  </si>
  <si>
    <t>GelatFish</t>
  </si>
  <si>
    <t>Myct</t>
  </si>
  <si>
    <t>Bac</t>
  </si>
  <si>
    <t>sdet</t>
  </si>
  <si>
    <t>mdet</t>
  </si>
  <si>
    <t>ldet</t>
  </si>
  <si>
    <t>SalpDet</t>
  </si>
  <si>
    <t>Dom</t>
  </si>
  <si>
    <t>SalpMort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</si>
</sst>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ropbox\SalpLIM\N15-LIM-SalpPOOP-main\InputsNZ.xlsx" TargetMode="External"/><Relationship Id="rId1" Type="http://schemas.openxmlformats.org/officeDocument/2006/relationships/externalLinkPath" Target="InputsN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NZ"/>
      <sheetName val="Sheet1"/>
      <sheetName val="InputsNZ_C"/>
      <sheetName val="Sheet3"/>
      <sheetName val="InputsNZ_C_paper"/>
      <sheetName val="InputsNZ Old"/>
      <sheetName val="NZ_Extra"/>
      <sheetName val="Biom_comp"/>
      <sheetName val="InputsGoM"/>
      <sheetName val="InputCRD"/>
    </sheetNames>
    <sheetDataSet>
      <sheetData sheetId="0"/>
      <sheetData sheetId="1">
        <row r="8">
          <cell r="E8">
            <v>4.7993069999999998</v>
          </cell>
          <cell r="G8">
            <v>13.576252999999999</v>
          </cell>
          <cell r="I8">
            <v>6.6116929999999998</v>
          </cell>
          <cell r="K8">
            <v>1.1752714</v>
          </cell>
        </row>
        <row r="9">
          <cell r="E9">
            <v>15.686910000000001</v>
          </cell>
          <cell r="G9">
            <v>15.870658000000001</v>
          </cell>
          <cell r="I9">
            <v>4.7059699999999998</v>
          </cell>
          <cell r="K9">
            <v>10.3204066</v>
          </cell>
        </row>
        <row r="10">
          <cell r="C10">
            <v>0.23954410000000001</v>
          </cell>
          <cell r="E10">
            <v>0.79096049999999996</v>
          </cell>
          <cell r="G10">
            <v>0.46890340000000003</v>
          </cell>
          <cell r="I10">
            <v>0.23213890000000001</v>
          </cell>
          <cell r="K10">
            <v>1.2055297</v>
          </cell>
        </row>
        <row r="11">
          <cell r="C11">
            <v>3.8923633999999998</v>
          </cell>
          <cell r="E11">
            <v>3.1253969000000001</v>
          </cell>
          <cell r="G11">
            <v>2.2675611</v>
          </cell>
          <cell r="I11">
            <v>1.2492699999999999</v>
          </cell>
          <cell r="K11">
            <v>3.574989999999989E-2</v>
          </cell>
        </row>
        <row r="13">
          <cell r="E13">
            <v>20.486217</v>
          </cell>
          <cell r="G13">
            <v>29.446911</v>
          </cell>
          <cell r="I13">
            <v>11.317663</v>
          </cell>
          <cell r="K13">
            <v>11.495678</v>
          </cell>
        </row>
        <row r="14">
          <cell r="C14">
            <v>4.1319074999999996</v>
          </cell>
          <cell r="E14">
            <v>3.9163573999999999</v>
          </cell>
          <cell r="G14">
            <v>2.7364644999999999</v>
          </cell>
          <cell r="I14">
            <v>1.4814088999999999</v>
          </cell>
          <cell r="K14">
            <v>1.2412795999999999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2"/>
  <sheetViews>
    <sheetView tabSelected="1" workbookViewId="0">
      <selection activeCell="Q2" sqref="Q2"/>
    </sheetView>
  </sheetViews>
  <sheetFormatPr defaultRowHeight="14.5" x14ac:dyDescent="0.35"/>
  <cols>
    <col min="1" max="1" width="4.54296875" customWidth="1"/>
    <col min="2" max="2" width="4.453125" customWidth="1"/>
    <col min="3" max="3" width="4.26953125" customWidth="1"/>
    <col min="4" max="4" width="4.453125" customWidth="1"/>
    <col min="5" max="24" width="11.453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0</v>
      </c>
      <c r="B2">
        <v>0</v>
      </c>
      <c r="C2">
        <v>1</v>
      </c>
      <c r="D2">
        <v>1</v>
      </c>
      <c r="E2">
        <v>1.3096672606407598</v>
      </c>
      <c r="F2">
        <v>2.265293436580015</v>
      </c>
      <c r="G2">
        <v>2.3187326396783985</v>
      </c>
      <c r="H2">
        <v>2.7945404419731812</v>
      </c>
      <c r="J2">
        <v>3.008339489051179</v>
      </c>
      <c r="K2">
        <v>3.3421361854392693</v>
      </c>
      <c r="L2">
        <v>4.1378695044899985</v>
      </c>
      <c r="M2">
        <v>2.3855559238122437</v>
      </c>
      <c r="N2">
        <v>4.4873487004043318</v>
      </c>
      <c r="O2">
        <v>4.5793786796228035</v>
      </c>
      <c r="P2">
        <v>3.3874099243015374</v>
      </c>
      <c r="Q2">
        <v>3.6057028405058213</v>
      </c>
      <c r="R2">
        <v>2.6201315260817069</v>
      </c>
      <c r="S2">
        <v>1.2106863800013214</v>
      </c>
      <c r="T2">
        <v>1.279921875738792</v>
      </c>
      <c r="U2">
        <v>2.3783981363488307</v>
      </c>
      <c r="V2">
        <v>1.3855559238122439</v>
      </c>
      <c r="W2">
        <v>1.6201315260817071</v>
      </c>
      <c r="X2">
        <v>2.3855559238122437</v>
      </c>
    </row>
    <row r="3" spans="1:24" x14ac:dyDescent="0.35">
      <c r="A3">
        <v>0</v>
      </c>
      <c r="B3">
        <v>0</v>
      </c>
      <c r="C3">
        <v>1</v>
      </c>
      <c r="D3">
        <v>1</v>
      </c>
      <c r="E3">
        <v>1.4990938149724669</v>
      </c>
      <c r="F3">
        <v>2.241036581728741</v>
      </c>
      <c r="G3">
        <v>2.5855532087608437</v>
      </c>
      <c r="H3">
        <v>2.8742742025246977</v>
      </c>
      <c r="I3">
        <v>3.0764404214986332</v>
      </c>
      <c r="J3">
        <v>3.271681025293995</v>
      </c>
      <c r="K3">
        <v>3.4243265087659891</v>
      </c>
      <c r="L3">
        <v>4.2516014546563348</v>
      </c>
      <c r="M3">
        <v>2.4878498926704093</v>
      </c>
      <c r="N3">
        <v>4.497059414289529</v>
      </c>
      <c r="O3">
        <v>4.9357375049999916</v>
      </c>
      <c r="P3">
        <v>3.7700801910339452</v>
      </c>
      <c r="Q3">
        <v>3.9984864387823702</v>
      </c>
      <c r="R3">
        <v>2.7273456569336059</v>
      </c>
      <c r="S3">
        <v>1.2167584495915524</v>
      </c>
      <c r="T3">
        <v>1.7706733630531095</v>
      </c>
      <c r="U3">
        <v>2.4632527404914737</v>
      </c>
      <c r="V3">
        <v>1.4878498926704093</v>
      </c>
      <c r="W3">
        <v>1.7273456569336061</v>
      </c>
      <c r="X3">
        <v>2.4878498926704093</v>
      </c>
    </row>
    <row r="4" spans="1:24" x14ac:dyDescent="0.35">
      <c r="A4">
        <v>0</v>
      </c>
      <c r="B4">
        <v>0</v>
      </c>
      <c r="C4">
        <v>1</v>
      </c>
      <c r="D4">
        <v>1</v>
      </c>
      <c r="E4">
        <v>1.7404381407838789</v>
      </c>
      <c r="F4">
        <v>2.1763024341422352</v>
      </c>
      <c r="G4">
        <v>2.7658137041946382</v>
      </c>
      <c r="H4">
        <v>3.2742416102422895</v>
      </c>
      <c r="I4">
        <v>3.5279881369186255</v>
      </c>
      <c r="J4">
        <v>3.6431661624325336</v>
      </c>
      <c r="K4">
        <v>3.9042157991352524</v>
      </c>
      <c r="L4">
        <v>4.648849038879816</v>
      </c>
      <c r="M4">
        <v>2.9521153017297026</v>
      </c>
      <c r="N4">
        <v>5.3274589607627298</v>
      </c>
      <c r="O4">
        <v>5.4131086930920143</v>
      </c>
      <c r="P4">
        <v>4.9490643354610153</v>
      </c>
      <c r="Q4">
        <v>4.4698972135936792</v>
      </c>
      <c r="R4">
        <v>3.114460243463343</v>
      </c>
      <c r="S4">
        <v>1.1595977100158965</v>
      </c>
      <c r="T4">
        <v>2.1272307490355358</v>
      </c>
      <c r="U4">
        <v>2.837216982400494</v>
      </c>
      <c r="V4">
        <v>1.9521153017297022</v>
      </c>
      <c r="W4">
        <v>2.114460243463343</v>
      </c>
      <c r="X4">
        <v>2.9521153017297026</v>
      </c>
    </row>
    <row r="5" spans="1:24" x14ac:dyDescent="0.35">
      <c r="A5">
        <v>0</v>
      </c>
      <c r="B5">
        <v>0</v>
      </c>
      <c r="C5">
        <v>1</v>
      </c>
      <c r="D5">
        <v>1</v>
      </c>
      <c r="E5">
        <v>1.1672101839738389</v>
      </c>
      <c r="F5">
        <v>2.4542284108694838</v>
      </c>
      <c r="G5">
        <v>2.3529545162608811</v>
      </c>
      <c r="H5">
        <v>3.461021085764671</v>
      </c>
      <c r="I5">
        <v>3.6829990316530621</v>
      </c>
      <c r="J5">
        <v>3.5825535324369282</v>
      </c>
      <c r="K5">
        <v>3.7620566288381192</v>
      </c>
      <c r="L5">
        <v>4.6634998664986975</v>
      </c>
      <c r="M5">
        <v>2.3618658239138948</v>
      </c>
      <c r="N5">
        <v>5.5885785707115003</v>
      </c>
      <c r="O5">
        <v>4.8630545844471982</v>
      </c>
      <c r="P5">
        <v>3.377277134064431</v>
      </c>
      <c r="Q5">
        <v>3.8667520149828953</v>
      </c>
      <c r="R5">
        <v>3.0023932198304744</v>
      </c>
      <c r="S5">
        <v>1.3314467374921213</v>
      </c>
      <c r="T5">
        <v>2.4606521191446733</v>
      </c>
      <c r="U5">
        <v>2.7778030741353046</v>
      </c>
      <c r="V5">
        <v>1.3618658239138948</v>
      </c>
      <c r="W5">
        <v>2.0023932198304757</v>
      </c>
      <c r="X5">
        <v>2.3618658239138948</v>
      </c>
    </row>
    <row r="6" spans="1:24" x14ac:dyDescent="0.35">
      <c r="A6">
        <v>0</v>
      </c>
      <c r="B6">
        <v>0</v>
      </c>
      <c r="C6">
        <v>1</v>
      </c>
      <c r="D6">
        <v>1</v>
      </c>
      <c r="E6">
        <v>1.5810482762048848</v>
      </c>
      <c r="F6">
        <v>2.2561896762725189</v>
      </c>
      <c r="G6">
        <v>2.6206226985407031</v>
      </c>
      <c r="H6">
        <v>3.2552575770853287</v>
      </c>
      <c r="I6">
        <v>3.4450984778094522</v>
      </c>
      <c r="J6">
        <v>3.6710370666189411</v>
      </c>
      <c r="K6">
        <v>3.394107589528331</v>
      </c>
      <c r="L6">
        <v>4.5420765833513661</v>
      </c>
      <c r="M6">
        <v>2.5777042279785674</v>
      </c>
      <c r="N6">
        <v>5.4572750652448416</v>
      </c>
      <c r="O6">
        <v>5.5357552017620293</v>
      </c>
      <c r="P6">
        <v>4.644064706893543</v>
      </c>
      <c r="Q6">
        <v>4.5062867333636243</v>
      </c>
      <c r="R6">
        <v>2.9631863156866265</v>
      </c>
      <c r="S6">
        <v>1.3133073625623113</v>
      </c>
      <c r="T6">
        <v>2.1805061551300424</v>
      </c>
      <c r="U6">
        <v>2.9387411639713608</v>
      </c>
      <c r="V6">
        <v>1.577704227978568</v>
      </c>
      <c r="W6">
        <v>1.9631863156866267</v>
      </c>
      <c r="X6">
        <v>2.5777042279785674</v>
      </c>
    </row>
    <row r="8" spans="1:24" x14ac:dyDescent="0.35">
      <c r="H8">
        <f>H2</f>
        <v>2.7945404419731812</v>
      </c>
      <c r="J8">
        <f>((J2*[1]Sheet1!$C$10)+(K2*[1]Sheet1!$C$11))/[1]Sheet1!$C$14</f>
        <v>3.3227845834928904</v>
      </c>
    </row>
    <row r="9" spans="1:24" x14ac:dyDescent="0.35">
      <c r="H9">
        <f>((H3*[1]Sheet1!$E$8)+(I3*[1]Sheet1!$E$9))/[1]Sheet1!$E$13</f>
        <v>3.0290789320696607</v>
      </c>
      <c r="J9">
        <f>((J3*[1]Sheet1!$E$10)+(K3*[1]Sheet1!$E$11))/[1]Sheet1!$E$14</f>
        <v>3.3934977218095814</v>
      </c>
      <c r="P9" s="1"/>
    </row>
    <row r="10" spans="1:24" x14ac:dyDescent="0.35">
      <c r="H10">
        <f>((H4*[1]Sheet1!$G$8)+(I4*[1]Sheet1!$G$9))/[1]Sheet1!$G$13</f>
        <v>3.4110004147079946</v>
      </c>
      <c r="J10">
        <f>((J4*[1]Sheet1!$G$10)+(K4*[1]Sheet1!$G$11))/[1]Sheet1!$G$14</f>
        <v>3.8594839700840553</v>
      </c>
    </row>
    <row r="11" spans="1:24" x14ac:dyDescent="0.35">
      <c r="H11">
        <f>((H5*[1]Sheet1!$I$8)+(I5*[1]Sheet1!$I$9))/[1]Sheet1!$I$13</f>
        <v>3.5533211970166483</v>
      </c>
      <c r="J11">
        <f>((J5*[1]Sheet1!$I$10)+(K5*[1]Sheet1!$I$11))/[1]Sheet1!$I$14</f>
        <v>3.7339282360998505</v>
      </c>
    </row>
    <row r="12" spans="1:24" x14ac:dyDescent="0.35">
      <c r="H12">
        <f>((H6*[1]Sheet1!$K$8)+(I6*[1]Sheet1!$K$9))/[1]Sheet1!$K$13</f>
        <v>3.4256899156375384</v>
      </c>
      <c r="J12">
        <f>((J6*[1]Sheet1!$K$10)+(K6*[1]Sheet1!$K$11))/[1]Sheet1!$K$14</f>
        <v>3.6630612639770206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2"/>
  <sheetViews>
    <sheetView workbookViewId="0">
      <selection activeCell="H8" sqref="H8:J12"/>
    </sheetView>
  </sheetViews>
  <sheetFormatPr defaultRowHeight="14.5" x14ac:dyDescent="0.35"/>
  <cols>
    <col min="1" max="1" width="4.54296875" customWidth="1"/>
    <col min="2" max="2" width="4.453125" customWidth="1"/>
    <col min="3" max="3" width="4.26953125" customWidth="1"/>
    <col min="4" max="4" width="4.453125" customWidth="1"/>
    <col min="5" max="5" width="12.453125" customWidth="1"/>
    <col min="6" max="7" width="13.453125" customWidth="1"/>
    <col min="8" max="14" width="12.453125" customWidth="1"/>
    <col min="15" max="15" width="13.453125" customWidth="1"/>
    <col min="16" max="18" width="12.453125" customWidth="1"/>
    <col min="19" max="19" width="13.453125" customWidth="1"/>
    <col min="20" max="24" width="12.453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0</v>
      </c>
      <c r="B2">
        <v>0</v>
      </c>
      <c r="C2">
        <v>0</v>
      </c>
      <c r="D2">
        <v>0</v>
      </c>
      <c r="E2">
        <v>0.14698024244146629</v>
      </c>
      <c r="F2">
        <v>0.13040447224658461</v>
      </c>
      <c r="G2">
        <v>0.12640541615745657</v>
      </c>
      <c r="H2">
        <v>0.19743135202287068</v>
      </c>
      <c r="J2">
        <v>0.22514960315565899</v>
      </c>
      <c r="K2">
        <v>0.12382262317523196</v>
      </c>
      <c r="L2">
        <v>0.15035945430450953</v>
      </c>
      <c r="M2">
        <v>0.11702678170774097</v>
      </c>
      <c r="N2">
        <v>0.33091915439925529</v>
      </c>
      <c r="O2">
        <v>9.7075680418951038E-2</v>
      </c>
      <c r="P2">
        <v>0.11689960914994636</v>
      </c>
      <c r="Q2">
        <v>0.10414036741823215</v>
      </c>
      <c r="R2">
        <v>0.14066558287956765</v>
      </c>
      <c r="S2">
        <v>7.9560788700251572E-2</v>
      </c>
      <c r="T2">
        <v>0.14712255457639589</v>
      </c>
      <c r="U2">
        <v>0.12882026332416929</v>
      </c>
      <c r="V2">
        <v>0.11702678170774097</v>
      </c>
      <c r="W2">
        <v>0.14066558287956768</v>
      </c>
      <c r="X2">
        <v>0.11702678170774097</v>
      </c>
    </row>
    <row r="3" spans="1:24" x14ac:dyDescent="0.35">
      <c r="A3">
        <v>0</v>
      </c>
      <c r="B3">
        <v>0</v>
      </c>
      <c r="C3">
        <v>0</v>
      </c>
      <c r="D3">
        <v>0</v>
      </c>
      <c r="E3">
        <v>0.1643861875106668</v>
      </c>
      <c r="F3">
        <v>0.12065102281451445</v>
      </c>
      <c r="G3">
        <v>0.21367119128395928</v>
      </c>
      <c r="H3">
        <v>0.18137420118783185</v>
      </c>
      <c r="I3">
        <v>0.16309283656278145</v>
      </c>
      <c r="J3">
        <v>0.22938566930266804</v>
      </c>
      <c r="K3">
        <v>0.17303249917101901</v>
      </c>
      <c r="L3">
        <v>0.14128395696200777</v>
      </c>
      <c r="M3">
        <v>0.13680249596040103</v>
      </c>
      <c r="N3">
        <v>0.53226094670227009</v>
      </c>
      <c r="O3">
        <v>0.11893423559727222</v>
      </c>
      <c r="P3">
        <v>0.15950408005206745</v>
      </c>
      <c r="Q3">
        <v>0.11955130911535587</v>
      </c>
      <c r="R3">
        <v>0.14349567716309269</v>
      </c>
      <c r="S3">
        <v>8.9271611333427703E-2</v>
      </c>
      <c r="T3">
        <v>0.17207011463487937</v>
      </c>
      <c r="U3">
        <v>0.14780219972193179</v>
      </c>
      <c r="V3">
        <v>0.13680249596040103</v>
      </c>
      <c r="W3">
        <v>0.14349567716309269</v>
      </c>
      <c r="X3">
        <v>0.13680249596040103</v>
      </c>
    </row>
    <row r="4" spans="1:24" x14ac:dyDescent="0.35">
      <c r="A4">
        <v>0</v>
      </c>
      <c r="B4">
        <v>0</v>
      </c>
      <c r="C4">
        <v>0</v>
      </c>
      <c r="D4">
        <v>0</v>
      </c>
      <c r="E4">
        <v>0.38209736818771839</v>
      </c>
      <c r="F4">
        <v>5.0093054156453785E-2</v>
      </c>
      <c r="G4">
        <v>0.21063858713375891</v>
      </c>
      <c r="H4">
        <v>0.10540964673200971</v>
      </c>
      <c r="I4">
        <v>0.17247146972789762</v>
      </c>
      <c r="J4">
        <v>0.22792568035940611</v>
      </c>
      <c r="K4">
        <v>0.18385133285151398</v>
      </c>
      <c r="L4">
        <v>0.16814690554657222</v>
      </c>
      <c r="M4">
        <v>0.301330605641278</v>
      </c>
      <c r="N4">
        <v>0.35370414364583369</v>
      </c>
      <c r="O4">
        <v>0.12037677803673483</v>
      </c>
      <c r="P4">
        <v>0.24801700443979596</v>
      </c>
      <c r="Q4">
        <v>0.11742591454825943</v>
      </c>
      <c r="R4">
        <v>0.2199937841761741</v>
      </c>
      <c r="S4">
        <v>5.4928113290413694E-2</v>
      </c>
      <c r="T4">
        <v>0.14385563658077047</v>
      </c>
      <c r="U4">
        <v>0.16481997728717199</v>
      </c>
      <c r="V4">
        <v>0.30133060564127795</v>
      </c>
      <c r="W4">
        <v>0.2199937841761741</v>
      </c>
      <c r="X4">
        <v>0.301330605641278</v>
      </c>
    </row>
    <row r="5" spans="1:24" x14ac:dyDescent="0.35">
      <c r="A5">
        <v>0</v>
      </c>
      <c r="B5">
        <v>0</v>
      </c>
      <c r="C5">
        <v>0</v>
      </c>
      <c r="D5">
        <v>0</v>
      </c>
      <c r="E5">
        <v>8.7919088899800768E-2</v>
      </c>
      <c r="F5">
        <v>0.19423169288276987</v>
      </c>
      <c r="G5">
        <v>9.8525419012863213E-2</v>
      </c>
      <c r="H5">
        <v>0.18566404538663506</v>
      </c>
      <c r="I5">
        <v>0.21588166570216671</v>
      </c>
      <c r="J5">
        <v>0.27256768539415438</v>
      </c>
      <c r="K5">
        <v>0.23073878631554784</v>
      </c>
      <c r="L5">
        <v>0.17078233699763568</v>
      </c>
      <c r="M5">
        <v>0.13603252702770022</v>
      </c>
      <c r="N5">
        <v>0.17984725543077965</v>
      </c>
      <c r="O5">
        <v>0.15377370112724953</v>
      </c>
      <c r="P5">
        <v>0.13544202915344566</v>
      </c>
      <c r="Q5">
        <v>0.16079316839608354</v>
      </c>
      <c r="R5">
        <v>0.18375438380540671</v>
      </c>
      <c r="S5">
        <v>7.8938988240694258E-2</v>
      </c>
      <c r="T5">
        <v>0.18175017454835904</v>
      </c>
      <c r="U5">
        <v>0.19098607773379431</v>
      </c>
      <c r="V5">
        <v>0.13603252702770025</v>
      </c>
      <c r="W5">
        <v>0.18375438380540671</v>
      </c>
      <c r="X5">
        <v>0.13603252702770022</v>
      </c>
    </row>
    <row r="6" spans="1:24" x14ac:dyDescent="0.35">
      <c r="A6">
        <v>0</v>
      </c>
      <c r="B6">
        <v>0</v>
      </c>
      <c r="C6">
        <v>0</v>
      </c>
      <c r="D6">
        <v>0</v>
      </c>
      <c r="E6">
        <v>0.25936583241602673</v>
      </c>
      <c r="F6">
        <v>0.1059361304236712</v>
      </c>
      <c r="G6">
        <v>0.18253543184560514</v>
      </c>
      <c r="H6">
        <v>0.21841030301728806</v>
      </c>
      <c r="I6">
        <v>0.2104452117777891</v>
      </c>
      <c r="J6">
        <v>0.22776405140707159</v>
      </c>
      <c r="K6">
        <v>0.34218496877745552</v>
      </c>
      <c r="L6">
        <v>0.18728862244415986</v>
      </c>
      <c r="M6">
        <v>0.20501168441225501</v>
      </c>
      <c r="N6">
        <v>0.19141553079713591</v>
      </c>
      <c r="O6">
        <v>0.18584017421119794</v>
      </c>
      <c r="P6">
        <v>0.32406771677457713</v>
      </c>
      <c r="Q6">
        <v>0.18906608841539849</v>
      </c>
      <c r="R6">
        <v>0.20048918560375828</v>
      </c>
      <c r="S6">
        <v>0.10643768380280859</v>
      </c>
      <c r="T6">
        <v>0.21954719441692477</v>
      </c>
      <c r="U6">
        <v>0.23993196696361085</v>
      </c>
      <c r="V6">
        <v>0.20501168441225501</v>
      </c>
      <c r="W6">
        <v>0.20048918560375828</v>
      </c>
      <c r="X6">
        <v>0.20501168441225501</v>
      </c>
    </row>
    <row r="8" spans="1:24" x14ac:dyDescent="0.35">
      <c r="H8">
        <f>H2</f>
        <v>0.19743135202287068</v>
      </c>
      <c r="J8">
        <f>((J2*[1]Sheet1!$C$10)+(K2*[1]Sheet1!$C$11))/[1]Sheet1!$C$14</f>
        <v>0.1296969754508164</v>
      </c>
    </row>
    <row r="9" spans="1:24" x14ac:dyDescent="0.35">
      <c r="H9">
        <f>((H3*[1]Sheet1!$E$8)+(I3*[1]Sheet1!$E$9))/[1]Sheet1!$E$13</f>
        <v>0.16737561269536647</v>
      </c>
      <c r="J9">
        <f>((J3*[1]Sheet1!$E$10)+(K3*[1]Sheet1!$E$11))/[1]Sheet1!$E$14</f>
        <v>0.18441377188732275</v>
      </c>
    </row>
    <row r="10" spans="1:24" x14ac:dyDescent="0.35">
      <c r="H10">
        <f>((H4*[1]Sheet1!$G$8)+(I4*[1]Sheet1!$G$9))/[1]Sheet1!$G$13</f>
        <v>0.1415531749147883</v>
      </c>
      <c r="J10">
        <f>((J4*[1]Sheet1!$G$10)+(K4*[1]Sheet1!$G$11))/[1]Sheet1!$G$14</f>
        <v>0.19140363670900315</v>
      </c>
    </row>
    <row r="11" spans="1:24" x14ac:dyDescent="0.35">
      <c r="H11">
        <f>((H5*[1]Sheet1!$I$8)+(I5*[1]Sheet1!$I$9))/[1]Sheet1!$I$13</f>
        <v>0.19822876079442572</v>
      </c>
      <c r="J11">
        <f>((J5*[1]Sheet1!$I$10)+(K5*[1]Sheet1!$I$11))/[1]Sheet1!$I$14</f>
        <v>0.23729343481287946</v>
      </c>
    </row>
    <row r="12" spans="1:24" x14ac:dyDescent="0.35">
      <c r="H12">
        <f>((H6*[1]Sheet1!$K$8)+(I6*[1]Sheet1!$K$9))/[1]Sheet1!$K$13</f>
        <v>0.21125953033578748</v>
      </c>
      <c r="J12">
        <f>((J6*[1]Sheet1!$K$10)+(K6*[1]Sheet1!$K$11))/[1]Sheet1!$K$14</f>
        <v>0.23105947038753299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12"/>
  <sheetViews>
    <sheetView workbookViewId="0">
      <selection activeCell="H8" sqref="H8:J12"/>
    </sheetView>
  </sheetViews>
  <sheetFormatPr defaultRowHeight="14.5" x14ac:dyDescent="0.35"/>
  <cols>
    <col min="1" max="1" width="4.54296875" customWidth="1"/>
    <col min="2" max="2" width="4.453125" customWidth="1"/>
    <col min="3" max="3" width="4.26953125" customWidth="1"/>
    <col min="4" max="4" width="4.453125" customWidth="1"/>
    <col min="5" max="24" width="11.453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0</v>
      </c>
      <c r="B2">
        <v>0</v>
      </c>
      <c r="C2">
        <v>1</v>
      </c>
      <c r="D2">
        <v>1</v>
      </c>
      <c r="E2">
        <v>1.0783894797414202</v>
      </c>
      <c r="F2">
        <v>2.0700812590287825</v>
      </c>
      <c r="G2">
        <v>2.1159157042684065</v>
      </c>
      <c r="H2">
        <v>2.4110051747786239</v>
      </c>
      <c r="J2">
        <v>2.5497766362769534</v>
      </c>
      <c r="K2">
        <v>3.1302085590168915</v>
      </c>
      <c r="L2">
        <v>3.8275153279341092</v>
      </c>
      <c r="M2">
        <v>2.1729990035588309</v>
      </c>
      <c r="N2">
        <v>3.9162161482626447</v>
      </c>
      <c r="O2">
        <v>4.4006898647514312</v>
      </c>
      <c r="P2">
        <v>3.1751912163743685</v>
      </c>
      <c r="Q2">
        <v>3.412379411340897</v>
      </c>
      <c r="R2">
        <v>2.3820000660629193</v>
      </c>
      <c r="S2">
        <v>1.0895488588988884</v>
      </c>
      <c r="T2">
        <v>1.0709714998701065</v>
      </c>
      <c r="U2">
        <v>2.1405492092160809</v>
      </c>
      <c r="V2">
        <v>1.1729990035588309</v>
      </c>
      <c r="W2">
        <v>1.382000066062919</v>
      </c>
      <c r="X2">
        <v>2.1729990035588309</v>
      </c>
    </row>
    <row r="3" spans="1:24" x14ac:dyDescent="0.35">
      <c r="A3">
        <v>0</v>
      </c>
      <c r="B3">
        <v>0</v>
      </c>
      <c r="C3">
        <v>1</v>
      </c>
      <c r="D3">
        <v>1</v>
      </c>
      <c r="E3">
        <v>1.2022413346256358</v>
      </c>
      <c r="F3">
        <v>2.0606916346003432</v>
      </c>
      <c r="G3">
        <v>2.224634746945418</v>
      </c>
      <c r="H3">
        <v>2.5364747292211467</v>
      </c>
      <c r="I3">
        <v>2.7718869182382422</v>
      </c>
      <c r="J3">
        <v>2.8058410632202753</v>
      </c>
      <c r="K3">
        <v>3.1074357262258179</v>
      </c>
      <c r="L3">
        <v>3.9868706841005821</v>
      </c>
      <c r="M3">
        <v>2.2349967045310422</v>
      </c>
      <c r="N3">
        <v>3.5074714932807107</v>
      </c>
      <c r="O3">
        <v>4.7131268341428685</v>
      </c>
      <c r="P3">
        <v>3.4858484757319603</v>
      </c>
      <c r="Q3">
        <v>3.7757470078164266</v>
      </c>
      <c r="R3">
        <v>2.502711598628228</v>
      </c>
      <c r="S3">
        <v>1.0836717262654307</v>
      </c>
      <c r="T3">
        <v>1.4502094760180142</v>
      </c>
      <c r="U3">
        <v>2.192994016413421</v>
      </c>
      <c r="V3">
        <v>1.2349967045310422</v>
      </c>
      <c r="W3">
        <v>1.502711598628228</v>
      </c>
      <c r="X3">
        <v>2.2349967045310422</v>
      </c>
    </row>
    <row r="4" spans="1:24" x14ac:dyDescent="0.35">
      <c r="A4">
        <v>0</v>
      </c>
      <c r="B4">
        <v>0</v>
      </c>
      <c r="C4">
        <v>1</v>
      </c>
      <c r="D4">
        <v>1</v>
      </c>
      <c r="E4">
        <v>1.1763955105423296</v>
      </c>
      <c r="F4">
        <v>2.0792921656692647</v>
      </c>
      <c r="G4">
        <v>2.4372676808453093</v>
      </c>
      <c r="H4">
        <v>3.0723938548093006</v>
      </c>
      <c r="I4">
        <v>3.2393443899870302</v>
      </c>
      <c r="J4">
        <v>3.1922901094617111</v>
      </c>
      <c r="K4">
        <v>3.5651845253528327</v>
      </c>
      <c r="L4">
        <v>4.3460084266237775</v>
      </c>
      <c r="M4">
        <v>2.4309701160287482</v>
      </c>
      <c r="N4">
        <v>4.4224472788014522</v>
      </c>
      <c r="O4">
        <v>5.1952613713865041</v>
      </c>
      <c r="P4">
        <v>4.4930720564235482</v>
      </c>
      <c r="Q4">
        <v>4.2637516526041281</v>
      </c>
      <c r="R4">
        <v>2.7098684760323999</v>
      </c>
      <c r="S4">
        <v>1.0723124404246991</v>
      </c>
      <c r="T4">
        <v>1.8449488302076176</v>
      </c>
      <c r="U4">
        <v>2.5371053758386815</v>
      </c>
      <c r="V4">
        <v>1.4309701160287482</v>
      </c>
      <c r="W4">
        <v>1.7098684760323999</v>
      </c>
      <c r="X4">
        <v>2.4309701160287482</v>
      </c>
    </row>
    <row r="5" spans="1:24" x14ac:dyDescent="0.35">
      <c r="A5">
        <v>0</v>
      </c>
      <c r="B5">
        <v>0</v>
      </c>
      <c r="C5">
        <v>1</v>
      </c>
      <c r="D5">
        <v>1</v>
      </c>
      <c r="E5">
        <v>1.0386240898546624</v>
      </c>
      <c r="F5">
        <v>2.1356268380877927</v>
      </c>
      <c r="G5">
        <v>2.1775890130424918</v>
      </c>
      <c r="H5">
        <v>3.1183821023255445</v>
      </c>
      <c r="I5">
        <v>3.2976677819683435</v>
      </c>
      <c r="J5">
        <v>3.0612683953563984</v>
      </c>
      <c r="K5">
        <v>3.3446277535903226</v>
      </c>
      <c r="L5">
        <v>4.3490349249162819</v>
      </c>
      <c r="M5">
        <v>2.136518223112402</v>
      </c>
      <c r="N5">
        <v>5.2502360542496254</v>
      </c>
      <c r="O5">
        <v>4.5820528926169803</v>
      </c>
      <c r="P5">
        <v>3.1525276856286961</v>
      </c>
      <c r="Q5">
        <v>3.5726289206809367</v>
      </c>
      <c r="R5">
        <v>2.6960430034720977</v>
      </c>
      <c r="S5">
        <v>1.1908611760707932</v>
      </c>
      <c r="T5">
        <v>2.1094515151113891</v>
      </c>
      <c r="U5">
        <v>2.4231460911990959</v>
      </c>
      <c r="V5">
        <v>1.136518223112402</v>
      </c>
      <c r="W5">
        <v>1.6960430034720977</v>
      </c>
      <c r="X5">
        <v>2.136518223112402</v>
      </c>
    </row>
    <row r="6" spans="1:24" x14ac:dyDescent="0.35">
      <c r="A6">
        <v>0</v>
      </c>
      <c r="B6">
        <v>0</v>
      </c>
      <c r="C6">
        <v>1</v>
      </c>
      <c r="D6">
        <v>1</v>
      </c>
      <c r="E6">
        <v>1.1581656996764771</v>
      </c>
      <c r="F6">
        <v>2.0895363715108761</v>
      </c>
      <c r="G6">
        <v>2.2901671487693611</v>
      </c>
      <c r="H6">
        <v>2.8449346437995695</v>
      </c>
      <c r="I6">
        <v>3.032961694441167</v>
      </c>
      <c r="J6">
        <v>3.2564428948571069</v>
      </c>
      <c r="K6">
        <v>2.7031702907530075</v>
      </c>
      <c r="L6">
        <v>4.2012647626182069</v>
      </c>
      <c r="M6">
        <v>2.2372662202168705</v>
      </c>
      <c r="N6">
        <v>5.1046189039842567</v>
      </c>
      <c r="O6">
        <v>5.1654992493092307</v>
      </c>
      <c r="P6">
        <v>4.0065553233576123</v>
      </c>
      <c r="Q6">
        <v>4.1292612377443465</v>
      </c>
      <c r="R6">
        <v>2.6456187194739273</v>
      </c>
      <c r="S6">
        <v>1.1412910225045663</v>
      </c>
      <c r="T6">
        <v>1.7440323050028881</v>
      </c>
      <c r="U6">
        <v>2.5008984265787078</v>
      </c>
      <c r="V6">
        <v>1.2372662202168705</v>
      </c>
      <c r="W6">
        <v>1.6456187194739276</v>
      </c>
      <c r="X6">
        <v>2.2372662202168705</v>
      </c>
    </row>
    <row r="8" spans="1:24" x14ac:dyDescent="0.35">
      <c r="H8">
        <f>H2</f>
        <v>2.4110051747786239</v>
      </c>
      <c r="J8">
        <f>((J2*[1]Sheet1!$C$10)+(K2*[1]Sheet1!$C$11))/[1]Sheet1!$C$14</f>
        <v>3.0965584730592544</v>
      </c>
    </row>
    <row r="9" spans="1:24" x14ac:dyDescent="0.35">
      <c r="H9">
        <f>((H3*[1]Sheet1!$E$8)+(I3*[1]Sheet1!$E$9))/[1]Sheet1!$E$13</f>
        <v>2.7167368938762495</v>
      </c>
      <c r="J9">
        <f>((J3*[1]Sheet1!$E$10)+(K3*[1]Sheet1!$E$11))/[1]Sheet1!$E$14</f>
        <v>3.0465246700877353</v>
      </c>
    </row>
    <row r="10" spans="1:24" x14ac:dyDescent="0.35">
      <c r="H10">
        <f>((H4*[1]Sheet1!$G$8)+(I4*[1]Sheet1!$G$9))/[1]Sheet1!$G$13</f>
        <v>3.1623732365761255</v>
      </c>
      <c r="J10">
        <f>((J4*[1]Sheet1!$G$10)+(K4*[1]Sheet1!$G$11))/[1]Sheet1!$G$14</f>
        <v>3.5012876761693845</v>
      </c>
    </row>
    <row r="11" spans="1:24" x14ac:dyDescent="0.35">
      <c r="H11">
        <f>((H5*[1]Sheet1!$I$8)+(I5*[1]Sheet1!$I$9))/[1]Sheet1!$I$13</f>
        <v>3.1929304459039516</v>
      </c>
      <c r="J11">
        <f>((J5*[1]Sheet1!$I$10)+(K5*[1]Sheet1!$I$11))/[1]Sheet1!$I$14</f>
        <v>3.3002249356208009</v>
      </c>
    </row>
    <row r="12" spans="1:24" x14ac:dyDescent="0.35">
      <c r="H12">
        <f>((H6*[1]Sheet1!$K$8)+(I6*[1]Sheet1!$K$9))/[1]Sheet1!$K$13</f>
        <v>3.0137385729301589</v>
      </c>
      <c r="J12">
        <f>((J6*[1]Sheet1!$K$10)+(K6*[1]Sheet1!$K$11))/[1]Sheet1!$K$14</f>
        <v>3.2405081769503106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12"/>
  <sheetViews>
    <sheetView topLeftCell="E1" workbookViewId="0">
      <selection activeCell="M2" sqref="M2"/>
    </sheetView>
  </sheetViews>
  <sheetFormatPr defaultRowHeight="14.5" x14ac:dyDescent="0.35"/>
  <cols>
    <col min="1" max="1" width="4.54296875" customWidth="1"/>
    <col min="2" max="2" width="4.453125" customWidth="1"/>
    <col min="3" max="3" width="4.26953125" customWidth="1"/>
    <col min="4" max="4" width="4.453125" customWidth="1"/>
    <col min="5" max="24" width="11.453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0</v>
      </c>
      <c r="B2">
        <v>0</v>
      </c>
      <c r="C2">
        <v>1</v>
      </c>
      <c r="D2">
        <v>1</v>
      </c>
      <c r="E2">
        <v>1.6377949458883068</v>
      </c>
      <c r="F2">
        <v>2.5553645835410892</v>
      </c>
      <c r="G2">
        <v>2.6063480298551127</v>
      </c>
      <c r="H2">
        <v>3.1833410171072325</v>
      </c>
      <c r="J2">
        <v>3.433607538267315</v>
      </c>
      <c r="K2">
        <v>3.6130199993621193</v>
      </c>
      <c r="L2">
        <v>4.424058885549945</v>
      </c>
      <c r="M2">
        <v>2.6317099585612089</v>
      </c>
      <c r="N2">
        <v>5.1454188236341274</v>
      </c>
      <c r="O2">
        <v>4.7818149096463793</v>
      </c>
      <c r="P2">
        <v>3.6332396487152039</v>
      </c>
      <c r="Q2">
        <v>3.8217561049174713</v>
      </c>
      <c r="R2">
        <v>2.9281091596423399</v>
      </c>
      <c r="S2">
        <v>1.3961090118504786</v>
      </c>
      <c r="T2">
        <v>1.6272036600520656</v>
      </c>
      <c r="U2">
        <v>2.643676723516168</v>
      </c>
      <c r="V2">
        <v>1.6317099585612089</v>
      </c>
      <c r="W2">
        <v>1.9281091596423399</v>
      </c>
      <c r="X2">
        <v>2.6317099585612089</v>
      </c>
    </row>
    <row r="3" spans="1:24" x14ac:dyDescent="0.35">
      <c r="A3">
        <v>0</v>
      </c>
      <c r="B3">
        <v>0</v>
      </c>
      <c r="C3">
        <v>1</v>
      </c>
      <c r="D3">
        <v>1</v>
      </c>
      <c r="E3">
        <v>1.8430947306707441</v>
      </c>
      <c r="F3">
        <v>2.5142831864902089</v>
      </c>
      <c r="G3">
        <v>3.0635863518327908</v>
      </c>
      <c r="H3">
        <v>3.2460807104098732</v>
      </c>
      <c r="I3">
        <v>3.4136766487911916</v>
      </c>
      <c r="J3">
        <v>3.7138215536276142</v>
      </c>
      <c r="K3">
        <v>3.7844945488440644</v>
      </c>
      <c r="L3">
        <v>4.5441394082824136</v>
      </c>
      <c r="M3">
        <v>2.7673898197506568</v>
      </c>
      <c r="N3">
        <v>5.3213793980637103</v>
      </c>
      <c r="O3">
        <v>5.1775477037860957</v>
      </c>
      <c r="P3">
        <v>4.102033512083799</v>
      </c>
      <c r="Q3">
        <v>4.2436690276219728</v>
      </c>
      <c r="R3">
        <v>3.057532672011952</v>
      </c>
      <c r="S3">
        <v>1.4295751877280294</v>
      </c>
      <c r="T3">
        <v>2.1190897129330741</v>
      </c>
      <c r="U3">
        <v>2.7720348871718223</v>
      </c>
      <c r="V3">
        <v>1.7673898197506568</v>
      </c>
      <c r="W3">
        <v>2.057532672011952</v>
      </c>
      <c r="X3">
        <v>2.7673898197506568</v>
      </c>
    </row>
    <row r="4" spans="1:24" x14ac:dyDescent="0.35">
      <c r="A4">
        <v>0</v>
      </c>
      <c r="B4">
        <v>0</v>
      </c>
      <c r="C4">
        <v>1</v>
      </c>
      <c r="D4">
        <v>1</v>
      </c>
      <c r="E4">
        <v>2.6578662550675123</v>
      </c>
      <c r="F4">
        <v>2.2762654975137186</v>
      </c>
      <c r="G4">
        <v>3.2480125272954337</v>
      </c>
      <c r="H4">
        <v>3.4918506065027439</v>
      </c>
      <c r="I4">
        <v>3.8706685229237898</v>
      </c>
      <c r="J4">
        <v>4.0789325762914919</v>
      </c>
      <c r="K4">
        <v>4.2849240780792357</v>
      </c>
      <c r="L4">
        <v>5.0008945935039497</v>
      </c>
      <c r="M4">
        <v>3.5929750940814582</v>
      </c>
      <c r="N4">
        <v>5.8489259831641167</v>
      </c>
      <c r="O4">
        <v>5.6680880783546117</v>
      </c>
      <c r="P4">
        <v>5.4640460460009601</v>
      </c>
      <c r="Q4">
        <v>4.720816382309045</v>
      </c>
      <c r="R4">
        <v>3.526237052205492</v>
      </c>
      <c r="S4">
        <v>1.2850577521404118</v>
      </c>
      <c r="T4">
        <v>2.4103400530843242</v>
      </c>
      <c r="U4">
        <v>3.1758885780303912</v>
      </c>
      <c r="V4">
        <v>2.5929750940814582</v>
      </c>
      <c r="W4">
        <v>2.526237052205492</v>
      </c>
      <c r="X4">
        <v>3.5929750940814582</v>
      </c>
    </row>
    <row r="5" spans="1:24" x14ac:dyDescent="0.35">
      <c r="A5">
        <v>0</v>
      </c>
      <c r="B5">
        <v>0</v>
      </c>
      <c r="C5">
        <v>1</v>
      </c>
      <c r="D5">
        <v>1</v>
      </c>
      <c r="E5">
        <v>1.3724337889160048</v>
      </c>
      <c r="F5">
        <v>2.8686843806833271</v>
      </c>
      <c r="G5">
        <v>2.56136034623285</v>
      </c>
      <c r="H5">
        <v>3.8390034767158476</v>
      </c>
      <c r="I5">
        <v>4.13767420875398</v>
      </c>
      <c r="J5">
        <v>4.1236725516364121</v>
      </c>
      <c r="K5">
        <v>4.2387649239778433</v>
      </c>
      <c r="L5">
        <v>5.0153437414898052</v>
      </c>
      <c r="M5">
        <v>2.6630223405932396</v>
      </c>
      <c r="N5">
        <v>5.9524525365159509</v>
      </c>
      <c r="O5">
        <v>5.1862701949296595</v>
      </c>
      <c r="P5">
        <v>3.6772768479577298</v>
      </c>
      <c r="Q5">
        <v>4.2028234735654655</v>
      </c>
      <c r="R5">
        <v>3.408050090582039</v>
      </c>
      <c r="S5">
        <v>1.4997514351558925</v>
      </c>
      <c r="T5">
        <v>2.8226669462621401</v>
      </c>
      <c r="U5">
        <v>3.1683374675885276</v>
      </c>
      <c r="V5">
        <v>1.6630223405932394</v>
      </c>
      <c r="W5">
        <v>2.408050090582039</v>
      </c>
      <c r="X5">
        <v>2.6630223405932396</v>
      </c>
    </row>
    <row r="6" spans="1:24" x14ac:dyDescent="0.35">
      <c r="A6">
        <v>0</v>
      </c>
      <c r="B6">
        <v>0</v>
      </c>
      <c r="C6">
        <v>1</v>
      </c>
      <c r="D6">
        <v>1</v>
      </c>
      <c r="E6">
        <v>2.1532769542877581</v>
      </c>
      <c r="F6">
        <v>2.4959007262102073</v>
      </c>
      <c r="G6">
        <v>2.9947645011133659</v>
      </c>
      <c r="H6">
        <v>3.7061210433405516</v>
      </c>
      <c r="I6">
        <v>3.8548087471824561</v>
      </c>
      <c r="J6">
        <v>4.1383978586168588</v>
      </c>
      <c r="K6">
        <v>4.0384827488235349</v>
      </c>
      <c r="L6">
        <v>4.9367756066144377</v>
      </c>
      <c r="M6">
        <v>3.0306181101410443</v>
      </c>
      <c r="N6">
        <v>5.8554657254746356</v>
      </c>
      <c r="O6">
        <v>5.8924704915802382</v>
      </c>
      <c r="P6">
        <v>5.2971957177905722</v>
      </c>
      <c r="Q6">
        <v>4.871080612662098</v>
      </c>
      <c r="R6">
        <v>3.4208729214447082</v>
      </c>
      <c r="S6">
        <v>1.5549948421380559</v>
      </c>
      <c r="T6">
        <v>2.6078437253432916</v>
      </c>
      <c r="U6">
        <v>3.4273662138081686</v>
      </c>
      <c r="V6">
        <v>2.0306181101410443</v>
      </c>
      <c r="W6">
        <v>2.4208729214447082</v>
      </c>
      <c r="X6">
        <v>3.0306181101410443</v>
      </c>
    </row>
    <row r="8" spans="1:24" x14ac:dyDescent="0.35">
      <c r="H8">
        <f>H2</f>
        <v>3.1833410171072325</v>
      </c>
      <c r="J8">
        <f>((J2*[1]Sheet1!$C$10)+(K2*[1]Sheet1!$C$11))/[1]Sheet1!$C$14</f>
        <v>3.6026187024982037</v>
      </c>
    </row>
    <row r="9" spans="1:24" x14ac:dyDescent="0.35">
      <c r="H9">
        <f>((H3*[1]Sheet1!$E$8)+(I3*[1]Sheet1!$E$9))/[1]Sheet1!$E$13</f>
        <v>3.3744139405886466</v>
      </c>
      <c r="J9">
        <f>((J3*[1]Sheet1!$E$10)+(K3*[1]Sheet1!$E$11))/[1]Sheet1!$E$14</f>
        <v>3.7702211968683486</v>
      </c>
    </row>
    <row r="10" spans="1:24" x14ac:dyDescent="0.35">
      <c r="H10">
        <f>((H4*[1]Sheet1!$G$8)+(I4*[1]Sheet1!$G$9))/[1]Sheet1!$G$13</f>
        <v>3.6960176784170446</v>
      </c>
      <c r="J10">
        <f>((J4*[1]Sheet1!$G$10)+(K4*[1]Sheet1!$G$11))/[1]Sheet1!$G$14</f>
        <v>4.2496266658309212</v>
      </c>
    </row>
    <row r="11" spans="1:24" x14ac:dyDescent="0.35">
      <c r="H11">
        <f>((H5*[1]Sheet1!$I$8)+(I5*[1]Sheet1!$I$9))/[1]Sheet1!$I$13</f>
        <v>3.96319302935136</v>
      </c>
      <c r="J11">
        <f>((J5*[1]Sheet1!$I$10)+(K5*[1]Sheet1!$I$11))/[1]Sheet1!$I$14</f>
        <v>4.2207297841094853</v>
      </c>
    </row>
    <row r="12" spans="1:24" x14ac:dyDescent="0.35">
      <c r="H12">
        <f>((H6*[1]Sheet1!$K$8)+(I6*[1]Sheet1!$K$9))/[1]Sheet1!$K$13</f>
        <v>3.8396075206121698</v>
      </c>
      <c r="J12">
        <f>((J6*[1]Sheet1!$K$10)+(K6*[1]Sheet1!$K$11))/[1]Sheet1!$K$14</f>
        <v>4.1355202191361169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</vt:lpstr>
      <vt:lpstr>Std</vt:lpstr>
      <vt:lpstr>LCI</vt:lpstr>
      <vt:lpstr>UCI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Fender</cp:lastModifiedBy>
  <dcterms:modified xsi:type="dcterms:W3CDTF">2025-04-30T15:49:55Z</dcterms:modified>
</cp:coreProperties>
</file>